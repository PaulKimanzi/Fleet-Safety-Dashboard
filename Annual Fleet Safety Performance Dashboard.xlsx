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ink/ink1.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PC\Desktop\Test Run\"/>
    </mc:Choice>
  </mc:AlternateContent>
  <xr:revisionPtr revIDLastSave="0" documentId="13_ncr:1_{958C3CE0-DFBD-4E35-862F-8F4901143D06}" xr6:coauthVersionLast="47" xr6:coauthVersionMax="47" xr10:uidLastSave="{00000000-0000-0000-0000-000000000000}"/>
  <bookViews>
    <workbookView xWindow="-110" yWindow="-110" windowWidth="19420" windowHeight="10420" activeTab="1" xr2:uid="{00000000-000D-0000-FFFF-FFFF00000000}"/>
  </bookViews>
  <sheets>
    <sheet name="Pivot_Tables" sheetId="2" r:id="rId1"/>
    <sheet name="Dashboard" sheetId="3" r:id="rId2"/>
    <sheet name="Raw_Data" sheetId="1" r:id="rId3"/>
  </sheets>
  <definedNames>
    <definedName name="Slicer_Month">#N/A</definedName>
    <definedName name="Slicer_Transporter">#N/A</definedName>
    <definedName name="Slicer_Violation_Type">#N/A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F961" i="1"/>
  <c r="F813" i="1"/>
  <c r="I805" i="1"/>
  <c r="C5" i="2"/>
  <c r="C6" i="2"/>
  <c r="C4" i="2"/>
  <c r="I813" i="1"/>
  <c r="I818" i="1"/>
  <c r="I806" i="1"/>
  <c r="I816" i="1"/>
  <c r="I814" i="1"/>
  <c r="I817" i="1"/>
  <c r="I810" i="1"/>
  <c r="I809" i="1"/>
  <c r="I804" i="1"/>
  <c r="I803" i="1"/>
  <c r="I797" i="1"/>
  <c r="I811" i="1"/>
  <c r="I802" i="1"/>
  <c r="I807" i="1"/>
  <c r="I812" i="1"/>
  <c r="I796" i="1"/>
  <c r="I795" i="1"/>
  <c r="I794" i="1"/>
  <c r="I800" i="1"/>
  <c r="I798" i="1"/>
  <c r="I815" i="1"/>
  <c r="I821" i="1"/>
  <c r="I820" i="1"/>
  <c r="I819" i="1"/>
  <c r="I808" i="1"/>
  <c r="I799" i="1"/>
  <c r="I801" i="1"/>
  <c r="I834" i="1"/>
  <c r="I825" i="1"/>
  <c r="I822" i="1"/>
  <c r="I826" i="1"/>
  <c r="I824" i="1"/>
  <c r="I823" i="1"/>
  <c r="I829" i="1"/>
  <c r="I828" i="1"/>
  <c r="I833" i="1"/>
  <c r="I832" i="1"/>
  <c r="I831" i="1"/>
  <c r="I830" i="1"/>
  <c r="I835" i="1"/>
  <c r="I827" i="1"/>
  <c r="I846" i="1"/>
  <c r="I845" i="1"/>
  <c r="I841" i="1"/>
  <c r="I840" i="1"/>
  <c r="I849" i="1"/>
  <c r="I836" i="1"/>
  <c r="I848" i="1"/>
  <c r="I843" i="1"/>
  <c r="I842" i="1"/>
  <c r="I839" i="1"/>
  <c r="I838" i="1"/>
  <c r="I837" i="1"/>
  <c r="I847" i="1"/>
  <c r="I844" i="1"/>
  <c r="I856" i="1"/>
  <c r="I851" i="1"/>
  <c r="I850" i="1"/>
  <c r="I860" i="1"/>
  <c r="I857" i="1"/>
  <c r="I853" i="1"/>
  <c r="I854" i="1"/>
  <c r="I859" i="1"/>
  <c r="I852" i="1"/>
  <c r="I858" i="1"/>
  <c r="I855" i="1"/>
  <c r="I865" i="1"/>
  <c r="I866" i="1"/>
  <c r="I861" i="1"/>
  <c r="I863" i="1"/>
  <c r="I862" i="1"/>
  <c r="I867" i="1"/>
  <c r="I864" i="1"/>
  <c r="I871" i="1"/>
  <c r="I873" i="1"/>
  <c r="I869" i="1"/>
  <c r="I868" i="1"/>
  <c r="I874" i="1"/>
  <c r="I872" i="1"/>
  <c r="I870" i="1"/>
  <c r="I889" i="1"/>
  <c r="I884" i="1"/>
  <c r="I886" i="1"/>
  <c r="I888" i="1"/>
  <c r="I885" i="1"/>
  <c r="I887" i="1"/>
  <c r="I881" i="1"/>
  <c r="I880" i="1"/>
  <c r="I879" i="1"/>
  <c r="I882" i="1"/>
  <c r="I876" i="1"/>
  <c r="I875" i="1"/>
  <c r="I891" i="1"/>
  <c r="I890" i="1"/>
  <c r="I877" i="1"/>
  <c r="I883" i="1"/>
  <c r="I892" i="1"/>
  <c r="I878" i="1"/>
  <c r="I893" i="1"/>
  <c r="I900" i="1"/>
  <c r="I897" i="1"/>
  <c r="I898" i="1"/>
  <c r="I894" i="1"/>
  <c r="I895" i="1"/>
  <c r="I899" i="1"/>
  <c r="I901" i="1"/>
  <c r="I896" i="1"/>
  <c r="I902" i="1"/>
  <c r="I911" i="1"/>
  <c r="I916" i="1"/>
  <c r="I912" i="1"/>
  <c r="I907" i="1"/>
  <c r="I906" i="1"/>
  <c r="I905" i="1"/>
  <c r="I903" i="1"/>
  <c r="I909" i="1"/>
  <c r="I908" i="1"/>
  <c r="I915" i="1"/>
  <c r="I913" i="1"/>
  <c r="I914" i="1"/>
  <c r="I917" i="1"/>
  <c r="I910" i="1"/>
  <c r="I904" i="1"/>
  <c r="I932" i="1"/>
  <c r="I928" i="1"/>
  <c r="I925" i="1"/>
  <c r="I929" i="1"/>
  <c r="I924" i="1"/>
  <c r="I918" i="1"/>
  <c r="I923" i="1"/>
  <c r="I921" i="1"/>
  <c r="I919" i="1"/>
  <c r="I927" i="1"/>
  <c r="I931" i="1"/>
  <c r="I922" i="1"/>
  <c r="I930" i="1"/>
  <c r="I926" i="1"/>
  <c r="I920" i="1"/>
  <c r="I943" i="1"/>
  <c r="I942" i="1"/>
  <c r="I934" i="1"/>
  <c r="I955" i="1"/>
  <c r="I937" i="1"/>
  <c r="I939" i="1"/>
  <c r="I954" i="1"/>
  <c r="I951" i="1"/>
  <c r="I953" i="1"/>
  <c r="I950" i="1"/>
  <c r="I948" i="1"/>
  <c r="I947" i="1"/>
  <c r="I945" i="1"/>
  <c r="I944" i="1"/>
  <c r="I940" i="1"/>
  <c r="I936" i="1"/>
  <c r="I933" i="1"/>
  <c r="I952" i="1"/>
  <c r="I941" i="1"/>
  <c r="I935" i="1"/>
  <c r="I938" i="1"/>
  <c r="I946" i="1"/>
  <c r="I949" i="1"/>
  <c r="I960" i="1"/>
  <c r="I956" i="1"/>
  <c r="I958" i="1"/>
  <c r="I957" i="1"/>
  <c r="I961" i="1"/>
  <c r="I962" i="1"/>
  <c r="I959" i="1"/>
  <c r="I971" i="1"/>
  <c r="I965" i="1"/>
  <c r="I963" i="1"/>
  <c r="I972" i="1"/>
  <c r="I970" i="1"/>
  <c r="I967" i="1"/>
  <c r="I969" i="1"/>
  <c r="I968" i="1"/>
  <c r="I964" i="1"/>
  <c r="I966" i="1"/>
  <c r="I989" i="1"/>
  <c r="I974" i="1"/>
  <c r="I985" i="1"/>
  <c r="I975" i="1"/>
  <c r="I973" i="1"/>
  <c r="I982" i="1"/>
  <c r="I978" i="1"/>
  <c r="I981" i="1"/>
  <c r="I980" i="1"/>
  <c r="I979" i="1"/>
  <c r="I986" i="1"/>
  <c r="I983" i="1"/>
  <c r="I984" i="1"/>
  <c r="I976" i="1"/>
  <c r="I977" i="1"/>
  <c r="I988" i="1"/>
  <c r="I987" i="1"/>
  <c r="I990" i="1"/>
  <c r="I991" i="1"/>
  <c r="I1004" i="1"/>
  <c r="I1003" i="1"/>
  <c r="I997" i="1"/>
  <c r="I1001" i="1"/>
  <c r="I1002" i="1"/>
  <c r="I995" i="1"/>
  <c r="I999" i="1"/>
  <c r="I998" i="1"/>
  <c r="I1000" i="1"/>
  <c r="I1006" i="1"/>
  <c r="I993" i="1"/>
  <c r="I992" i="1"/>
  <c r="I1005" i="1"/>
  <c r="I996" i="1"/>
  <c r="I994" i="1"/>
  <c r="I8" i="1"/>
  <c r="I39" i="1"/>
  <c r="I21" i="1"/>
  <c r="I29" i="1"/>
  <c r="I24" i="1"/>
  <c r="I27" i="1"/>
  <c r="I7" i="1"/>
  <c r="I10" i="1"/>
  <c r="I4" i="1"/>
  <c r="I16" i="1"/>
  <c r="I14" i="1"/>
  <c r="I2" i="1"/>
  <c r="I9" i="1"/>
  <c r="I26" i="1"/>
  <c r="I20" i="1"/>
  <c r="I19" i="1"/>
  <c r="I18" i="1"/>
  <c r="I36" i="1"/>
  <c r="I3" i="1"/>
  <c r="I15" i="1"/>
  <c r="I33" i="1"/>
  <c r="I37" i="1"/>
  <c r="I12" i="1"/>
  <c r="I5" i="1"/>
  <c r="I6" i="1"/>
  <c r="I23" i="1"/>
  <c r="I25" i="1"/>
  <c r="I22" i="1"/>
  <c r="I34" i="1"/>
  <c r="I35" i="1"/>
  <c r="I38" i="1"/>
  <c r="I11" i="1"/>
  <c r="I13" i="1"/>
  <c r="I17" i="1"/>
  <c r="I32" i="1"/>
  <c r="I28" i="1"/>
  <c r="I31" i="1"/>
  <c r="I30" i="1"/>
  <c r="I71" i="1"/>
  <c r="I76" i="1"/>
  <c r="I63" i="1"/>
  <c r="I45" i="1"/>
  <c r="I61" i="1"/>
  <c r="I59" i="1"/>
  <c r="I54" i="1"/>
  <c r="I69" i="1"/>
  <c r="I75" i="1"/>
  <c r="I64" i="1"/>
  <c r="I58" i="1"/>
  <c r="I57" i="1"/>
  <c r="I55" i="1"/>
  <c r="I53" i="1"/>
  <c r="I52" i="1"/>
  <c r="I50" i="1"/>
  <c r="I49" i="1"/>
  <c r="I43" i="1"/>
  <c r="I42" i="1"/>
  <c r="I65" i="1"/>
  <c r="I51" i="1"/>
  <c r="I56" i="1"/>
  <c r="I60" i="1"/>
  <c r="I67" i="1"/>
  <c r="I66" i="1"/>
  <c r="I62" i="1"/>
  <c r="I74" i="1"/>
  <c r="I72" i="1"/>
  <c r="I70" i="1"/>
  <c r="I68" i="1"/>
  <c r="I73" i="1"/>
  <c r="I41" i="1"/>
  <c r="I40" i="1"/>
  <c r="I44" i="1"/>
  <c r="I47" i="1"/>
  <c r="I46" i="1"/>
  <c r="I48" i="1"/>
  <c r="I103" i="1"/>
  <c r="I84" i="1"/>
  <c r="I89" i="1"/>
  <c r="I102" i="1"/>
  <c r="I88" i="1"/>
  <c r="I86" i="1"/>
  <c r="I85" i="1"/>
  <c r="I104" i="1"/>
  <c r="I92" i="1"/>
  <c r="I90" i="1"/>
  <c r="I97" i="1"/>
  <c r="I77" i="1"/>
  <c r="I79" i="1"/>
  <c r="I101" i="1"/>
  <c r="I100" i="1"/>
  <c r="I95" i="1"/>
  <c r="I94" i="1"/>
  <c r="I93" i="1"/>
  <c r="I91" i="1"/>
  <c r="I96" i="1"/>
  <c r="I98" i="1"/>
  <c r="I99" i="1"/>
  <c r="I80" i="1"/>
  <c r="I78" i="1"/>
  <c r="I81" i="1"/>
  <c r="I83" i="1"/>
  <c r="I82" i="1"/>
  <c r="I87" i="1"/>
  <c r="I1010" i="1"/>
  <c r="I1026" i="1"/>
  <c r="I1025" i="1"/>
  <c r="I1028" i="1"/>
  <c r="I1031" i="1"/>
  <c r="I1030" i="1"/>
  <c r="I1007" i="1"/>
  <c r="I1023" i="1"/>
  <c r="I1015" i="1"/>
  <c r="I1021" i="1"/>
  <c r="I1020" i="1"/>
  <c r="I1019" i="1"/>
  <c r="I1018" i="1"/>
  <c r="I1017" i="1"/>
  <c r="I1016" i="1"/>
  <c r="I1013" i="1"/>
  <c r="I1022" i="1"/>
  <c r="I1008" i="1"/>
  <c r="I1027" i="1"/>
  <c r="I1032" i="1"/>
  <c r="I1029" i="1"/>
  <c r="I1011" i="1"/>
  <c r="I1012" i="1"/>
  <c r="I1009" i="1"/>
  <c r="I1014" i="1"/>
  <c r="I1033" i="1"/>
  <c r="I1024" i="1"/>
  <c r="I138" i="1"/>
  <c r="I128" i="1"/>
  <c r="I110" i="1"/>
  <c r="I105" i="1"/>
  <c r="I126" i="1"/>
  <c r="I119" i="1"/>
  <c r="I123" i="1"/>
  <c r="I122" i="1"/>
  <c r="I111" i="1"/>
  <c r="I109" i="1"/>
  <c r="I120" i="1"/>
  <c r="I116" i="1"/>
  <c r="I115" i="1"/>
  <c r="I113" i="1"/>
  <c r="I112" i="1"/>
  <c r="I108" i="1"/>
  <c r="I107" i="1"/>
  <c r="I136" i="1"/>
  <c r="I135" i="1"/>
  <c r="I134" i="1"/>
  <c r="I129" i="1"/>
  <c r="I131" i="1"/>
  <c r="I132" i="1"/>
  <c r="I106" i="1"/>
  <c r="I133" i="1"/>
  <c r="I130" i="1"/>
  <c r="I139" i="1"/>
  <c r="I137" i="1"/>
  <c r="I117" i="1"/>
  <c r="I114" i="1"/>
  <c r="I124" i="1"/>
  <c r="I125" i="1"/>
  <c r="I118" i="1"/>
  <c r="I121" i="1"/>
  <c r="I127" i="1"/>
  <c r="I161" i="1"/>
  <c r="I160" i="1"/>
  <c r="I159" i="1"/>
  <c r="I158" i="1"/>
  <c r="I154" i="1"/>
  <c r="I150" i="1"/>
  <c r="I156" i="1"/>
  <c r="I153" i="1"/>
  <c r="I152" i="1"/>
  <c r="I151" i="1"/>
  <c r="I145" i="1"/>
  <c r="I141" i="1"/>
  <c r="I140" i="1"/>
  <c r="I163" i="1"/>
  <c r="I147" i="1"/>
  <c r="I146" i="1"/>
  <c r="I144" i="1"/>
  <c r="I143" i="1"/>
  <c r="I142" i="1"/>
  <c r="I162" i="1"/>
  <c r="I155" i="1"/>
  <c r="I148" i="1"/>
  <c r="I149" i="1"/>
  <c r="I157" i="1"/>
  <c r="I164" i="1"/>
  <c r="I165" i="1"/>
  <c r="I166" i="1"/>
  <c r="I180" i="1"/>
  <c r="I172" i="1"/>
  <c r="I170" i="1"/>
  <c r="I169" i="1"/>
  <c r="I168" i="1"/>
  <c r="I167" i="1"/>
  <c r="I179" i="1"/>
  <c r="I178" i="1"/>
  <c r="I177" i="1"/>
  <c r="I176" i="1"/>
  <c r="I175" i="1"/>
  <c r="I174" i="1"/>
  <c r="I173" i="1"/>
  <c r="I171" i="1"/>
  <c r="I199" i="1"/>
  <c r="I198" i="1"/>
  <c r="I197" i="1"/>
  <c r="I193" i="1"/>
  <c r="I188" i="1"/>
  <c r="I185" i="1"/>
  <c r="I192" i="1"/>
  <c r="I184" i="1"/>
  <c r="I183" i="1"/>
  <c r="I182" i="1"/>
  <c r="I181" i="1"/>
  <c r="I186" i="1"/>
  <c r="I187" i="1"/>
  <c r="I194" i="1"/>
  <c r="I200" i="1"/>
  <c r="I201" i="1"/>
  <c r="I189" i="1"/>
  <c r="I190" i="1"/>
  <c r="I191" i="1"/>
  <c r="I195" i="1"/>
  <c r="I196" i="1"/>
  <c r="I228" i="1"/>
  <c r="I213" i="1"/>
  <c r="I206" i="1"/>
  <c r="I230" i="1"/>
  <c r="I229" i="1"/>
  <c r="I227" i="1"/>
  <c r="I224" i="1"/>
  <c r="I225" i="1"/>
  <c r="I226" i="1"/>
  <c r="I223" i="1"/>
  <c r="I222" i="1"/>
  <c r="I221" i="1"/>
  <c r="I220" i="1"/>
  <c r="I219" i="1"/>
  <c r="I218" i="1"/>
  <c r="I217" i="1"/>
  <c r="I215" i="1"/>
  <c r="I212" i="1"/>
  <c r="I211" i="1"/>
  <c r="I207" i="1"/>
  <c r="I205" i="1"/>
  <c r="I203" i="1"/>
  <c r="I214" i="1"/>
  <c r="I202" i="1"/>
  <c r="I216" i="1"/>
  <c r="I204" i="1"/>
  <c r="I210" i="1"/>
  <c r="I209" i="1"/>
  <c r="I208" i="1"/>
  <c r="I252" i="1"/>
  <c r="I247" i="1"/>
  <c r="I245" i="1"/>
  <c r="I243" i="1"/>
  <c r="I244" i="1"/>
  <c r="I241" i="1"/>
  <c r="I239" i="1"/>
  <c r="I240" i="1"/>
  <c r="I236" i="1"/>
  <c r="I231" i="1"/>
  <c r="I254" i="1"/>
  <c r="I253" i="1"/>
  <c r="I249" i="1"/>
  <c r="I235" i="1"/>
  <c r="I234" i="1"/>
  <c r="I233" i="1"/>
  <c r="I232" i="1"/>
  <c r="I262" i="1"/>
  <c r="I261" i="1"/>
  <c r="I260" i="1"/>
  <c r="I259" i="1"/>
  <c r="I258" i="1"/>
  <c r="I257" i="1"/>
  <c r="I256" i="1"/>
  <c r="I246" i="1"/>
  <c r="I242" i="1"/>
  <c r="I248" i="1"/>
  <c r="I263" i="1"/>
  <c r="I238" i="1"/>
  <c r="I250" i="1"/>
  <c r="I251" i="1"/>
  <c r="I255" i="1"/>
  <c r="I237" i="1"/>
  <c r="I281" i="1"/>
  <c r="I283" i="1"/>
  <c r="I285" i="1"/>
  <c r="I272" i="1"/>
  <c r="I280" i="1"/>
  <c r="I275" i="1"/>
  <c r="I273" i="1"/>
  <c r="I271" i="1"/>
  <c r="I270" i="1"/>
  <c r="I269" i="1"/>
  <c r="I268" i="1"/>
  <c r="I267" i="1"/>
  <c r="I266" i="1"/>
  <c r="I276" i="1"/>
  <c r="I284" i="1"/>
  <c r="I279" i="1"/>
  <c r="I278" i="1"/>
  <c r="I277" i="1"/>
  <c r="I282" i="1"/>
  <c r="I274" i="1"/>
  <c r="I265" i="1"/>
  <c r="I264" i="1"/>
  <c r="I304" i="1"/>
  <c r="I303" i="1"/>
  <c r="I294" i="1"/>
  <c r="I297" i="1"/>
  <c r="I296" i="1"/>
  <c r="I299" i="1"/>
  <c r="I298" i="1"/>
  <c r="I291" i="1"/>
  <c r="I290" i="1"/>
  <c r="I289" i="1"/>
  <c r="I288" i="1"/>
  <c r="I287" i="1"/>
  <c r="I293" i="1"/>
  <c r="I301" i="1"/>
  <c r="I292" i="1"/>
  <c r="I306" i="1"/>
  <c r="I286" i="1"/>
  <c r="I305" i="1"/>
  <c r="I302" i="1"/>
  <c r="I300" i="1"/>
  <c r="I309" i="1"/>
  <c r="I307" i="1"/>
  <c r="I308" i="1"/>
  <c r="I295" i="1"/>
  <c r="I310" i="1"/>
  <c r="I317" i="1"/>
  <c r="I322" i="1"/>
  <c r="I321" i="1"/>
  <c r="I311" i="1"/>
  <c r="I315" i="1"/>
  <c r="I316" i="1"/>
  <c r="I313" i="1"/>
  <c r="I318" i="1"/>
  <c r="I324" i="1"/>
  <c r="I314" i="1"/>
  <c r="I323" i="1"/>
  <c r="I320" i="1"/>
  <c r="I319" i="1"/>
  <c r="I312" i="1"/>
  <c r="I329" i="1"/>
  <c r="I327" i="1"/>
  <c r="I333" i="1"/>
  <c r="I325" i="1"/>
  <c r="I336" i="1"/>
  <c r="I331" i="1"/>
  <c r="I330" i="1"/>
  <c r="I332" i="1"/>
  <c r="I328" i="1"/>
  <c r="I334" i="1"/>
  <c r="I335" i="1"/>
  <c r="I326" i="1"/>
  <c r="I1046" i="1"/>
  <c r="I1045" i="1"/>
  <c r="I1044" i="1"/>
  <c r="I1043" i="1"/>
  <c r="I1042" i="1"/>
  <c r="I1048" i="1"/>
  <c r="I1052" i="1"/>
  <c r="I1034" i="1"/>
  <c r="I1053" i="1"/>
  <c r="I1051" i="1"/>
  <c r="I1050" i="1"/>
  <c r="I1049" i="1"/>
  <c r="I1047" i="1"/>
  <c r="I1066" i="1"/>
  <c r="I1036" i="1"/>
  <c r="I1041" i="1"/>
  <c r="I1064" i="1"/>
  <c r="I1063" i="1"/>
  <c r="I1062" i="1"/>
  <c r="I1061" i="1"/>
  <c r="I1060" i="1"/>
  <c r="I1056" i="1"/>
  <c r="I1055" i="1"/>
  <c r="I1040" i="1"/>
  <c r="I1039" i="1"/>
  <c r="I1038" i="1"/>
  <c r="I1067" i="1"/>
  <c r="I1035" i="1"/>
  <c r="I1065" i="1"/>
  <c r="I1059" i="1"/>
  <c r="I1058" i="1"/>
  <c r="I1057" i="1"/>
  <c r="I1054" i="1"/>
  <c r="I1037" i="1"/>
  <c r="I357" i="1"/>
  <c r="I347" i="1"/>
  <c r="I346" i="1"/>
  <c r="I343" i="1"/>
  <c r="I342" i="1"/>
  <c r="I341" i="1"/>
  <c r="I356" i="1"/>
  <c r="I355" i="1"/>
  <c r="I340" i="1"/>
  <c r="I339" i="1"/>
  <c r="I345" i="1"/>
  <c r="I344" i="1"/>
  <c r="I353" i="1"/>
  <c r="I352" i="1"/>
  <c r="I351" i="1"/>
  <c r="I350" i="1"/>
  <c r="I338" i="1"/>
  <c r="I354" i="1"/>
  <c r="I349" i="1"/>
  <c r="I348" i="1"/>
  <c r="I337" i="1"/>
  <c r="I368" i="1"/>
  <c r="I365" i="1"/>
  <c r="I388" i="1"/>
  <c r="I387" i="1"/>
  <c r="I378" i="1"/>
  <c r="I377" i="1"/>
  <c r="I369" i="1"/>
  <c r="I374" i="1"/>
  <c r="I385" i="1"/>
  <c r="I367" i="1"/>
  <c r="I371" i="1"/>
  <c r="I370" i="1"/>
  <c r="I372" i="1"/>
  <c r="I373" i="1"/>
  <c r="I379" i="1"/>
  <c r="I386" i="1"/>
  <c r="I380" i="1"/>
  <c r="I381" i="1"/>
  <c r="I364" i="1"/>
  <c r="I362" i="1"/>
  <c r="I360" i="1"/>
  <c r="I359" i="1"/>
  <c r="I358" i="1"/>
  <c r="I382" i="1"/>
  <c r="I376" i="1"/>
  <c r="I383" i="1"/>
  <c r="I384" i="1"/>
  <c r="I363" i="1"/>
  <c r="I361" i="1"/>
  <c r="I366" i="1"/>
  <c r="I375" i="1"/>
  <c r="I406" i="1"/>
  <c r="I393" i="1"/>
  <c r="I409" i="1"/>
  <c r="I401" i="1"/>
  <c r="I398" i="1"/>
  <c r="I389" i="1"/>
  <c r="I404" i="1"/>
  <c r="I397" i="1"/>
  <c r="I399" i="1"/>
  <c r="I394" i="1"/>
  <c r="I395" i="1"/>
  <c r="I390" i="1"/>
  <c r="I400" i="1"/>
  <c r="I402" i="1"/>
  <c r="I403" i="1"/>
  <c r="I392" i="1"/>
  <c r="I408" i="1"/>
  <c r="I405" i="1"/>
  <c r="I407" i="1"/>
  <c r="I391" i="1"/>
  <c r="I396" i="1"/>
  <c r="I432" i="1"/>
  <c r="I417" i="1"/>
  <c r="I435" i="1"/>
  <c r="I425" i="1"/>
  <c r="I421" i="1"/>
  <c r="I424" i="1"/>
  <c r="I412" i="1"/>
  <c r="I413" i="1"/>
  <c r="I436" i="1"/>
  <c r="I410" i="1"/>
  <c r="I433" i="1"/>
  <c r="I426" i="1"/>
  <c r="I419" i="1"/>
  <c r="I418" i="1"/>
  <c r="I416" i="1"/>
  <c r="I415" i="1"/>
  <c r="I414" i="1"/>
  <c r="I431" i="1"/>
  <c r="I430" i="1"/>
  <c r="I429" i="1"/>
  <c r="I428" i="1"/>
  <c r="I427" i="1"/>
  <c r="I420" i="1"/>
  <c r="I411" i="1"/>
  <c r="I422" i="1"/>
  <c r="I440" i="1"/>
  <c r="I439" i="1"/>
  <c r="I438" i="1"/>
  <c r="I437" i="1"/>
  <c r="I423" i="1"/>
  <c r="I434" i="1"/>
  <c r="I448" i="1"/>
  <c r="I444" i="1"/>
  <c r="I443" i="1"/>
  <c r="I442" i="1"/>
  <c r="I441" i="1"/>
  <c r="I451" i="1"/>
  <c r="I446" i="1"/>
  <c r="I447" i="1"/>
  <c r="I445" i="1"/>
  <c r="I450" i="1"/>
  <c r="I449" i="1"/>
  <c r="I474" i="1"/>
  <c r="I460" i="1"/>
  <c r="I459" i="1"/>
  <c r="I457" i="1"/>
  <c r="I455" i="1"/>
  <c r="I471" i="1"/>
  <c r="I454" i="1"/>
  <c r="I458" i="1"/>
  <c r="I467" i="1"/>
  <c r="I452" i="1"/>
  <c r="I464" i="1"/>
  <c r="I463" i="1"/>
  <c r="I465" i="1"/>
  <c r="I462" i="1"/>
  <c r="I461" i="1"/>
  <c r="I453" i="1"/>
  <c r="I468" i="1"/>
  <c r="I466" i="1"/>
  <c r="I456" i="1"/>
  <c r="I469" i="1"/>
  <c r="I472" i="1"/>
  <c r="I473" i="1"/>
  <c r="I470" i="1"/>
  <c r="I480" i="1"/>
  <c r="I515" i="1"/>
  <c r="I477" i="1"/>
  <c r="I481" i="1"/>
  <c r="I478" i="1"/>
  <c r="I499" i="1"/>
  <c r="I476" i="1"/>
  <c r="I509" i="1"/>
  <c r="I510" i="1"/>
  <c r="I491" i="1"/>
  <c r="I506" i="1"/>
  <c r="I507" i="1"/>
  <c r="I521" i="1"/>
  <c r="I513" i="1"/>
  <c r="I495" i="1"/>
  <c r="I486" i="1"/>
  <c r="I494" i="1"/>
  <c r="I482" i="1"/>
  <c r="I516" i="1"/>
  <c r="I503" i="1"/>
  <c r="I508" i="1"/>
  <c r="I475" i="1"/>
  <c r="I479" i="1"/>
  <c r="I492" i="1"/>
  <c r="I504" i="1"/>
  <c r="I505" i="1"/>
  <c r="I484" i="1"/>
  <c r="I518" i="1"/>
  <c r="I488" i="1"/>
  <c r="I483" i="1"/>
  <c r="I519" i="1"/>
  <c r="I520" i="1"/>
  <c r="I485" i="1"/>
  <c r="I489" i="1"/>
  <c r="I487" i="1"/>
  <c r="I490" i="1"/>
  <c r="I502" i="1"/>
  <c r="I501" i="1"/>
  <c r="I498" i="1"/>
  <c r="I497" i="1"/>
  <c r="I496" i="1"/>
  <c r="I500" i="1"/>
  <c r="I493" i="1"/>
  <c r="I512" i="1"/>
  <c r="I511" i="1"/>
  <c r="I514" i="1"/>
  <c r="I517" i="1"/>
  <c r="I576" i="1"/>
  <c r="I543" i="1"/>
  <c r="I557" i="1"/>
  <c r="I569" i="1"/>
  <c r="I544" i="1"/>
  <c r="I538" i="1"/>
  <c r="I575" i="1"/>
  <c r="I546" i="1"/>
  <c r="I542" i="1"/>
  <c r="I578" i="1"/>
  <c r="I527" i="1"/>
  <c r="I529" i="1"/>
  <c r="I545" i="1"/>
  <c r="I536" i="1"/>
  <c r="I579" i="1"/>
  <c r="I566" i="1"/>
  <c r="I548" i="1"/>
  <c r="I547" i="1"/>
  <c r="I572" i="1"/>
  <c r="I581" i="1"/>
  <c r="I555" i="1"/>
  <c r="I522" i="1"/>
  <c r="I563" i="1"/>
  <c r="I550" i="1"/>
  <c r="I565" i="1"/>
  <c r="I559" i="1"/>
  <c r="I556" i="1"/>
  <c r="I541" i="1"/>
  <c r="I537" i="1"/>
  <c r="I535" i="1"/>
  <c r="I570" i="1"/>
  <c r="I526" i="1"/>
  <c r="I568" i="1"/>
  <c r="I562" i="1"/>
  <c r="I571" i="1"/>
  <c r="I551" i="1"/>
  <c r="I531" i="1"/>
  <c r="I528" i="1"/>
  <c r="I524" i="1"/>
  <c r="I554" i="1"/>
  <c r="I539" i="1"/>
  <c r="I553" i="1"/>
  <c r="I552" i="1"/>
  <c r="I561" i="1"/>
  <c r="I549" i="1"/>
  <c r="I540" i="1"/>
  <c r="I558" i="1"/>
  <c r="I560" i="1"/>
  <c r="I564" i="1"/>
  <c r="I582" i="1"/>
  <c r="I580" i="1"/>
  <c r="I567" i="1"/>
  <c r="I577" i="1"/>
  <c r="I573" i="1"/>
  <c r="I574" i="1"/>
  <c r="I530" i="1"/>
  <c r="I534" i="1"/>
  <c r="I532" i="1"/>
  <c r="I523" i="1"/>
  <c r="I533" i="1"/>
  <c r="I525" i="1"/>
  <c r="I648" i="1"/>
  <c r="I631" i="1"/>
  <c r="I630" i="1"/>
  <c r="I586" i="1"/>
  <c r="I626" i="1"/>
  <c r="I594" i="1"/>
  <c r="I622" i="1"/>
  <c r="I585" i="1"/>
  <c r="I632" i="1"/>
  <c r="I627" i="1"/>
  <c r="I610" i="1"/>
  <c r="I589" i="1"/>
  <c r="I644" i="1"/>
  <c r="I601" i="1"/>
  <c r="I633" i="1"/>
  <c r="I611" i="1"/>
  <c r="I647" i="1"/>
  <c r="I629" i="1"/>
  <c r="I634" i="1"/>
  <c r="I598" i="1"/>
  <c r="I639" i="1"/>
  <c r="I625" i="1"/>
  <c r="I637" i="1"/>
  <c r="I592" i="1"/>
  <c r="I603" i="1"/>
  <c r="I602" i="1"/>
  <c r="I655" i="1"/>
  <c r="I641" i="1"/>
  <c r="I588" i="1"/>
  <c r="I636" i="1"/>
  <c r="I612" i="1"/>
  <c r="I646" i="1"/>
  <c r="I623" i="1"/>
  <c r="I597" i="1"/>
  <c r="I596" i="1"/>
  <c r="I653" i="1"/>
  <c r="I652" i="1"/>
  <c r="I651" i="1"/>
  <c r="I650" i="1"/>
  <c r="I649" i="1"/>
  <c r="I645" i="1"/>
  <c r="I628" i="1"/>
  <c r="I624" i="1"/>
  <c r="I621" i="1"/>
  <c r="I620" i="1"/>
  <c r="I619" i="1"/>
  <c r="I617" i="1"/>
  <c r="I616" i="1"/>
  <c r="I615" i="1"/>
  <c r="I614" i="1"/>
  <c r="I613" i="1"/>
  <c r="I584" i="1"/>
  <c r="I606" i="1"/>
  <c r="I587" i="1"/>
  <c r="I583" i="1"/>
  <c r="I654" i="1"/>
  <c r="I635" i="1"/>
  <c r="I640" i="1"/>
  <c r="I642" i="1"/>
  <c r="I643" i="1"/>
  <c r="I638" i="1"/>
  <c r="I599" i="1"/>
  <c r="I590" i="1"/>
  <c r="I600" i="1"/>
  <c r="I593" i="1"/>
  <c r="I591" i="1"/>
  <c r="I595" i="1"/>
  <c r="I604" i="1"/>
  <c r="I607" i="1"/>
  <c r="I608" i="1"/>
  <c r="I605" i="1"/>
  <c r="I609" i="1"/>
  <c r="I618" i="1"/>
  <c r="I684" i="1"/>
  <c r="I666" i="1"/>
  <c r="I659" i="1"/>
  <c r="I661" i="1"/>
  <c r="I679" i="1"/>
  <c r="I689" i="1"/>
  <c r="I687" i="1"/>
  <c r="I676" i="1"/>
  <c r="I686" i="1"/>
  <c r="I685" i="1"/>
  <c r="I660" i="1"/>
  <c r="I657" i="1"/>
  <c r="I671" i="1"/>
  <c r="I670" i="1"/>
  <c r="I669" i="1"/>
  <c r="I668" i="1"/>
  <c r="I667" i="1"/>
  <c r="I672" i="1"/>
  <c r="I678" i="1"/>
  <c r="I691" i="1"/>
  <c r="I665" i="1"/>
  <c r="I664" i="1"/>
  <c r="I663" i="1"/>
  <c r="I658" i="1"/>
  <c r="I674" i="1"/>
  <c r="I675" i="1"/>
  <c r="I673" i="1"/>
  <c r="I677" i="1"/>
  <c r="I656" i="1"/>
  <c r="I690" i="1"/>
  <c r="I688" i="1"/>
  <c r="I680" i="1"/>
  <c r="I683" i="1"/>
  <c r="I681" i="1"/>
  <c r="I682" i="1"/>
  <c r="I662" i="1"/>
  <c r="I692" i="1"/>
  <c r="I1078" i="1"/>
  <c r="I1071" i="1"/>
  <c r="I1085" i="1"/>
  <c r="I1069" i="1"/>
  <c r="I1073" i="1"/>
  <c r="I1080" i="1"/>
  <c r="I1086" i="1"/>
  <c r="I1076" i="1"/>
  <c r="I1075" i="1"/>
  <c r="I1072" i="1"/>
  <c r="I1081" i="1"/>
  <c r="I1068" i="1"/>
  <c r="I1079" i="1"/>
  <c r="I1082" i="1"/>
  <c r="I1083" i="1"/>
  <c r="I1077" i="1"/>
  <c r="I1074" i="1"/>
  <c r="I1070" i="1"/>
  <c r="I1084" i="1"/>
  <c r="I1087" i="1"/>
  <c r="I1088" i="1"/>
  <c r="I713" i="1"/>
  <c r="I698" i="1"/>
  <c r="I701" i="1"/>
  <c r="I720" i="1"/>
  <c r="I716" i="1"/>
  <c r="I705" i="1"/>
  <c r="I704" i="1"/>
  <c r="I699" i="1"/>
  <c r="I707" i="1"/>
  <c r="I718" i="1"/>
  <c r="I712" i="1"/>
  <c r="I714" i="1"/>
  <c r="I710" i="1"/>
  <c r="I719" i="1"/>
  <c r="I703" i="1"/>
  <c r="I700" i="1"/>
  <c r="I694" i="1"/>
  <c r="I693" i="1"/>
  <c r="I722" i="1"/>
  <c r="I721" i="1"/>
  <c r="I696" i="1"/>
  <c r="I709" i="1"/>
  <c r="I706" i="1"/>
  <c r="I715" i="1"/>
  <c r="I711" i="1"/>
  <c r="I708" i="1"/>
  <c r="I697" i="1"/>
  <c r="I702" i="1"/>
  <c r="I695" i="1"/>
  <c r="I723" i="1"/>
  <c r="I717" i="1"/>
  <c r="I747" i="1"/>
  <c r="I757" i="1"/>
  <c r="I745" i="1"/>
  <c r="I765" i="1"/>
  <c r="I758" i="1"/>
  <c r="I749" i="1"/>
  <c r="I730" i="1"/>
  <c r="I727" i="1"/>
  <c r="I743" i="1"/>
  <c r="I735" i="1"/>
  <c r="I755" i="1"/>
  <c r="I740" i="1"/>
  <c r="I751" i="1"/>
  <c r="I752" i="1"/>
  <c r="I768" i="1"/>
  <c r="I767" i="1"/>
  <c r="I764" i="1"/>
  <c r="I763" i="1"/>
  <c r="I762" i="1"/>
  <c r="I750" i="1"/>
  <c r="I770" i="1"/>
  <c r="I769" i="1"/>
  <c r="I732" i="1"/>
  <c r="I742" i="1"/>
  <c r="I724" i="1"/>
  <c r="I739" i="1"/>
  <c r="I726" i="1"/>
  <c r="I759" i="1"/>
  <c r="I738" i="1"/>
  <c r="I737" i="1"/>
  <c r="I736" i="1"/>
  <c r="I734" i="1"/>
  <c r="I733" i="1"/>
  <c r="I729" i="1"/>
  <c r="I728" i="1"/>
  <c r="I760" i="1"/>
  <c r="I754" i="1"/>
  <c r="I753" i="1"/>
  <c r="I731" i="1"/>
  <c r="I725" i="1"/>
  <c r="I746" i="1"/>
  <c r="I748" i="1"/>
  <c r="I771" i="1"/>
  <c r="I756" i="1"/>
  <c r="I761" i="1"/>
  <c r="I766" i="1"/>
  <c r="I741" i="1"/>
  <c r="I744" i="1"/>
  <c r="I780" i="1"/>
  <c r="I775" i="1"/>
  <c r="I774" i="1"/>
  <c r="I773" i="1"/>
  <c r="I772" i="1"/>
  <c r="I787" i="1"/>
  <c r="I782" i="1"/>
  <c r="I779" i="1"/>
  <c r="I790" i="1"/>
  <c r="I788" i="1"/>
  <c r="I789" i="1"/>
  <c r="I777" i="1"/>
  <c r="I791" i="1"/>
  <c r="I793" i="1"/>
  <c r="I792" i="1"/>
  <c r="I781" i="1"/>
  <c r="I783" i="1"/>
  <c r="I784" i="1"/>
  <c r="I785" i="1"/>
  <c r="I786" i="1"/>
  <c r="I776" i="1"/>
  <c r="I778" i="1"/>
  <c r="I1096" i="1"/>
  <c r="I1126" i="1"/>
  <c r="I1125" i="1"/>
  <c r="I1116" i="1"/>
  <c r="I1103" i="1"/>
  <c r="I1102" i="1"/>
  <c r="I1101" i="1"/>
  <c r="I1127" i="1"/>
  <c r="I1124" i="1"/>
  <c r="I1118" i="1"/>
  <c r="I1113" i="1"/>
  <c r="I1109" i="1"/>
  <c r="I1108" i="1"/>
  <c r="I1099" i="1"/>
  <c r="I1098" i="1"/>
  <c r="I1095" i="1"/>
  <c r="I1090" i="1"/>
  <c r="I1089" i="1"/>
  <c r="I1130" i="1"/>
  <c r="I1117" i="1"/>
  <c r="I1100" i="1"/>
  <c r="I1133" i="1"/>
  <c r="I1132" i="1"/>
  <c r="I1115" i="1"/>
  <c r="I1112" i="1"/>
  <c r="I1111" i="1"/>
  <c r="I1107" i="1"/>
  <c r="I1105" i="1"/>
  <c r="I1094" i="1"/>
  <c r="I1093" i="1"/>
  <c r="I1129" i="1"/>
  <c r="I1121" i="1"/>
  <c r="I1123" i="1"/>
  <c r="I1122" i="1"/>
  <c r="I1091" i="1"/>
  <c r="I1092" i="1"/>
  <c r="I1104" i="1"/>
  <c r="I1106" i="1"/>
  <c r="I1131" i="1"/>
  <c r="I1128" i="1"/>
  <c r="I1110" i="1"/>
  <c r="I1097" i="1"/>
  <c r="I1119" i="1"/>
  <c r="I1120" i="1"/>
  <c r="I1114" i="1"/>
  <c r="I1151" i="1"/>
  <c r="I1158" i="1"/>
  <c r="I1157" i="1"/>
  <c r="I1169" i="1"/>
  <c r="I1165" i="1"/>
  <c r="I1156" i="1"/>
  <c r="I1167" i="1"/>
  <c r="I1166" i="1"/>
  <c r="I1170" i="1"/>
  <c r="I1176" i="1"/>
  <c r="I1154" i="1"/>
  <c r="I1152" i="1"/>
  <c r="I1153" i="1"/>
  <c r="I1136" i="1"/>
  <c r="I1149" i="1"/>
  <c r="I1148" i="1"/>
  <c r="I1147" i="1"/>
  <c r="I1146" i="1"/>
  <c r="I1145" i="1"/>
  <c r="I1144" i="1"/>
  <c r="I1143" i="1"/>
  <c r="I1142" i="1"/>
  <c r="I1141" i="1"/>
  <c r="I1140" i="1"/>
  <c r="I1139" i="1"/>
  <c r="I1138" i="1"/>
  <c r="I1137" i="1"/>
  <c r="I1135" i="1"/>
  <c r="I1174" i="1"/>
  <c r="I1173" i="1"/>
  <c r="I1172" i="1"/>
  <c r="I1171" i="1"/>
  <c r="I1155" i="1"/>
  <c r="I1134" i="1"/>
  <c r="I1150" i="1"/>
  <c r="I1160" i="1"/>
  <c r="I1159" i="1"/>
  <c r="I1175" i="1"/>
  <c r="I1162" i="1"/>
  <c r="I1168" i="1"/>
  <c r="I1163" i="1"/>
  <c r="I1164" i="1"/>
  <c r="I1161" i="1"/>
  <c r="N813" i="1"/>
  <c r="N805" i="1"/>
  <c r="N818" i="1"/>
  <c r="N806" i="1"/>
  <c r="N816" i="1"/>
  <c r="N814" i="1"/>
  <c r="N817" i="1"/>
  <c r="N810" i="1"/>
  <c r="N809" i="1"/>
  <c r="N804" i="1"/>
  <c r="N803" i="1"/>
  <c r="N797" i="1"/>
  <c r="N811" i="1"/>
  <c r="N802" i="1"/>
  <c r="N807" i="1"/>
  <c r="N812" i="1"/>
  <c r="N796" i="1"/>
  <c r="N795" i="1"/>
  <c r="N794" i="1"/>
  <c r="N800" i="1"/>
  <c r="N798" i="1"/>
  <c r="N815" i="1"/>
  <c r="N821" i="1"/>
  <c r="N820" i="1"/>
  <c r="N819" i="1"/>
  <c r="N808" i="1"/>
  <c r="N799" i="1"/>
  <c r="N801" i="1"/>
  <c r="N834" i="1"/>
  <c r="N825" i="1"/>
  <c r="N822" i="1"/>
  <c r="N826" i="1"/>
  <c r="N824" i="1"/>
  <c r="N823" i="1"/>
  <c r="N829" i="1"/>
  <c r="N828" i="1"/>
  <c r="N833" i="1"/>
  <c r="N832" i="1"/>
  <c r="N831" i="1"/>
  <c r="N830" i="1"/>
  <c r="N835" i="1"/>
  <c r="N827" i="1"/>
  <c r="N846" i="1"/>
  <c r="N845" i="1"/>
  <c r="N841" i="1"/>
  <c r="N840" i="1"/>
  <c r="N849" i="1"/>
  <c r="N836" i="1"/>
  <c r="N848" i="1"/>
  <c r="N843" i="1"/>
  <c r="N842" i="1"/>
  <c r="N839" i="1"/>
  <c r="N838" i="1"/>
  <c r="N837" i="1"/>
  <c r="N847" i="1"/>
  <c r="N844" i="1"/>
  <c r="N856" i="1"/>
  <c r="N851" i="1"/>
  <c r="N850" i="1"/>
  <c r="N860" i="1"/>
  <c r="N857" i="1"/>
  <c r="N853" i="1"/>
  <c r="N854" i="1"/>
  <c r="N859" i="1"/>
  <c r="N852" i="1"/>
  <c r="N858" i="1"/>
  <c r="N855" i="1"/>
  <c r="N865" i="1"/>
  <c r="N866" i="1"/>
  <c r="N861" i="1"/>
  <c r="N863" i="1"/>
  <c r="N862" i="1"/>
  <c r="N867" i="1"/>
  <c r="N864" i="1"/>
  <c r="N871" i="1"/>
  <c r="N873" i="1"/>
  <c r="N869" i="1"/>
  <c r="N868" i="1"/>
  <c r="N874" i="1"/>
  <c r="N872" i="1"/>
  <c r="N870" i="1"/>
  <c r="N889" i="1"/>
  <c r="N884" i="1"/>
  <c r="N886" i="1"/>
  <c r="N888" i="1"/>
  <c r="N885" i="1"/>
  <c r="N887" i="1"/>
  <c r="N881" i="1"/>
  <c r="N880" i="1"/>
  <c r="N879" i="1"/>
  <c r="N882" i="1"/>
  <c r="N876" i="1"/>
  <c r="N875" i="1"/>
  <c r="N891" i="1"/>
  <c r="N890" i="1"/>
  <c r="N877" i="1"/>
  <c r="N883" i="1"/>
  <c r="N892" i="1"/>
  <c r="N878" i="1"/>
  <c r="N893" i="1"/>
  <c r="N900" i="1"/>
  <c r="N897" i="1"/>
  <c r="N898" i="1"/>
  <c r="N894" i="1"/>
  <c r="N895" i="1"/>
  <c r="N899" i="1"/>
  <c r="N901" i="1"/>
  <c r="N896" i="1"/>
  <c r="N902" i="1"/>
  <c r="N911" i="1"/>
  <c r="N916" i="1"/>
  <c r="N912" i="1"/>
  <c r="N907" i="1"/>
  <c r="N906" i="1"/>
  <c r="N905" i="1"/>
  <c r="N903" i="1"/>
  <c r="N909" i="1"/>
  <c r="N908" i="1"/>
  <c r="N915" i="1"/>
  <c r="N913" i="1"/>
  <c r="N914" i="1"/>
  <c r="N917" i="1"/>
  <c r="N910" i="1"/>
  <c r="N904" i="1"/>
  <c r="N932" i="1"/>
  <c r="N928" i="1"/>
  <c r="N925" i="1"/>
  <c r="N929" i="1"/>
  <c r="N924" i="1"/>
  <c r="N918" i="1"/>
  <c r="N923" i="1"/>
  <c r="N921" i="1"/>
  <c r="N919" i="1"/>
  <c r="N927" i="1"/>
  <c r="N931" i="1"/>
  <c r="N922" i="1"/>
  <c r="N930" i="1"/>
  <c r="N926" i="1"/>
  <c r="N920" i="1"/>
  <c r="N943" i="1"/>
  <c r="N942" i="1"/>
  <c r="N934" i="1"/>
  <c r="N955" i="1"/>
  <c r="N937" i="1"/>
  <c r="N939" i="1"/>
  <c r="N954" i="1"/>
  <c r="N951" i="1"/>
  <c r="N953" i="1"/>
  <c r="N950" i="1"/>
  <c r="N948" i="1"/>
  <c r="N947" i="1"/>
  <c r="N945" i="1"/>
  <c r="N944" i="1"/>
  <c r="N940" i="1"/>
  <c r="N936" i="1"/>
  <c r="N933" i="1"/>
  <c r="N952" i="1"/>
  <c r="N941" i="1"/>
  <c r="N935" i="1"/>
  <c r="N938" i="1"/>
  <c r="N946" i="1"/>
  <c r="N949" i="1"/>
  <c r="N960" i="1"/>
  <c r="N956" i="1"/>
  <c r="N958" i="1"/>
  <c r="N957" i="1"/>
  <c r="N961" i="1"/>
  <c r="N962" i="1"/>
  <c r="N959" i="1"/>
  <c r="N971" i="1"/>
  <c r="N965" i="1"/>
  <c r="N963" i="1"/>
  <c r="N972" i="1"/>
  <c r="N970" i="1"/>
  <c r="N967" i="1"/>
  <c r="N969" i="1"/>
  <c r="N968" i="1"/>
  <c r="N964" i="1"/>
  <c r="N966" i="1"/>
  <c r="N989" i="1"/>
  <c r="N974" i="1"/>
  <c r="N985" i="1"/>
  <c r="N975" i="1"/>
  <c r="N973" i="1"/>
  <c r="N982" i="1"/>
  <c r="N978" i="1"/>
  <c r="N981" i="1"/>
  <c r="N980" i="1"/>
  <c r="N979" i="1"/>
  <c r="N986" i="1"/>
  <c r="N983" i="1"/>
  <c r="N984" i="1"/>
  <c r="N976" i="1"/>
  <c r="N977" i="1"/>
  <c r="N988" i="1"/>
  <c r="N987" i="1"/>
  <c r="N990" i="1"/>
  <c r="N991" i="1"/>
  <c r="N1004" i="1"/>
  <c r="N1003" i="1"/>
  <c r="N997" i="1"/>
  <c r="N1001" i="1"/>
  <c r="N1002" i="1"/>
  <c r="N995" i="1"/>
  <c r="N999" i="1"/>
  <c r="N998" i="1"/>
  <c r="N1000" i="1"/>
  <c r="N1006" i="1"/>
  <c r="N993" i="1"/>
  <c r="N992" i="1"/>
  <c r="N1005" i="1"/>
  <c r="N996" i="1"/>
  <c r="N994" i="1"/>
  <c r="N8" i="1"/>
  <c r="N39" i="1"/>
  <c r="N21" i="1"/>
  <c r="N29" i="1"/>
  <c r="N24" i="1"/>
  <c r="N27" i="1"/>
  <c r="N7" i="1"/>
  <c r="N10" i="1"/>
  <c r="N4" i="1"/>
  <c r="N16" i="1"/>
  <c r="N14" i="1"/>
  <c r="N2" i="1"/>
  <c r="N9" i="1"/>
  <c r="N26" i="1"/>
  <c r="N20" i="1"/>
  <c r="N19" i="1"/>
  <c r="N18" i="1"/>
  <c r="N36" i="1"/>
  <c r="N3" i="1"/>
  <c r="N15" i="1"/>
  <c r="N33" i="1"/>
  <c r="N37" i="1"/>
  <c r="N12" i="1"/>
  <c r="N5" i="1"/>
  <c r="N6" i="1"/>
  <c r="N23" i="1"/>
  <c r="N25" i="1"/>
  <c r="N22" i="1"/>
  <c r="N34" i="1"/>
  <c r="N35" i="1"/>
  <c r="N38" i="1"/>
  <c r="N11" i="1"/>
  <c r="N13" i="1"/>
  <c r="N17" i="1"/>
  <c r="N32" i="1"/>
  <c r="N28" i="1"/>
  <c r="N31" i="1"/>
  <c r="N30" i="1"/>
  <c r="N71" i="1"/>
  <c r="N76" i="1"/>
  <c r="N63" i="1"/>
  <c r="N45" i="1"/>
  <c r="N61" i="1"/>
  <c r="N59" i="1"/>
  <c r="N54" i="1"/>
  <c r="N69" i="1"/>
  <c r="N75" i="1"/>
  <c r="N64" i="1"/>
  <c r="N58" i="1"/>
  <c r="N57" i="1"/>
  <c r="N55" i="1"/>
  <c r="N53" i="1"/>
  <c r="N52" i="1"/>
  <c r="N50" i="1"/>
  <c r="N49" i="1"/>
  <c r="N43" i="1"/>
  <c r="N42" i="1"/>
  <c r="N65" i="1"/>
  <c r="N51" i="1"/>
  <c r="N56" i="1"/>
  <c r="N60" i="1"/>
  <c r="N67" i="1"/>
  <c r="N66" i="1"/>
  <c r="N62" i="1"/>
  <c r="N74" i="1"/>
  <c r="N72" i="1"/>
  <c r="N70" i="1"/>
  <c r="N68" i="1"/>
  <c r="N73" i="1"/>
  <c r="N41" i="1"/>
  <c r="N40" i="1"/>
  <c r="N44" i="1"/>
  <c r="N47" i="1"/>
  <c r="N46" i="1"/>
  <c r="N48" i="1"/>
  <c r="N103" i="1"/>
  <c r="N84" i="1"/>
  <c r="N89" i="1"/>
  <c r="N102" i="1"/>
  <c r="N88" i="1"/>
  <c r="N86" i="1"/>
  <c r="N85" i="1"/>
  <c r="N104" i="1"/>
  <c r="N92" i="1"/>
  <c r="N90" i="1"/>
  <c r="N97" i="1"/>
  <c r="N77" i="1"/>
  <c r="N79" i="1"/>
  <c r="N101" i="1"/>
  <c r="N100" i="1"/>
  <c r="N95" i="1"/>
  <c r="N94" i="1"/>
  <c r="N93" i="1"/>
  <c r="N91" i="1"/>
  <c r="N96" i="1"/>
  <c r="N98" i="1"/>
  <c r="N99" i="1"/>
  <c r="N80" i="1"/>
  <c r="N78" i="1"/>
  <c r="N81" i="1"/>
  <c r="N83" i="1"/>
  <c r="N82" i="1"/>
  <c r="N87" i="1"/>
  <c r="N1010" i="1"/>
  <c r="N1026" i="1"/>
  <c r="N1025" i="1"/>
  <c r="N1028" i="1"/>
  <c r="N1031" i="1"/>
  <c r="N1030" i="1"/>
  <c r="N1007" i="1"/>
  <c r="N1023" i="1"/>
  <c r="N1015" i="1"/>
  <c r="N1021" i="1"/>
  <c r="N1020" i="1"/>
  <c r="N1019" i="1"/>
  <c r="N1018" i="1"/>
  <c r="N1017" i="1"/>
  <c r="N1016" i="1"/>
  <c r="N1013" i="1"/>
  <c r="N1022" i="1"/>
  <c r="N1008" i="1"/>
  <c r="N1027" i="1"/>
  <c r="N1032" i="1"/>
  <c r="N1029" i="1"/>
  <c r="N1011" i="1"/>
  <c r="N1012" i="1"/>
  <c r="N1009" i="1"/>
  <c r="N1014" i="1"/>
  <c r="N1033" i="1"/>
  <c r="N1024" i="1"/>
  <c r="N138" i="1"/>
  <c r="N128" i="1"/>
  <c r="N110" i="1"/>
  <c r="N105" i="1"/>
  <c r="N126" i="1"/>
  <c r="N119" i="1"/>
  <c r="N123" i="1"/>
  <c r="N122" i="1"/>
  <c r="N111" i="1"/>
  <c r="N109" i="1"/>
  <c r="N120" i="1"/>
  <c r="N116" i="1"/>
  <c r="N115" i="1"/>
  <c r="N113" i="1"/>
  <c r="N112" i="1"/>
  <c r="N108" i="1"/>
  <c r="N107" i="1"/>
  <c r="N136" i="1"/>
  <c r="N135" i="1"/>
  <c r="N134" i="1"/>
  <c r="N129" i="1"/>
  <c r="N131" i="1"/>
  <c r="N132" i="1"/>
  <c r="N106" i="1"/>
  <c r="N133" i="1"/>
  <c r="N130" i="1"/>
  <c r="N139" i="1"/>
  <c r="N137" i="1"/>
  <c r="N117" i="1"/>
  <c r="N114" i="1"/>
  <c r="N124" i="1"/>
  <c r="N125" i="1"/>
  <c r="N118" i="1"/>
  <c r="N121" i="1"/>
  <c r="N127" i="1"/>
  <c r="N161" i="1"/>
  <c r="N160" i="1"/>
  <c r="N159" i="1"/>
  <c r="N158" i="1"/>
  <c r="N154" i="1"/>
  <c r="N150" i="1"/>
  <c r="N156" i="1"/>
  <c r="N153" i="1"/>
  <c r="N152" i="1"/>
  <c r="N151" i="1"/>
  <c r="N145" i="1"/>
  <c r="N141" i="1"/>
  <c r="N140" i="1"/>
  <c r="N163" i="1"/>
  <c r="N147" i="1"/>
  <c r="N146" i="1"/>
  <c r="N144" i="1"/>
  <c r="N143" i="1"/>
  <c r="N142" i="1"/>
  <c r="N162" i="1"/>
  <c r="N155" i="1"/>
  <c r="N148" i="1"/>
  <c r="N149" i="1"/>
  <c r="N157" i="1"/>
  <c r="N164" i="1"/>
  <c r="N165" i="1"/>
  <c r="N166" i="1"/>
  <c r="N180" i="1"/>
  <c r="N172" i="1"/>
  <c r="N170" i="1"/>
  <c r="N169" i="1"/>
  <c r="N168" i="1"/>
  <c r="N167" i="1"/>
  <c r="N179" i="1"/>
  <c r="N178" i="1"/>
  <c r="N177" i="1"/>
  <c r="N176" i="1"/>
  <c r="N175" i="1"/>
  <c r="N174" i="1"/>
  <c r="N173" i="1"/>
  <c r="N171" i="1"/>
  <c r="N199" i="1"/>
  <c r="N198" i="1"/>
  <c r="N197" i="1"/>
  <c r="N193" i="1"/>
  <c r="N188" i="1"/>
  <c r="N185" i="1"/>
  <c r="N192" i="1"/>
  <c r="N184" i="1"/>
  <c r="N183" i="1"/>
  <c r="N182" i="1"/>
  <c r="N181" i="1"/>
  <c r="N186" i="1"/>
  <c r="N187" i="1"/>
  <c r="N194" i="1"/>
  <c r="N200" i="1"/>
  <c r="N201" i="1"/>
  <c r="N189" i="1"/>
  <c r="N190" i="1"/>
  <c r="N191" i="1"/>
  <c r="N195" i="1"/>
  <c r="N196" i="1"/>
  <c r="N228" i="1"/>
  <c r="N213" i="1"/>
  <c r="N206" i="1"/>
  <c r="N230" i="1"/>
  <c r="N229" i="1"/>
  <c r="N227" i="1"/>
  <c r="N224" i="1"/>
  <c r="N225" i="1"/>
  <c r="N226" i="1"/>
  <c r="N223" i="1"/>
  <c r="N222" i="1"/>
  <c r="N221" i="1"/>
  <c r="N220" i="1"/>
  <c r="N219" i="1"/>
  <c r="N218" i="1"/>
  <c r="N217" i="1"/>
  <c r="N215" i="1"/>
  <c r="N212" i="1"/>
  <c r="N211" i="1"/>
  <c r="N207" i="1"/>
  <c r="N205" i="1"/>
  <c r="N203" i="1"/>
  <c r="N214" i="1"/>
  <c r="N202" i="1"/>
  <c r="N216" i="1"/>
  <c r="N204" i="1"/>
  <c r="N210" i="1"/>
  <c r="N209" i="1"/>
  <c r="N208" i="1"/>
  <c r="N252" i="1"/>
  <c r="N247" i="1"/>
  <c r="N245" i="1"/>
  <c r="N243" i="1"/>
  <c r="N244" i="1"/>
  <c r="N241" i="1"/>
  <c r="N239" i="1"/>
  <c r="N240" i="1"/>
  <c r="N236" i="1"/>
  <c r="N231" i="1"/>
  <c r="N254" i="1"/>
  <c r="N253" i="1"/>
  <c r="N249" i="1"/>
  <c r="N235" i="1"/>
  <c r="N234" i="1"/>
  <c r="N233" i="1"/>
  <c r="N232" i="1"/>
  <c r="N262" i="1"/>
  <c r="N261" i="1"/>
  <c r="N260" i="1"/>
  <c r="N259" i="1"/>
  <c r="N258" i="1"/>
  <c r="N257" i="1"/>
  <c r="N256" i="1"/>
  <c r="N246" i="1"/>
  <c r="N242" i="1"/>
  <c r="N248" i="1"/>
  <c r="N263" i="1"/>
  <c r="N238" i="1"/>
  <c r="N250" i="1"/>
  <c r="N251" i="1"/>
  <c r="N255" i="1"/>
  <c r="N237" i="1"/>
  <c r="N281" i="1"/>
  <c r="N283" i="1"/>
  <c r="N285" i="1"/>
  <c r="N272" i="1"/>
  <c r="N280" i="1"/>
  <c r="N275" i="1"/>
  <c r="N273" i="1"/>
  <c r="N271" i="1"/>
  <c r="N270" i="1"/>
  <c r="N269" i="1"/>
  <c r="N268" i="1"/>
  <c r="N267" i="1"/>
  <c r="N266" i="1"/>
  <c r="N276" i="1"/>
  <c r="N284" i="1"/>
  <c r="N279" i="1"/>
  <c r="N278" i="1"/>
  <c r="N277" i="1"/>
  <c r="N282" i="1"/>
  <c r="N274" i="1"/>
  <c r="N265" i="1"/>
  <c r="N264" i="1"/>
  <c r="N304" i="1"/>
  <c r="N303" i="1"/>
  <c r="N294" i="1"/>
  <c r="N297" i="1"/>
  <c r="N296" i="1"/>
  <c r="N299" i="1"/>
  <c r="N298" i="1"/>
  <c r="N291" i="1"/>
  <c r="N290" i="1"/>
  <c r="N289" i="1"/>
  <c r="N288" i="1"/>
  <c r="N287" i="1"/>
  <c r="N293" i="1"/>
  <c r="N301" i="1"/>
  <c r="N292" i="1"/>
  <c r="N306" i="1"/>
  <c r="N286" i="1"/>
  <c r="N305" i="1"/>
  <c r="N302" i="1"/>
  <c r="N300" i="1"/>
  <c r="N309" i="1"/>
  <c r="N307" i="1"/>
  <c r="N308" i="1"/>
  <c r="N295" i="1"/>
  <c r="N310" i="1"/>
  <c r="N317" i="1"/>
  <c r="N322" i="1"/>
  <c r="N321" i="1"/>
  <c r="N311" i="1"/>
  <c r="N315" i="1"/>
  <c r="N316" i="1"/>
  <c r="N313" i="1"/>
  <c r="N318" i="1"/>
  <c r="N324" i="1"/>
  <c r="N314" i="1"/>
  <c r="N323" i="1"/>
  <c r="N320" i="1"/>
  <c r="N319" i="1"/>
  <c r="N312" i="1"/>
  <c r="N329" i="1"/>
  <c r="N327" i="1"/>
  <c r="N333" i="1"/>
  <c r="N325" i="1"/>
  <c r="N336" i="1"/>
  <c r="N331" i="1"/>
  <c r="N330" i="1"/>
  <c r="N332" i="1"/>
  <c r="N328" i="1"/>
  <c r="N334" i="1"/>
  <c r="N335" i="1"/>
  <c r="N326" i="1"/>
  <c r="N1046" i="1"/>
  <c r="N1045" i="1"/>
  <c r="N1044" i="1"/>
  <c r="N1043" i="1"/>
  <c r="N1042" i="1"/>
  <c r="N1048" i="1"/>
  <c r="N1052" i="1"/>
  <c r="N1034" i="1"/>
  <c r="N1053" i="1"/>
  <c r="N1051" i="1"/>
  <c r="N1050" i="1"/>
  <c r="N1049" i="1"/>
  <c r="N1047" i="1"/>
  <c r="N1066" i="1"/>
  <c r="N1036" i="1"/>
  <c r="N1041" i="1"/>
  <c r="N1064" i="1"/>
  <c r="N1063" i="1"/>
  <c r="N1062" i="1"/>
  <c r="N1061" i="1"/>
  <c r="N1060" i="1"/>
  <c r="N1056" i="1"/>
  <c r="N1055" i="1"/>
  <c r="N1040" i="1"/>
  <c r="N1039" i="1"/>
  <c r="N1038" i="1"/>
  <c r="N1067" i="1"/>
  <c r="N1035" i="1"/>
  <c r="N1065" i="1"/>
  <c r="N1059" i="1"/>
  <c r="N1058" i="1"/>
  <c r="N1057" i="1"/>
  <c r="N1054" i="1"/>
  <c r="N1037" i="1"/>
  <c r="N357" i="1"/>
  <c r="N347" i="1"/>
  <c r="N346" i="1"/>
  <c r="N343" i="1"/>
  <c r="N342" i="1"/>
  <c r="N341" i="1"/>
  <c r="N356" i="1"/>
  <c r="N355" i="1"/>
  <c r="N340" i="1"/>
  <c r="N339" i="1"/>
  <c r="N345" i="1"/>
  <c r="N344" i="1"/>
  <c r="N353" i="1"/>
  <c r="N352" i="1"/>
  <c r="N351" i="1"/>
  <c r="N350" i="1"/>
  <c r="N338" i="1"/>
  <c r="N354" i="1"/>
  <c r="N349" i="1"/>
  <c r="N348" i="1"/>
  <c r="N337" i="1"/>
  <c r="N368" i="1"/>
  <c r="N365" i="1"/>
  <c r="N388" i="1"/>
  <c r="N387" i="1"/>
  <c r="N378" i="1"/>
  <c r="N377" i="1"/>
  <c r="N369" i="1"/>
  <c r="N374" i="1"/>
  <c r="N385" i="1"/>
  <c r="N367" i="1"/>
  <c r="N371" i="1"/>
  <c r="N370" i="1"/>
  <c r="N372" i="1"/>
  <c r="N373" i="1"/>
  <c r="N379" i="1"/>
  <c r="N386" i="1"/>
  <c r="N380" i="1"/>
  <c r="N381" i="1"/>
  <c r="N364" i="1"/>
  <c r="N362" i="1"/>
  <c r="N360" i="1"/>
  <c r="N359" i="1"/>
  <c r="N358" i="1"/>
  <c r="N382" i="1"/>
  <c r="N376" i="1"/>
  <c r="N383" i="1"/>
  <c r="N384" i="1"/>
  <c r="N363" i="1"/>
  <c r="N361" i="1"/>
  <c r="N366" i="1"/>
  <c r="N375" i="1"/>
  <c r="N406" i="1"/>
  <c r="N393" i="1"/>
  <c r="N409" i="1"/>
  <c r="N401" i="1"/>
  <c r="N398" i="1"/>
  <c r="N389" i="1"/>
  <c r="N404" i="1"/>
  <c r="N397" i="1"/>
  <c r="N399" i="1"/>
  <c r="N394" i="1"/>
  <c r="N395" i="1"/>
  <c r="N390" i="1"/>
  <c r="N400" i="1"/>
  <c r="N402" i="1"/>
  <c r="N403" i="1"/>
  <c r="N392" i="1"/>
  <c r="N408" i="1"/>
  <c r="N405" i="1"/>
  <c r="N407" i="1"/>
  <c r="N391" i="1"/>
  <c r="N396" i="1"/>
  <c r="N432" i="1"/>
  <c r="N417" i="1"/>
  <c r="N435" i="1"/>
  <c r="N425" i="1"/>
  <c r="N421" i="1"/>
  <c r="N424" i="1"/>
  <c r="N412" i="1"/>
  <c r="N413" i="1"/>
  <c r="N436" i="1"/>
  <c r="N410" i="1"/>
  <c r="N433" i="1"/>
  <c r="N426" i="1"/>
  <c r="N419" i="1"/>
  <c r="N418" i="1"/>
  <c r="N416" i="1"/>
  <c r="N415" i="1"/>
  <c r="N414" i="1"/>
  <c r="N431" i="1"/>
  <c r="N430" i="1"/>
  <c r="N429" i="1"/>
  <c r="N428" i="1"/>
  <c r="N427" i="1"/>
  <c r="N420" i="1"/>
  <c r="N411" i="1"/>
  <c r="N422" i="1"/>
  <c r="N440" i="1"/>
  <c r="N439" i="1"/>
  <c r="N438" i="1"/>
  <c r="N437" i="1"/>
  <c r="N423" i="1"/>
  <c r="N434" i="1"/>
  <c r="N448" i="1"/>
  <c r="N444" i="1"/>
  <c r="N443" i="1"/>
  <c r="N442" i="1"/>
  <c r="N441" i="1"/>
  <c r="N451" i="1"/>
  <c r="N446" i="1"/>
  <c r="N447" i="1"/>
  <c r="N445" i="1"/>
  <c r="N450" i="1"/>
  <c r="N449" i="1"/>
  <c r="N474" i="1"/>
  <c r="N460" i="1"/>
  <c r="N459" i="1"/>
  <c r="N457" i="1"/>
  <c r="N455" i="1"/>
  <c r="N471" i="1"/>
  <c r="N454" i="1"/>
  <c r="N458" i="1"/>
  <c r="N467" i="1"/>
  <c r="N452" i="1"/>
  <c r="N464" i="1"/>
  <c r="N463" i="1"/>
  <c r="N465" i="1"/>
  <c r="N462" i="1"/>
  <c r="N461" i="1"/>
  <c r="N453" i="1"/>
  <c r="N468" i="1"/>
  <c r="N466" i="1"/>
  <c r="N456" i="1"/>
  <c r="N469" i="1"/>
  <c r="N472" i="1"/>
  <c r="N473" i="1"/>
  <c r="N470" i="1"/>
  <c r="N480" i="1"/>
  <c r="N515" i="1"/>
  <c r="N477" i="1"/>
  <c r="N481" i="1"/>
  <c r="N478" i="1"/>
  <c r="N499" i="1"/>
  <c r="N476" i="1"/>
  <c r="N509" i="1"/>
  <c r="N510" i="1"/>
  <c r="N491" i="1"/>
  <c r="N506" i="1"/>
  <c r="N507" i="1"/>
  <c r="N521" i="1"/>
  <c r="N513" i="1"/>
  <c r="N495" i="1"/>
  <c r="N486" i="1"/>
  <c r="N494" i="1"/>
  <c r="N482" i="1"/>
  <c r="N516" i="1"/>
  <c r="N503" i="1"/>
  <c r="N508" i="1"/>
  <c r="N475" i="1"/>
  <c r="N479" i="1"/>
  <c r="N492" i="1"/>
  <c r="N504" i="1"/>
  <c r="N505" i="1"/>
  <c r="N484" i="1"/>
  <c r="N518" i="1"/>
  <c r="N488" i="1"/>
  <c r="N483" i="1"/>
  <c r="N519" i="1"/>
  <c r="N520" i="1"/>
  <c r="N485" i="1"/>
  <c r="N489" i="1"/>
  <c r="N487" i="1"/>
  <c r="N490" i="1"/>
  <c r="N502" i="1"/>
  <c r="N501" i="1"/>
  <c r="N498" i="1"/>
  <c r="N497" i="1"/>
  <c r="N496" i="1"/>
  <c r="N500" i="1"/>
  <c r="N493" i="1"/>
  <c r="N512" i="1"/>
  <c r="N511" i="1"/>
  <c r="N514" i="1"/>
  <c r="N517" i="1"/>
  <c r="N576" i="1"/>
  <c r="N543" i="1"/>
  <c r="N557" i="1"/>
  <c r="N569" i="1"/>
  <c r="N544" i="1"/>
  <c r="N538" i="1"/>
  <c r="N575" i="1"/>
  <c r="N546" i="1"/>
  <c r="N542" i="1"/>
  <c r="N578" i="1"/>
  <c r="N527" i="1"/>
  <c r="N529" i="1"/>
  <c r="N545" i="1"/>
  <c r="N536" i="1"/>
  <c r="N579" i="1"/>
  <c r="N566" i="1"/>
  <c r="N548" i="1"/>
  <c r="N547" i="1"/>
  <c r="N572" i="1"/>
  <c r="N581" i="1"/>
  <c r="N555" i="1"/>
  <c r="N522" i="1"/>
  <c r="N563" i="1"/>
  <c r="N550" i="1"/>
  <c r="N565" i="1"/>
  <c r="N559" i="1"/>
  <c r="N556" i="1"/>
  <c r="N541" i="1"/>
  <c r="N537" i="1"/>
  <c r="N535" i="1"/>
  <c r="N570" i="1"/>
  <c r="N526" i="1"/>
  <c r="N568" i="1"/>
  <c r="N562" i="1"/>
  <c r="N571" i="1"/>
  <c r="N551" i="1"/>
  <c r="N531" i="1"/>
  <c r="N528" i="1"/>
  <c r="N524" i="1"/>
  <c r="N554" i="1"/>
  <c r="N539" i="1"/>
  <c r="N553" i="1"/>
  <c r="N552" i="1"/>
  <c r="N561" i="1"/>
  <c r="N549" i="1"/>
  <c r="N540" i="1"/>
  <c r="N558" i="1"/>
  <c r="N560" i="1"/>
  <c r="N564" i="1"/>
  <c r="N582" i="1"/>
  <c r="N580" i="1"/>
  <c r="N567" i="1"/>
  <c r="N577" i="1"/>
  <c r="N573" i="1"/>
  <c r="N574" i="1"/>
  <c r="N530" i="1"/>
  <c r="N534" i="1"/>
  <c r="N532" i="1"/>
  <c r="N523" i="1"/>
  <c r="N533" i="1"/>
  <c r="N525" i="1"/>
  <c r="N648" i="1"/>
  <c r="N631" i="1"/>
  <c r="N630" i="1"/>
  <c r="N586" i="1"/>
  <c r="N626" i="1"/>
  <c r="N594" i="1"/>
  <c r="N622" i="1"/>
  <c r="N585" i="1"/>
  <c r="N632" i="1"/>
  <c r="N627" i="1"/>
  <c r="N610" i="1"/>
  <c r="N589" i="1"/>
  <c r="N644" i="1"/>
  <c r="N601" i="1"/>
  <c r="N633" i="1"/>
  <c r="N611" i="1"/>
  <c r="N647" i="1"/>
  <c r="N629" i="1"/>
  <c r="N634" i="1"/>
  <c r="N598" i="1"/>
  <c r="N639" i="1"/>
  <c r="N625" i="1"/>
  <c r="N637" i="1"/>
  <c r="N592" i="1"/>
  <c r="N603" i="1"/>
  <c r="N602" i="1"/>
  <c r="N655" i="1"/>
  <c r="N641" i="1"/>
  <c r="N588" i="1"/>
  <c r="N636" i="1"/>
  <c r="N612" i="1"/>
  <c r="N646" i="1"/>
  <c r="N623" i="1"/>
  <c r="N597" i="1"/>
  <c r="N596" i="1"/>
  <c r="N653" i="1"/>
  <c r="N652" i="1"/>
  <c r="N651" i="1"/>
  <c r="N650" i="1"/>
  <c r="N649" i="1"/>
  <c r="N645" i="1"/>
  <c r="N628" i="1"/>
  <c r="N624" i="1"/>
  <c r="N621" i="1"/>
  <c r="N620" i="1"/>
  <c r="N619" i="1"/>
  <c r="N617" i="1"/>
  <c r="N616" i="1"/>
  <c r="N615" i="1"/>
  <c r="N614" i="1"/>
  <c r="N613" i="1"/>
  <c r="N584" i="1"/>
  <c r="N606" i="1"/>
  <c r="N587" i="1"/>
  <c r="N583" i="1"/>
  <c r="N654" i="1"/>
  <c r="N635" i="1"/>
  <c r="N640" i="1"/>
  <c r="N642" i="1"/>
  <c r="N643" i="1"/>
  <c r="N638" i="1"/>
  <c r="N599" i="1"/>
  <c r="N590" i="1"/>
  <c r="N600" i="1"/>
  <c r="N593" i="1"/>
  <c r="N591" i="1"/>
  <c r="N595" i="1"/>
  <c r="N604" i="1"/>
  <c r="N607" i="1"/>
  <c r="N608" i="1"/>
  <c r="N605" i="1"/>
  <c r="N609" i="1"/>
  <c r="N618" i="1"/>
  <c r="N684" i="1"/>
  <c r="N666" i="1"/>
  <c r="N659" i="1"/>
  <c r="N661" i="1"/>
  <c r="N679" i="1"/>
  <c r="N689" i="1"/>
  <c r="N687" i="1"/>
  <c r="N676" i="1"/>
  <c r="N686" i="1"/>
  <c r="N685" i="1"/>
  <c r="N660" i="1"/>
  <c r="N657" i="1"/>
  <c r="N671" i="1"/>
  <c r="N670" i="1"/>
  <c r="N669" i="1"/>
  <c r="N668" i="1"/>
  <c r="N667" i="1"/>
  <c r="N672" i="1"/>
  <c r="N678" i="1"/>
  <c r="N691" i="1"/>
  <c r="N665" i="1"/>
  <c r="N664" i="1"/>
  <c r="N663" i="1"/>
  <c r="N658" i="1"/>
  <c r="N674" i="1"/>
  <c r="N675" i="1"/>
  <c r="N673" i="1"/>
  <c r="N677" i="1"/>
  <c r="N656" i="1"/>
  <c r="N690" i="1"/>
  <c r="N688" i="1"/>
  <c r="N680" i="1"/>
  <c r="N683" i="1"/>
  <c r="N681" i="1"/>
  <c r="N682" i="1"/>
  <c r="N662" i="1"/>
  <c r="N692" i="1"/>
  <c r="N1078" i="1"/>
  <c r="N1071" i="1"/>
  <c r="N1085" i="1"/>
  <c r="N1069" i="1"/>
  <c r="N1073" i="1"/>
  <c r="N1080" i="1"/>
  <c r="N1086" i="1"/>
  <c r="N1076" i="1"/>
  <c r="N1075" i="1"/>
  <c r="N1072" i="1"/>
  <c r="N1081" i="1"/>
  <c r="N1068" i="1"/>
  <c r="N1079" i="1"/>
  <c r="N1082" i="1"/>
  <c r="N1083" i="1"/>
  <c r="N1077" i="1"/>
  <c r="N1074" i="1"/>
  <c r="N1070" i="1"/>
  <c r="N1084" i="1"/>
  <c r="N1087" i="1"/>
  <c r="N1088" i="1"/>
  <c r="N713" i="1"/>
  <c r="N698" i="1"/>
  <c r="N701" i="1"/>
  <c r="N720" i="1"/>
  <c r="N716" i="1"/>
  <c r="N705" i="1"/>
  <c r="N704" i="1"/>
  <c r="N699" i="1"/>
  <c r="N707" i="1"/>
  <c r="N718" i="1"/>
  <c r="N712" i="1"/>
  <c r="N714" i="1"/>
  <c r="N710" i="1"/>
  <c r="N719" i="1"/>
  <c r="N703" i="1"/>
  <c r="N700" i="1"/>
  <c r="N694" i="1"/>
  <c r="N693" i="1"/>
  <c r="N722" i="1"/>
  <c r="N721" i="1"/>
  <c r="N696" i="1"/>
  <c r="N709" i="1"/>
  <c r="N706" i="1"/>
  <c r="N715" i="1"/>
  <c r="N711" i="1"/>
  <c r="N708" i="1"/>
  <c r="N697" i="1"/>
  <c r="N702" i="1"/>
  <c r="N695" i="1"/>
  <c r="N723" i="1"/>
  <c r="N717" i="1"/>
  <c r="N747" i="1"/>
  <c r="N757" i="1"/>
  <c r="N745" i="1"/>
  <c r="N765" i="1"/>
  <c r="N758" i="1"/>
  <c r="N749" i="1"/>
  <c r="N730" i="1"/>
  <c r="N727" i="1"/>
  <c r="N743" i="1"/>
  <c r="N735" i="1"/>
  <c r="N755" i="1"/>
  <c r="N740" i="1"/>
  <c r="N751" i="1"/>
  <c r="N752" i="1"/>
  <c r="N768" i="1"/>
  <c r="N767" i="1"/>
  <c r="N764" i="1"/>
  <c r="N763" i="1"/>
  <c r="N762" i="1"/>
  <c r="N750" i="1"/>
  <c r="N770" i="1"/>
  <c r="N769" i="1"/>
  <c r="N732" i="1"/>
  <c r="N742" i="1"/>
  <c r="N724" i="1"/>
  <c r="N739" i="1"/>
  <c r="N726" i="1"/>
  <c r="N759" i="1"/>
  <c r="N738" i="1"/>
  <c r="N737" i="1"/>
  <c r="N736" i="1"/>
  <c r="N734" i="1"/>
  <c r="N733" i="1"/>
  <c r="N729" i="1"/>
  <c r="N728" i="1"/>
  <c r="N760" i="1"/>
  <c r="N754" i="1"/>
  <c r="N753" i="1"/>
  <c r="N731" i="1"/>
  <c r="N725" i="1"/>
  <c r="N746" i="1"/>
  <c r="N748" i="1"/>
  <c r="N771" i="1"/>
  <c r="N756" i="1"/>
  <c r="N761" i="1"/>
  <c r="N766" i="1"/>
  <c r="N741" i="1"/>
  <c r="N744" i="1"/>
  <c r="N780" i="1"/>
  <c r="N775" i="1"/>
  <c r="N774" i="1"/>
  <c r="N773" i="1"/>
  <c r="N772" i="1"/>
  <c r="N787" i="1"/>
  <c r="N782" i="1"/>
  <c r="N779" i="1"/>
  <c r="N790" i="1"/>
  <c r="N788" i="1"/>
  <c r="N789" i="1"/>
  <c r="N777" i="1"/>
  <c r="N791" i="1"/>
  <c r="N793" i="1"/>
  <c r="N792" i="1"/>
  <c r="N781" i="1"/>
  <c r="N783" i="1"/>
  <c r="N784" i="1"/>
  <c r="N785" i="1"/>
  <c r="N786" i="1"/>
  <c r="N776" i="1"/>
  <c r="N778" i="1"/>
  <c r="N1096" i="1"/>
  <c r="N1126" i="1"/>
  <c r="N1125" i="1"/>
  <c r="N1116" i="1"/>
  <c r="N1103" i="1"/>
  <c r="N1102" i="1"/>
  <c r="N1101" i="1"/>
  <c r="N1127" i="1"/>
  <c r="N1124" i="1"/>
  <c r="N1118" i="1"/>
  <c r="N1113" i="1"/>
  <c r="N1109" i="1"/>
  <c r="N1108" i="1"/>
  <c r="N1099" i="1"/>
  <c r="N1098" i="1"/>
  <c r="N1095" i="1"/>
  <c r="N1090" i="1"/>
  <c r="N1089" i="1"/>
  <c r="N1130" i="1"/>
  <c r="N1117" i="1"/>
  <c r="N1100" i="1"/>
  <c r="N1133" i="1"/>
  <c r="N1132" i="1"/>
  <c r="N1115" i="1"/>
  <c r="N1112" i="1"/>
  <c r="N1111" i="1"/>
  <c r="N1107" i="1"/>
  <c r="N1105" i="1"/>
  <c r="N1094" i="1"/>
  <c r="N1093" i="1"/>
  <c r="N1129" i="1"/>
  <c r="N1121" i="1"/>
  <c r="N1123" i="1"/>
  <c r="N1122" i="1"/>
  <c r="N1091" i="1"/>
  <c r="N1092" i="1"/>
  <c r="N1104" i="1"/>
  <c r="N1106" i="1"/>
  <c r="N1131" i="1"/>
  <c r="N1128" i="1"/>
  <c r="N1110" i="1"/>
  <c r="N1097" i="1"/>
  <c r="N1119" i="1"/>
  <c r="N1120" i="1"/>
  <c r="N1114" i="1"/>
  <c r="N1151" i="1"/>
  <c r="N1158" i="1"/>
  <c r="N1157" i="1"/>
  <c r="N1169" i="1"/>
  <c r="N1165" i="1"/>
  <c r="N1156" i="1"/>
  <c r="N1167" i="1"/>
  <c r="N1166" i="1"/>
  <c r="N1170" i="1"/>
  <c r="N1176" i="1"/>
  <c r="N1154" i="1"/>
  <c r="N1152" i="1"/>
  <c r="N1153" i="1"/>
  <c r="N1136" i="1"/>
  <c r="N1149" i="1"/>
  <c r="N1148" i="1"/>
  <c r="N1147" i="1"/>
  <c r="N1146" i="1"/>
  <c r="N1145" i="1"/>
  <c r="N1144" i="1"/>
  <c r="N1143" i="1"/>
  <c r="N1142" i="1"/>
  <c r="N1141" i="1"/>
  <c r="N1140" i="1"/>
  <c r="N1139" i="1"/>
  <c r="N1138" i="1"/>
  <c r="N1137" i="1"/>
  <c r="N1135" i="1"/>
  <c r="N1174" i="1"/>
  <c r="N1173" i="1"/>
  <c r="N1172" i="1"/>
  <c r="N1171" i="1"/>
  <c r="N1155" i="1"/>
  <c r="N1134" i="1"/>
  <c r="N1150" i="1"/>
  <c r="N1160" i="1"/>
  <c r="N1159" i="1"/>
  <c r="N1175" i="1"/>
  <c r="N1162" i="1"/>
  <c r="N1168" i="1"/>
  <c r="N1163" i="1"/>
  <c r="N1164" i="1"/>
  <c r="N1161" i="1"/>
  <c r="H805" i="1"/>
  <c r="H818" i="1"/>
  <c r="H806" i="1"/>
  <c r="H816" i="1"/>
  <c r="H814" i="1"/>
  <c r="H817" i="1"/>
  <c r="H810" i="1"/>
  <c r="H809" i="1"/>
  <c r="H804" i="1"/>
  <c r="H803" i="1"/>
  <c r="H797" i="1"/>
  <c r="H811" i="1"/>
  <c r="H802" i="1"/>
  <c r="H807" i="1"/>
  <c r="H812" i="1"/>
  <c r="H796" i="1"/>
  <c r="H795" i="1"/>
  <c r="H794" i="1"/>
  <c r="H800" i="1"/>
  <c r="H798" i="1"/>
  <c r="H815" i="1"/>
  <c r="H821" i="1"/>
  <c r="H820" i="1"/>
  <c r="H819" i="1"/>
  <c r="H808" i="1"/>
  <c r="H799" i="1"/>
  <c r="H801" i="1"/>
  <c r="H834" i="1"/>
  <c r="H825" i="1"/>
  <c r="H822" i="1"/>
  <c r="H826" i="1"/>
  <c r="H824" i="1"/>
  <c r="H823" i="1"/>
  <c r="H829" i="1"/>
  <c r="H828" i="1"/>
  <c r="H833" i="1"/>
  <c r="H832" i="1"/>
  <c r="H831" i="1"/>
  <c r="H830" i="1"/>
  <c r="H835" i="1"/>
  <c r="H827" i="1"/>
  <c r="H846" i="1"/>
  <c r="H845" i="1"/>
  <c r="H841" i="1"/>
  <c r="H840" i="1"/>
  <c r="H849" i="1"/>
  <c r="H836" i="1"/>
  <c r="H848" i="1"/>
  <c r="H843" i="1"/>
  <c r="H842" i="1"/>
  <c r="H839" i="1"/>
  <c r="H838" i="1"/>
  <c r="H837" i="1"/>
  <c r="H847" i="1"/>
  <c r="H844" i="1"/>
  <c r="H856" i="1"/>
  <c r="H851" i="1"/>
  <c r="H850" i="1"/>
  <c r="H860" i="1"/>
  <c r="H857" i="1"/>
  <c r="H853" i="1"/>
  <c r="H854" i="1"/>
  <c r="H859" i="1"/>
  <c r="H852" i="1"/>
  <c r="H858" i="1"/>
  <c r="H855" i="1"/>
  <c r="H865" i="1"/>
  <c r="H866" i="1"/>
  <c r="H861" i="1"/>
  <c r="H863" i="1"/>
  <c r="H862" i="1"/>
  <c r="H867" i="1"/>
  <c r="H864" i="1"/>
  <c r="H871" i="1"/>
  <c r="H873" i="1"/>
  <c r="H869" i="1"/>
  <c r="H868" i="1"/>
  <c r="H874" i="1"/>
  <c r="H872" i="1"/>
  <c r="H870" i="1"/>
  <c r="H889" i="1"/>
  <c r="H884" i="1"/>
  <c r="H886" i="1"/>
  <c r="H888" i="1"/>
  <c r="H885" i="1"/>
  <c r="H887" i="1"/>
  <c r="H881" i="1"/>
  <c r="H880" i="1"/>
  <c r="H879" i="1"/>
  <c r="H882" i="1"/>
  <c r="H876" i="1"/>
  <c r="H875" i="1"/>
  <c r="H891" i="1"/>
  <c r="H890" i="1"/>
  <c r="H877" i="1"/>
  <c r="H883" i="1"/>
  <c r="H892" i="1"/>
  <c r="H878" i="1"/>
  <c r="H893" i="1"/>
  <c r="H900" i="1"/>
  <c r="H897" i="1"/>
  <c r="H898" i="1"/>
  <c r="H894" i="1"/>
  <c r="H895" i="1"/>
  <c r="H899" i="1"/>
  <c r="H901" i="1"/>
  <c r="H896" i="1"/>
  <c r="H902" i="1"/>
  <c r="H911" i="1"/>
  <c r="H916" i="1"/>
  <c r="H912" i="1"/>
  <c r="H907" i="1"/>
  <c r="H906" i="1"/>
  <c r="H905" i="1"/>
  <c r="H903" i="1"/>
  <c r="H909" i="1"/>
  <c r="H908" i="1"/>
  <c r="H915" i="1"/>
  <c r="H913" i="1"/>
  <c r="H914" i="1"/>
  <c r="H917" i="1"/>
  <c r="H910" i="1"/>
  <c r="H904" i="1"/>
  <c r="H932" i="1"/>
  <c r="H928" i="1"/>
  <c r="H925" i="1"/>
  <c r="H929" i="1"/>
  <c r="H924" i="1"/>
  <c r="H918" i="1"/>
  <c r="H923" i="1"/>
  <c r="H921" i="1"/>
  <c r="H919" i="1"/>
  <c r="H927" i="1"/>
  <c r="H931" i="1"/>
  <c r="H922" i="1"/>
  <c r="H930" i="1"/>
  <c r="H926" i="1"/>
  <c r="H920" i="1"/>
  <c r="H943" i="1"/>
  <c r="H942" i="1"/>
  <c r="H934" i="1"/>
  <c r="H955" i="1"/>
  <c r="H937" i="1"/>
  <c r="H939" i="1"/>
  <c r="H954" i="1"/>
  <c r="H951" i="1"/>
  <c r="H953" i="1"/>
  <c r="H950" i="1"/>
  <c r="H948" i="1"/>
  <c r="H947" i="1"/>
  <c r="H945" i="1"/>
  <c r="H944" i="1"/>
  <c r="H940" i="1"/>
  <c r="H936" i="1"/>
  <c r="H933" i="1"/>
  <c r="H952" i="1"/>
  <c r="H941" i="1"/>
  <c r="H935" i="1"/>
  <c r="H938" i="1"/>
  <c r="H946" i="1"/>
  <c r="H949" i="1"/>
  <c r="H960" i="1"/>
  <c r="H956" i="1"/>
  <c r="H958" i="1"/>
  <c r="H957" i="1"/>
  <c r="H961" i="1"/>
  <c r="H962" i="1"/>
  <c r="H959" i="1"/>
  <c r="H971" i="1"/>
  <c r="H965" i="1"/>
  <c r="H963" i="1"/>
  <c r="H972" i="1"/>
  <c r="H970" i="1"/>
  <c r="H967" i="1"/>
  <c r="H969" i="1"/>
  <c r="H968" i="1"/>
  <c r="H964" i="1"/>
  <c r="H966" i="1"/>
  <c r="H989" i="1"/>
  <c r="H974" i="1"/>
  <c r="H985" i="1"/>
  <c r="H975" i="1"/>
  <c r="H973" i="1"/>
  <c r="H982" i="1"/>
  <c r="H978" i="1"/>
  <c r="H981" i="1"/>
  <c r="H980" i="1"/>
  <c r="H979" i="1"/>
  <c r="H986" i="1"/>
  <c r="H983" i="1"/>
  <c r="H984" i="1"/>
  <c r="H976" i="1"/>
  <c r="H977" i="1"/>
  <c r="H988" i="1"/>
  <c r="H987" i="1"/>
  <c r="H990" i="1"/>
  <c r="H991" i="1"/>
  <c r="H1004" i="1"/>
  <c r="H1003" i="1"/>
  <c r="H997" i="1"/>
  <c r="H1001" i="1"/>
  <c r="H1002" i="1"/>
  <c r="H995" i="1"/>
  <c r="H999" i="1"/>
  <c r="H998" i="1"/>
  <c r="H1000" i="1"/>
  <c r="H1006" i="1"/>
  <c r="H993" i="1"/>
  <c r="H992" i="1"/>
  <c r="H1005" i="1"/>
  <c r="H996" i="1"/>
  <c r="H994" i="1"/>
  <c r="H8" i="1"/>
  <c r="H39" i="1"/>
  <c r="H21" i="1"/>
  <c r="H29" i="1"/>
  <c r="H24" i="1"/>
  <c r="H27" i="1"/>
  <c r="H7" i="1"/>
  <c r="H10" i="1"/>
  <c r="H4" i="1"/>
  <c r="H16" i="1"/>
  <c r="H14" i="1"/>
  <c r="H2" i="1"/>
  <c r="H9" i="1"/>
  <c r="H26" i="1"/>
  <c r="H20" i="1"/>
  <c r="H19" i="1"/>
  <c r="H18" i="1"/>
  <c r="H36" i="1"/>
  <c r="H3" i="1"/>
  <c r="H15" i="1"/>
  <c r="H33" i="1"/>
  <c r="H37" i="1"/>
  <c r="H12" i="1"/>
  <c r="H5" i="1"/>
  <c r="H6" i="1"/>
  <c r="H23" i="1"/>
  <c r="H25" i="1"/>
  <c r="H22" i="1"/>
  <c r="H34" i="1"/>
  <c r="H35" i="1"/>
  <c r="H38" i="1"/>
  <c r="H11" i="1"/>
  <c r="H13" i="1"/>
  <c r="H17" i="1"/>
  <c r="H32" i="1"/>
  <c r="H28" i="1"/>
  <c r="H31" i="1"/>
  <c r="H30" i="1"/>
  <c r="H71" i="1"/>
  <c r="H76" i="1"/>
  <c r="H63" i="1"/>
  <c r="H45" i="1"/>
  <c r="H61" i="1"/>
  <c r="H59" i="1"/>
  <c r="H54" i="1"/>
  <c r="H69" i="1"/>
  <c r="H75" i="1"/>
  <c r="H64" i="1"/>
  <c r="H58" i="1"/>
  <c r="H57" i="1"/>
  <c r="H55" i="1"/>
  <c r="H53" i="1"/>
  <c r="H52" i="1"/>
  <c r="H50" i="1"/>
  <c r="H49" i="1"/>
  <c r="H43" i="1"/>
  <c r="H42" i="1"/>
  <c r="H65" i="1"/>
  <c r="H51" i="1"/>
  <c r="H56" i="1"/>
  <c r="H60" i="1"/>
  <c r="H67" i="1"/>
  <c r="H66" i="1"/>
  <c r="H62" i="1"/>
  <c r="H74" i="1"/>
  <c r="H72" i="1"/>
  <c r="H70" i="1"/>
  <c r="H68" i="1"/>
  <c r="H73" i="1"/>
  <c r="H41" i="1"/>
  <c r="H40" i="1"/>
  <c r="H44" i="1"/>
  <c r="H47" i="1"/>
  <c r="H46" i="1"/>
  <c r="H48" i="1"/>
  <c r="H103" i="1"/>
  <c r="H84" i="1"/>
  <c r="H89" i="1"/>
  <c r="H102" i="1"/>
  <c r="H88" i="1"/>
  <c r="H86" i="1"/>
  <c r="H85" i="1"/>
  <c r="H104" i="1"/>
  <c r="H92" i="1"/>
  <c r="H90" i="1"/>
  <c r="H97" i="1"/>
  <c r="H77" i="1"/>
  <c r="H79" i="1"/>
  <c r="H101" i="1"/>
  <c r="H100" i="1"/>
  <c r="H95" i="1"/>
  <c r="H94" i="1"/>
  <c r="H93" i="1"/>
  <c r="H91" i="1"/>
  <c r="H96" i="1"/>
  <c r="H98" i="1"/>
  <c r="H99" i="1"/>
  <c r="H80" i="1"/>
  <c r="H78" i="1"/>
  <c r="H81" i="1"/>
  <c r="H83" i="1"/>
  <c r="H82" i="1"/>
  <c r="H87" i="1"/>
  <c r="H1010" i="1"/>
  <c r="H1026" i="1"/>
  <c r="H1025" i="1"/>
  <c r="H1028" i="1"/>
  <c r="H1031" i="1"/>
  <c r="H1030" i="1"/>
  <c r="H1007" i="1"/>
  <c r="H1023" i="1"/>
  <c r="H1015" i="1"/>
  <c r="H1021" i="1"/>
  <c r="H1020" i="1"/>
  <c r="H1019" i="1"/>
  <c r="H1018" i="1"/>
  <c r="H1017" i="1"/>
  <c r="H1016" i="1"/>
  <c r="H1013" i="1"/>
  <c r="H1022" i="1"/>
  <c r="H1008" i="1"/>
  <c r="H1027" i="1"/>
  <c r="H1032" i="1"/>
  <c r="H1029" i="1"/>
  <c r="H1011" i="1"/>
  <c r="H1012" i="1"/>
  <c r="H1009" i="1"/>
  <c r="H1014" i="1"/>
  <c r="H1033" i="1"/>
  <c r="H1024" i="1"/>
  <c r="H138" i="1"/>
  <c r="H128" i="1"/>
  <c r="H110" i="1"/>
  <c r="H105" i="1"/>
  <c r="H126" i="1"/>
  <c r="H119" i="1"/>
  <c r="H123" i="1"/>
  <c r="H122" i="1"/>
  <c r="H111" i="1"/>
  <c r="H109" i="1"/>
  <c r="H120" i="1"/>
  <c r="H116" i="1"/>
  <c r="H115" i="1"/>
  <c r="H113" i="1"/>
  <c r="H112" i="1"/>
  <c r="H108" i="1"/>
  <c r="H107" i="1"/>
  <c r="H136" i="1"/>
  <c r="H135" i="1"/>
  <c r="H134" i="1"/>
  <c r="H129" i="1"/>
  <c r="H131" i="1"/>
  <c r="H132" i="1"/>
  <c r="H106" i="1"/>
  <c r="H133" i="1"/>
  <c r="H130" i="1"/>
  <c r="H139" i="1"/>
  <c r="H137" i="1"/>
  <c r="H117" i="1"/>
  <c r="H114" i="1"/>
  <c r="H124" i="1"/>
  <c r="H125" i="1"/>
  <c r="H118" i="1"/>
  <c r="H121" i="1"/>
  <c r="H127" i="1"/>
  <c r="H161" i="1"/>
  <c r="H160" i="1"/>
  <c r="H159" i="1"/>
  <c r="H158" i="1"/>
  <c r="H154" i="1"/>
  <c r="H150" i="1"/>
  <c r="H156" i="1"/>
  <c r="H153" i="1"/>
  <c r="H152" i="1"/>
  <c r="H151" i="1"/>
  <c r="H145" i="1"/>
  <c r="H141" i="1"/>
  <c r="H140" i="1"/>
  <c r="H163" i="1"/>
  <c r="H147" i="1"/>
  <c r="H146" i="1"/>
  <c r="H144" i="1"/>
  <c r="H143" i="1"/>
  <c r="H142" i="1"/>
  <c r="H162" i="1"/>
  <c r="H155" i="1"/>
  <c r="H148" i="1"/>
  <c r="H149" i="1"/>
  <c r="H157" i="1"/>
  <c r="H164" i="1"/>
  <c r="H165" i="1"/>
  <c r="H166" i="1"/>
  <c r="H180" i="1"/>
  <c r="H172" i="1"/>
  <c r="H170" i="1"/>
  <c r="H169" i="1"/>
  <c r="H168" i="1"/>
  <c r="H167" i="1"/>
  <c r="H179" i="1"/>
  <c r="H178" i="1"/>
  <c r="H177" i="1"/>
  <c r="H176" i="1"/>
  <c r="H175" i="1"/>
  <c r="H174" i="1"/>
  <c r="H173" i="1"/>
  <c r="H171" i="1"/>
  <c r="H199" i="1"/>
  <c r="H198" i="1"/>
  <c r="H197" i="1"/>
  <c r="H193" i="1"/>
  <c r="H188" i="1"/>
  <c r="H185" i="1"/>
  <c r="H192" i="1"/>
  <c r="H184" i="1"/>
  <c r="H183" i="1"/>
  <c r="H182" i="1"/>
  <c r="H181" i="1"/>
  <c r="H186" i="1"/>
  <c r="H187" i="1"/>
  <c r="H194" i="1"/>
  <c r="H200" i="1"/>
  <c r="H201" i="1"/>
  <c r="H189" i="1"/>
  <c r="H190" i="1"/>
  <c r="H191" i="1"/>
  <c r="H195" i="1"/>
  <c r="H196" i="1"/>
  <c r="H228" i="1"/>
  <c r="H213" i="1"/>
  <c r="H206" i="1"/>
  <c r="H230" i="1"/>
  <c r="H229" i="1"/>
  <c r="H227" i="1"/>
  <c r="H224" i="1"/>
  <c r="H225" i="1"/>
  <c r="H226" i="1"/>
  <c r="H223" i="1"/>
  <c r="H222" i="1"/>
  <c r="H221" i="1"/>
  <c r="H220" i="1"/>
  <c r="H219" i="1"/>
  <c r="H218" i="1"/>
  <c r="H217" i="1"/>
  <c r="H215" i="1"/>
  <c r="H212" i="1"/>
  <c r="H211" i="1"/>
  <c r="H207" i="1"/>
  <c r="H205" i="1"/>
  <c r="H203" i="1"/>
  <c r="H214" i="1"/>
  <c r="H202" i="1"/>
  <c r="H216" i="1"/>
  <c r="H204" i="1"/>
  <c r="H210" i="1"/>
  <c r="H209" i="1"/>
  <c r="H208" i="1"/>
  <c r="H252" i="1"/>
  <c r="H247" i="1"/>
  <c r="H245" i="1"/>
  <c r="H243" i="1"/>
  <c r="H244" i="1"/>
  <c r="H241" i="1"/>
  <c r="H239" i="1"/>
  <c r="H240" i="1"/>
  <c r="H236" i="1"/>
  <c r="H231" i="1"/>
  <c r="H254" i="1"/>
  <c r="H253" i="1"/>
  <c r="H249" i="1"/>
  <c r="H235" i="1"/>
  <c r="H234" i="1"/>
  <c r="H233" i="1"/>
  <c r="H232" i="1"/>
  <c r="H262" i="1"/>
  <c r="H261" i="1"/>
  <c r="H260" i="1"/>
  <c r="H259" i="1"/>
  <c r="H258" i="1"/>
  <c r="H257" i="1"/>
  <c r="H256" i="1"/>
  <c r="H246" i="1"/>
  <c r="H242" i="1"/>
  <c r="H248" i="1"/>
  <c r="H263" i="1"/>
  <c r="H238" i="1"/>
  <c r="H250" i="1"/>
  <c r="H251" i="1"/>
  <c r="H255" i="1"/>
  <c r="H237" i="1"/>
  <c r="H281" i="1"/>
  <c r="H283" i="1"/>
  <c r="H285" i="1"/>
  <c r="H272" i="1"/>
  <c r="H280" i="1"/>
  <c r="H275" i="1"/>
  <c r="H273" i="1"/>
  <c r="H271" i="1"/>
  <c r="H270" i="1"/>
  <c r="H269" i="1"/>
  <c r="H268" i="1"/>
  <c r="H267" i="1"/>
  <c r="H266" i="1"/>
  <c r="H276" i="1"/>
  <c r="H284" i="1"/>
  <c r="H279" i="1"/>
  <c r="H278" i="1"/>
  <c r="H277" i="1"/>
  <c r="H282" i="1"/>
  <c r="H274" i="1"/>
  <c r="H265" i="1"/>
  <c r="H264" i="1"/>
  <c r="H304" i="1"/>
  <c r="H303" i="1"/>
  <c r="H294" i="1"/>
  <c r="H297" i="1"/>
  <c r="H296" i="1"/>
  <c r="H299" i="1"/>
  <c r="H298" i="1"/>
  <c r="H291" i="1"/>
  <c r="H290" i="1"/>
  <c r="H289" i="1"/>
  <c r="H288" i="1"/>
  <c r="H287" i="1"/>
  <c r="H293" i="1"/>
  <c r="H301" i="1"/>
  <c r="H292" i="1"/>
  <c r="H306" i="1"/>
  <c r="H286" i="1"/>
  <c r="H305" i="1"/>
  <c r="H302" i="1"/>
  <c r="H300" i="1"/>
  <c r="H309" i="1"/>
  <c r="H307" i="1"/>
  <c r="H308" i="1"/>
  <c r="H295" i="1"/>
  <c r="H310" i="1"/>
  <c r="H317" i="1"/>
  <c r="H322" i="1"/>
  <c r="H321" i="1"/>
  <c r="H311" i="1"/>
  <c r="H315" i="1"/>
  <c r="H316" i="1"/>
  <c r="H313" i="1"/>
  <c r="H318" i="1"/>
  <c r="H324" i="1"/>
  <c r="H314" i="1"/>
  <c r="H323" i="1"/>
  <c r="H320" i="1"/>
  <c r="H319" i="1"/>
  <c r="H312" i="1"/>
  <c r="H329" i="1"/>
  <c r="H327" i="1"/>
  <c r="H333" i="1"/>
  <c r="H325" i="1"/>
  <c r="H336" i="1"/>
  <c r="H331" i="1"/>
  <c r="H330" i="1"/>
  <c r="H332" i="1"/>
  <c r="H328" i="1"/>
  <c r="H334" i="1"/>
  <c r="H335" i="1"/>
  <c r="H326" i="1"/>
  <c r="H1046" i="1"/>
  <c r="H1045" i="1"/>
  <c r="H1044" i="1"/>
  <c r="H1043" i="1"/>
  <c r="H1042" i="1"/>
  <c r="H1048" i="1"/>
  <c r="H1052" i="1"/>
  <c r="H1034" i="1"/>
  <c r="H1053" i="1"/>
  <c r="H1051" i="1"/>
  <c r="H1050" i="1"/>
  <c r="H1049" i="1"/>
  <c r="H1047" i="1"/>
  <c r="H1066" i="1"/>
  <c r="H1036" i="1"/>
  <c r="H1041" i="1"/>
  <c r="H1064" i="1"/>
  <c r="H1063" i="1"/>
  <c r="H1062" i="1"/>
  <c r="H1061" i="1"/>
  <c r="H1060" i="1"/>
  <c r="H1056" i="1"/>
  <c r="H1055" i="1"/>
  <c r="H1040" i="1"/>
  <c r="H1039" i="1"/>
  <c r="H1038" i="1"/>
  <c r="H1067" i="1"/>
  <c r="H1035" i="1"/>
  <c r="H1065" i="1"/>
  <c r="H1059" i="1"/>
  <c r="H1058" i="1"/>
  <c r="H1057" i="1"/>
  <c r="H1054" i="1"/>
  <c r="H1037" i="1"/>
  <c r="H357" i="1"/>
  <c r="H347" i="1"/>
  <c r="H346" i="1"/>
  <c r="H343" i="1"/>
  <c r="H342" i="1"/>
  <c r="H341" i="1"/>
  <c r="H356" i="1"/>
  <c r="H355" i="1"/>
  <c r="H340" i="1"/>
  <c r="H339" i="1"/>
  <c r="H345" i="1"/>
  <c r="H344" i="1"/>
  <c r="H353" i="1"/>
  <c r="H352" i="1"/>
  <c r="H351" i="1"/>
  <c r="H350" i="1"/>
  <c r="H338" i="1"/>
  <c r="H354" i="1"/>
  <c r="H349" i="1"/>
  <c r="H348" i="1"/>
  <c r="H337" i="1"/>
  <c r="H368" i="1"/>
  <c r="H365" i="1"/>
  <c r="H388" i="1"/>
  <c r="H387" i="1"/>
  <c r="H378" i="1"/>
  <c r="H377" i="1"/>
  <c r="H369" i="1"/>
  <c r="H374" i="1"/>
  <c r="H385" i="1"/>
  <c r="H367" i="1"/>
  <c r="H371" i="1"/>
  <c r="H370" i="1"/>
  <c r="H372" i="1"/>
  <c r="H373" i="1"/>
  <c r="H379" i="1"/>
  <c r="H386" i="1"/>
  <c r="H380" i="1"/>
  <c r="H381" i="1"/>
  <c r="H364" i="1"/>
  <c r="H362" i="1"/>
  <c r="H360" i="1"/>
  <c r="H359" i="1"/>
  <c r="H358" i="1"/>
  <c r="H382" i="1"/>
  <c r="H376" i="1"/>
  <c r="H383" i="1"/>
  <c r="H384" i="1"/>
  <c r="H363" i="1"/>
  <c r="H361" i="1"/>
  <c r="H366" i="1"/>
  <c r="H375" i="1"/>
  <c r="H406" i="1"/>
  <c r="H393" i="1"/>
  <c r="H409" i="1"/>
  <c r="H401" i="1"/>
  <c r="H398" i="1"/>
  <c r="H389" i="1"/>
  <c r="H404" i="1"/>
  <c r="H397" i="1"/>
  <c r="H399" i="1"/>
  <c r="H394" i="1"/>
  <c r="H395" i="1"/>
  <c r="H390" i="1"/>
  <c r="H400" i="1"/>
  <c r="H402" i="1"/>
  <c r="H403" i="1"/>
  <c r="H392" i="1"/>
  <c r="H408" i="1"/>
  <c r="H405" i="1"/>
  <c r="H407" i="1"/>
  <c r="H391" i="1"/>
  <c r="H396" i="1"/>
  <c r="H432" i="1"/>
  <c r="H417" i="1"/>
  <c r="H435" i="1"/>
  <c r="H425" i="1"/>
  <c r="H421" i="1"/>
  <c r="H424" i="1"/>
  <c r="H412" i="1"/>
  <c r="H413" i="1"/>
  <c r="H436" i="1"/>
  <c r="H410" i="1"/>
  <c r="H433" i="1"/>
  <c r="H426" i="1"/>
  <c r="H419" i="1"/>
  <c r="H418" i="1"/>
  <c r="H416" i="1"/>
  <c r="H415" i="1"/>
  <c r="H414" i="1"/>
  <c r="H431" i="1"/>
  <c r="H430" i="1"/>
  <c r="H429" i="1"/>
  <c r="H428" i="1"/>
  <c r="H427" i="1"/>
  <c r="H420" i="1"/>
  <c r="H411" i="1"/>
  <c r="H422" i="1"/>
  <c r="H440" i="1"/>
  <c r="H439" i="1"/>
  <c r="H438" i="1"/>
  <c r="H437" i="1"/>
  <c r="H423" i="1"/>
  <c r="H434" i="1"/>
  <c r="H448" i="1"/>
  <c r="H444" i="1"/>
  <c r="H443" i="1"/>
  <c r="H442" i="1"/>
  <c r="H441" i="1"/>
  <c r="H451" i="1"/>
  <c r="H446" i="1"/>
  <c r="H447" i="1"/>
  <c r="H445" i="1"/>
  <c r="H450" i="1"/>
  <c r="H449" i="1"/>
  <c r="H474" i="1"/>
  <c r="H460" i="1"/>
  <c r="H459" i="1"/>
  <c r="H457" i="1"/>
  <c r="H455" i="1"/>
  <c r="H471" i="1"/>
  <c r="H454" i="1"/>
  <c r="H458" i="1"/>
  <c r="H467" i="1"/>
  <c r="H452" i="1"/>
  <c r="H464" i="1"/>
  <c r="H463" i="1"/>
  <c r="H465" i="1"/>
  <c r="H462" i="1"/>
  <c r="H461" i="1"/>
  <c r="H453" i="1"/>
  <c r="H468" i="1"/>
  <c r="H466" i="1"/>
  <c r="H456" i="1"/>
  <c r="H469" i="1"/>
  <c r="H472" i="1"/>
  <c r="H473" i="1"/>
  <c r="H470" i="1"/>
  <c r="H480" i="1"/>
  <c r="H515" i="1"/>
  <c r="H477" i="1"/>
  <c r="H481" i="1"/>
  <c r="H478" i="1"/>
  <c r="H499" i="1"/>
  <c r="H476" i="1"/>
  <c r="H509" i="1"/>
  <c r="H510" i="1"/>
  <c r="H491" i="1"/>
  <c r="H506" i="1"/>
  <c r="H507" i="1"/>
  <c r="H521" i="1"/>
  <c r="H513" i="1"/>
  <c r="H495" i="1"/>
  <c r="H486" i="1"/>
  <c r="H494" i="1"/>
  <c r="H482" i="1"/>
  <c r="H516" i="1"/>
  <c r="H503" i="1"/>
  <c r="H508" i="1"/>
  <c r="H475" i="1"/>
  <c r="H479" i="1"/>
  <c r="H492" i="1"/>
  <c r="H504" i="1"/>
  <c r="H505" i="1"/>
  <c r="H484" i="1"/>
  <c r="H518" i="1"/>
  <c r="H488" i="1"/>
  <c r="H483" i="1"/>
  <c r="H519" i="1"/>
  <c r="H520" i="1"/>
  <c r="H485" i="1"/>
  <c r="H489" i="1"/>
  <c r="H487" i="1"/>
  <c r="H490" i="1"/>
  <c r="H502" i="1"/>
  <c r="H501" i="1"/>
  <c r="H498" i="1"/>
  <c r="H497" i="1"/>
  <c r="H496" i="1"/>
  <c r="H500" i="1"/>
  <c r="H493" i="1"/>
  <c r="H512" i="1"/>
  <c r="H511" i="1"/>
  <c r="H514" i="1"/>
  <c r="H517" i="1"/>
  <c r="H576" i="1"/>
  <c r="H543" i="1"/>
  <c r="H557" i="1"/>
  <c r="H569" i="1"/>
  <c r="H544" i="1"/>
  <c r="H538" i="1"/>
  <c r="H575" i="1"/>
  <c r="H546" i="1"/>
  <c r="H542" i="1"/>
  <c r="H578" i="1"/>
  <c r="H527" i="1"/>
  <c r="H529" i="1"/>
  <c r="H545" i="1"/>
  <c r="H536" i="1"/>
  <c r="H579" i="1"/>
  <c r="H566" i="1"/>
  <c r="H548" i="1"/>
  <c r="H547" i="1"/>
  <c r="H572" i="1"/>
  <c r="H581" i="1"/>
  <c r="H555" i="1"/>
  <c r="H522" i="1"/>
  <c r="H563" i="1"/>
  <c r="H550" i="1"/>
  <c r="H565" i="1"/>
  <c r="H559" i="1"/>
  <c r="H556" i="1"/>
  <c r="H541" i="1"/>
  <c r="H537" i="1"/>
  <c r="H535" i="1"/>
  <c r="H570" i="1"/>
  <c r="H526" i="1"/>
  <c r="H568" i="1"/>
  <c r="H562" i="1"/>
  <c r="H571" i="1"/>
  <c r="H551" i="1"/>
  <c r="H531" i="1"/>
  <c r="H528" i="1"/>
  <c r="H524" i="1"/>
  <c r="H554" i="1"/>
  <c r="H539" i="1"/>
  <c r="H553" i="1"/>
  <c r="H552" i="1"/>
  <c r="H561" i="1"/>
  <c r="H549" i="1"/>
  <c r="H540" i="1"/>
  <c r="H558" i="1"/>
  <c r="H560" i="1"/>
  <c r="H564" i="1"/>
  <c r="H582" i="1"/>
  <c r="H580" i="1"/>
  <c r="H567" i="1"/>
  <c r="H577" i="1"/>
  <c r="H573" i="1"/>
  <c r="H574" i="1"/>
  <c r="H530" i="1"/>
  <c r="H534" i="1"/>
  <c r="H532" i="1"/>
  <c r="H523" i="1"/>
  <c r="H533" i="1"/>
  <c r="H525" i="1"/>
  <c r="H648" i="1"/>
  <c r="H631" i="1"/>
  <c r="H630" i="1"/>
  <c r="H586" i="1"/>
  <c r="H626" i="1"/>
  <c r="H594" i="1"/>
  <c r="H622" i="1"/>
  <c r="H585" i="1"/>
  <c r="H632" i="1"/>
  <c r="H627" i="1"/>
  <c r="H610" i="1"/>
  <c r="H589" i="1"/>
  <c r="H644" i="1"/>
  <c r="H601" i="1"/>
  <c r="H633" i="1"/>
  <c r="H611" i="1"/>
  <c r="H647" i="1"/>
  <c r="H629" i="1"/>
  <c r="H634" i="1"/>
  <c r="H598" i="1"/>
  <c r="H639" i="1"/>
  <c r="H625" i="1"/>
  <c r="H637" i="1"/>
  <c r="H592" i="1"/>
  <c r="H603" i="1"/>
  <c r="H602" i="1"/>
  <c r="H655" i="1"/>
  <c r="H641" i="1"/>
  <c r="H588" i="1"/>
  <c r="H636" i="1"/>
  <c r="H612" i="1"/>
  <c r="H646" i="1"/>
  <c r="H623" i="1"/>
  <c r="H597" i="1"/>
  <c r="H596" i="1"/>
  <c r="H653" i="1"/>
  <c r="H652" i="1"/>
  <c r="H651" i="1"/>
  <c r="H650" i="1"/>
  <c r="H649" i="1"/>
  <c r="H645" i="1"/>
  <c r="H628" i="1"/>
  <c r="H624" i="1"/>
  <c r="H621" i="1"/>
  <c r="H620" i="1"/>
  <c r="H619" i="1"/>
  <c r="H617" i="1"/>
  <c r="H616" i="1"/>
  <c r="H615" i="1"/>
  <c r="H614" i="1"/>
  <c r="H613" i="1"/>
  <c r="H584" i="1"/>
  <c r="H606" i="1"/>
  <c r="H587" i="1"/>
  <c r="H583" i="1"/>
  <c r="H654" i="1"/>
  <c r="H635" i="1"/>
  <c r="H640" i="1"/>
  <c r="H642" i="1"/>
  <c r="H643" i="1"/>
  <c r="H638" i="1"/>
  <c r="H599" i="1"/>
  <c r="H590" i="1"/>
  <c r="H600" i="1"/>
  <c r="H593" i="1"/>
  <c r="H591" i="1"/>
  <c r="H595" i="1"/>
  <c r="H604" i="1"/>
  <c r="H607" i="1"/>
  <c r="H608" i="1"/>
  <c r="H605" i="1"/>
  <c r="H609" i="1"/>
  <c r="H618" i="1"/>
  <c r="H684" i="1"/>
  <c r="H666" i="1"/>
  <c r="H659" i="1"/>
  <c r="H661" i="1"/>
  <c r="H679" i="1"/>
  <c r="H689" i="1"/>
  <c r="H687" i="1"/>
  <c r="H676" i="1"/>
  <c r="H686" i="1"/>
  <c r="H685" i="1"/>
  <c r="H660" i="1"/>
  <c r="H657" i="1"/>
  <c r="H671" i="1"/>
  <c r="H670" i="1"/>
  <c r="H669" i="1"/>
  <c r="H668" i="1"/>
  <c r="H667" i="1"/>
  <c r="H672" i="1"/>
  <c r="H678" i="1"/>
  <c r="H691" i="1"/>
  <c r="H665" i="1"/>
  <c r="H664" i="1"/>
  <c r="H663" i="1"/>
  <c r="H658" i="1"/>
  <c r="H674" i="1"/>
  <c r="H675" i="1"/>
  <c r="H673" i="1"/>
  <c r="H677" i="1"/>
  <c r="H656" i="1"/>
  <c r="H690" i="1"/>
  <c r="H688" i="1"/>
  <c r="H680" i="1"/>
  <c r="H683" i="1"/>
  <c r="H681" i="1"/>
  <c r="H682" i="1"/>
  <c r="H662" i="1"/>
  <c r="H692" i="1"/>
  <c r="H1078" i="1"/>
  <c r="H1071" i="1"/>
  <c r="H1085" i="1"/>
  <c r="H1069" i="1"/>
  <c r="H1073" i="1"/>
  <c r="H1080" i="1"/>
  <c r="H1086" i="1"/>
  <c r="H1076" i="1"/>
  <c r="H1075" i="1"/>
  <c r="H1072" i="1"/>
  <c r="H1081" i="1"/>
  <c r="H1068" i="1"/>
  <c r="H1079" i="1"/>
  <c r="H1082" i="1"/>
  <c r="H1083" i="1"/>
  <c r="H1077" i="1"/>
  <c r="H1074" i="1"/>
  <c r="H1070" i="1"/>
  <c r="H1084" i="1"/>
  <c r="H1087" i="1"/>
  <c r="H1088" i="1"/>
  <c r="H713" i="1"/>
  <c r="H698" i="1"/>
  <c r="H701" i="1"/>
  <c r="H720" i="1"/>
  <c r="H716" i="1"/>
  <c r="H705" i="1"/>
  <c r="H704" i="1"/>
  <c r="H699" i="1"/>
  <c r="H707" i="1"/>
  <c r="H718" i="1"/>
  <c r="H712" i="1"/>
  <c r="H714" i="1"/>
  <c r="H710" i="1"/>
  <c r="H719" i="1"/>
  <c r="H703" i="1"/>
  <c r="H700" i="1"/>
  <c r="H694" i="1"/>
  <c r="H693" i="1"/>
  <c r="H722" i="1"/>
  <c r="H721" i="1"/>
  <c r="H696" i="1"/>
  <c r="H709" i="1"/>
  <c r="H706" i="1"/>
  <c r="H715" i="1"/>
  <c r="H711" i="1"/>
  <c r="H708" i="1"/>
  <c r="H697" i="1"/>
  <c r="H702" i="1"/>
  <c r="H695" i="1"/>
  <c r="H723" i="1"/>
  <c r="H717" i="1"/>
  <c r="H747" i="1"/>
  <c r="H757" i="1"/>
  <c r="H745" i="1"/>
  <c r="H765" i="1"/>
  <c r="H758" i="1"/>
  <c r="H749" i="1"/>
  <c r="H730" i="1"/>
  <c r="H727" i="1"/>
  <c r="H743" i="1"/>
  <c r="H735" i="1"/>
  <c r="H755" i="1"/>
  <c r="H740" i="1"/>
  <c r="H751" i="1"/>
  <c r="H752" i="1"/>
  <c r="H768" i="1"/>
  <c r="H767" i="1"/>
  <c r="H764" i="1"/>
  <c r="H763" i="1"/>
  <c r="H762" i="1"/>
  <c r="H750" i="1"/>
  <c r="H770" i="1"/>
  <c r="H769" i="1"/>
  <c r="H732" i="1"/>
  <c r="H742" i="1"/>
  <c r="H724" i="1"/>
  <c r="H739" i="1"/>
  <c r="H726" i="1"/>
  <c r="H759" i="1"/>
  <c r="H738" i="1"/>
  <c r="H737" i="1"/>
  <c r="H736" i="1"/>
  <c r="H734" i="1"/>
  <c r="H733" i="1"/>
  <c r="H729" i="1"/>
  <c r="H728" i="1"/>
  <c r="H760" i="1"/>
  <c r="H754" i="1"/>
  <c r="H753" i="1"/>
  <c r="H731" i="1"/>
  <c r="H725" i="1"/>
  <c r="H746" i="1"/>
  <c r="H748" i="1"/>
  <c r="H771" i="1"/>
  <c r="H756" i="1"/>
  <c r="H761" i="1"/>
  <c r="H766" i="1"/>
  <c r="H741" i="1"/>
  <c r="H744" i="1"/>
  <c r="H780" i="1"/>
  <c r="H775" i="1"/>
  <c r="H774" i="1"/>
  <c r="H773" i="1"/>
  <c r="H772" i="1"/>
  <c r="H787" i="1"/>
  <c r="H782" i="1"/>
  <c r="H779" i="1"/>
  <c r="H790" i="1"/>
  <c r="H788" i="1"/>
  <c r="H789" i="1"/>
  <c r="H777" i="1"/>
  <c r="H791" i="1"/>
  <c r="H793" i="1"/>
  <c r="H792" i="1"/>
  <c r="H781" i="1"/>
  <c r="H783" i="1"/>
  <c r="H784" i="1"/>
  <c r="H785" i="1"/>
  <c r="H786" i="1"/>
  <c r="H776" i="1"/>
  <c r="H778" i="1"/>
  <c r="H1096" i="1"/>
  <c r="H1126" i="1"/>
  <c r="H1125" i="1"/>
  <c r="H1116" i="1"/>
  <c r="H1103" i="1"/>
  <c r="H1102" i="1"/>
  <c r="H1101" i="1"/>
  <c r="H1127" i="1"/>
  <c r="H1124" i="1"/>
  <c r="H1118" i="1"/>
  <c r="H1113" i="1"/>
  <c r="H1109" i="1"/>
  <c r="H1108" i="1"/>
  <c r="H1099" i="1"/>
  <c r="H1098" i="1"/>
  <c r="H1095" i="1"/>
  <c r="H1090" i="1"/>
  <c r="H1089" i="1"/>
  <c r="H1130" i="1"/>
  <c r="H1117" i="1"/>
  <c r="H1100" i="1"/>
  <c r="H1133" i="1"/>
  <c r="H1132" i="1"/>
  <c r="H1115" i="1"/>
  <c r="H1112" i="1"/>
  <c r="H1111" i="1"/>
  <c r="H1107" i="1"/>
  <c r="H1105" i="1"/>
  <c r="H1094" i="1"/>
  <c r="H1093" i="1"/>
  <c r="H1129" i="1"/>
  <c r="H1121" i="1"/>
  <c r="H1123" i="1"/>
  <c r="H1122" i="1"/>
  <c r="H1091" i="1"/>
  <c r="H1092" i="1"/>
  <c r="H1104" i="1"/>
  <c r="H1106" i="1"/>
  <c r="H1131" i="1"/>
  <c r="H1128" i="1"/>
  <c r="H1110" i="1"/>
  <c r="H1097" i="1"/>
  <c r="H1119" i="1"/>
  <c r="H1120" i="1"/>
  <c r="H1114" i="1"/>
  <c r="H1151" i="1"/>
  <c r="H1158" i="1"/>
  <c r="H1157" i="1"/>
  <c r="H1169" i="1"/>
  <c r="H1165" i="1"/>
  <c r="H1156" i="1"/>
  <c r="H1167" i="1"/>
  <c r="H1166" i="1"/>
  <c r="H1170" i="1"/>
  <c r="H1176" i="1"/>
  <c r="H1154" i="1"/>
  <c r="H1152" i="1"/>
  <c r="H1153" i="1"/>
  <c r="H1136" i="1"/>
  <c r="H1149" i="1"/>
  <c r="H1148" i="1"/>
  <c r="H1147" i="1"/>
  <c r="H1146" i="1"/>
  <c r="H1145" i="1"/>
  <c r="H1144" i="1"/>
  <c r="H1143" i="1"/>
  <c r="H1142" i="1"/>
  <c r="H1141" i="1"/>
  <c r="H1140" i="1"/>
  <c r="H1139" i="1"/>
  <c r="H1138" i="1"/>
  <c r="H1137" i="1"/>
  <c r="H1135" i="1"/>
  <c r="H1174" i="1"/>
  <c r="H1173" i="1"/>
  <c r="H1172" i="1"/>
  <c r="H1171" i="1"/>
  <c r="H1155" i="1"/>
  <c r="H1134" i="1"/>
  <c r="H1150" i="1"/>
  <c r="H1160" i="1"/>
  <c r="H1159" i="1"/>
  <c r="H1175" i="1"/>
  <c r="H1162" i="1"/>
  <c r="H1168" i="1"/>
  <c r="H1163" i="1"/>
  <c r="H1164" i="1"/>
  <c r="H1161" i="1"/>
  <c r="H813" i="1"/>
  <c r="G805" i="1"/>
  <c r="G818" i="1"/>
  <c r="G806" i="1"/>
  <c r="G816" i="1"/>
  <c r="G814" i="1"/>
  <c r="G817" i="1"/>
  <c r="G810" i="1"/>
  <c r="G809" i="1"/>
  <c r="G804" i="1"/>
  <c r="G803" i="1"/>
  <c r="G797" i="1"/>
  <c r="G811" i="1"/>
  <c r="G802" i="1"/>
  <c r="G807" i="1"/>
  <c r="G812" i="1"/>
  <c r="G796" i="1"/>
  <c r="G795" i="1"/>
  <c r="G794" i="1"/>
  <c r="G800" i="1"/>
  <c r="G798" i="1"/>
  <c r="G815" i="1"/>
  <c r="G821" i="1"/>
  <c r="G820" i="1"/>
  <c r="G819" i="1"/>
  <c r="G808" i="1"/>
  <c r="G799" i="1"/>
  <c r="G801" i="1"/>
  <c r="G834" i="1"/>
  <c r="G825" i="1"/>
  <c r="G822" i="1"/>
  <c r="G826" i="1"/>
  <c r="G824" i="1"/>
  <c r="G823" i="1"/>
  <c r="G829" i="1"/>
  <c r="G828" i="1"/>
  <c r="G833" i="1"/>
  <c r="G832" i="1"/>
  <c r="G831" i="1"/>
  <c r="G830" i="1"/>
  <c r="G835" i="1"/>
  <c r="G827" i="1"/>
  <c r="G846" i="1"/>
  <c r="G845" i="1"/>
  <c r="G841" i="1"/>
  <c r="G840" i="1"/>
  <c r="G849" i="1"/>
  <c r="G836" i="1"/>
  <c r="G848" i="1"/>
  <c r="G843" i="1"/>
  <c r="G842" i="1"/>
  <c r="G839" i="1"/>
  <c r="G838" i="1"/>
  <c r="G837" i="1"/>
  <c r="G847" i="1"/>
  <c r="G844" i="1"/>
  <c r="G856" i="1"/>
  <c r="G851" i="1"/>
  <c r="G850" i="1"/>
  <c r="G860" i="1"/>
  <c r="G857" i="1"/>
  <c r="G853" i="1"/>
  <c r="G854" i="1"/>
  <c r="G859" i="1"/>
  <c r="G852" i="1"/>
  <c r="G858" i="1"/>
  <c r="G855" i="1"/>
  <c r="G865" i="1"/>
  <c r="G866" i="1"/>
  <c r="G861" i="1"/>
  <c r="G863" i="1"/>
  <c r="G862" i="1"/>
  <c r="G867" i="1"/>
  <c r="G864" i="1"/>
  <c r="G871" i="1"/>
  <c r="G873" i="1"/>
  <c r="G869" i="1"/>
  <c r="G868" i="1"/>
  <c r="G874" i="1"/>
  <c r="G872" i="1"/>
  <c r="G870" i="1"/>
  <c r="G889" i="1"/>
  <c r="G884" i="1"/>
  <c r="G886" i="1"/>
  <c r="G888" i="1"/>
  <c r="G885" i="1"/>
  <c r="G887" i="1"/>
  <c r="G881" i="1"/>
  <c r="G880" i="1"/>
  <c r="G879" i="1"/>
  <c r="G882" i="1"/>
  <c r="G876" i="1"/>
  <c r="G875" i="1"/>
  <c r="G891" i="1"/>
  <c r="G890" i="1"/>
  <c r="G877" i="1"/>
  <c r="G883" i="1"/>
  <c r="G892" i="1"/>
  <c r="G878" i="1"/>
  <c r="G893" i="1"/>
  <c r="G900" i="1"/>
  <c r="G897" i="1"/>
  <c r="G898" i="1"/>
  <c r="G894" i="1"/>
  <c r="G895" i="1"/>
  <c r="G899" i="1"/>
  <c r="G901" i="1"/>
  <c r="G896" i="1"/>
  <c r="G902" i="1"/>
  <c r="G911" i="1"/>
  <c r="G916" i="1"/>
  <c r="G912" i="1"/>
  <c r="G907" i="1"/>
  <c r="G906" i="1"/>
  <c r="G905" i="1"/>
  <c r="G903" i="1"/>
  <c r="G909" i="1"/>
  <c r="G908" i="1"/>
  <c r="G915" i="1"/>
  <c r="G913" i="1"/>
  <c r="G914" i="1"/>
  <c r="G917" i="1"/>
  <c r="G910" i="1"/>
  <c r="G904" i="1"/>
  <c r="G932" i="1"/>
  <c r="G928" i="1"/>
  <c r="G925" i="1"/>
  <c r="G929" i="1"/>
  <c r="G924" i="1"/>
  <c r="G918" i="1"/>
  <c r="G923" i="1"/>
  <c r="G921" i="1"/>
  <c r="G919" i="1"/>
  <c r="G927" i="1"/>
  <c r="G931" i="1"/>
  <c r="G922" i="1"/>
  <c r="G930" i="1"/>
  <c r="G926" i="1"/>
  <c r="G920" i="1"/>
  <c r="G943" i="1"/>
  <c r="G942" i="1"/>
  <c r="G934" i="1"/>
  <c r="G955" i="1"/>
  <c r="G937" i="1"/>
  <c r="G939" i="1"/>
  <c r="G954" i="1"/>
  <c r="G951" i="1"/>
  <c r="G953" i="1"/>
  <c r="G950" i="1"/>
  <c r="G948" i="1"/>
  <c r="G947" i="1"/>
  <c r="G945" i="1"/>
  <c r="G944" i="1"/>
  <c r="G940" i="1"/>
  <c r="G936" i="1"/>
  <c r="G933" i="1"/>
  <c r="G952" i="1"/>
  <c r="G941" i="1"/>
  <c r="G935" i="1"/>
  <c r="G938" i="1"/>
  <c r="G946" i="1"/>
  <c r="G949" i="1"/>
  <c r="G960" i="1"/>
  <c r="G956" i="1"/>
  <c r="G958" i="1"/>
  <c r="G957" i="1"/>
  <c r="G961" i="1"/>
  <c r="G962" i="1"/>
  <c r="G959" i="1"/>
  <c r="G971" i="1"/>
  <c r="G965" i="1"/>
  <c r="G963" i="1"/>
  <c r="G972" i="1"/>
  <c r="G970" i="1"/>
  <c r="G967" i="1"/>
  <c r="G969" i="1"/>
  <c r="G968" i="1"/>
  <c r="G964" i="1"/>
  <c r="G966" i="1"/>
  <c r="G989" i="1"/>
  <c r="G974" i="1"/>
  <c r="G985" i="1"/>
  <c r="G975" i="1"/>
  <c r="G973" i="1"/>
  <c r="G982" i="1"/>
  <c r="G978" i="1"/>
  <c r="G981" i="1"/>
  <c r="G980" i="1"/>
  <c r="G979" i="1"/>
  <c r="G986" i="1"/>
  <c r="G983" i="1"/>
  <c r="G984" i="1"/>
  <c r="G976" i="1"/>
  <c r="G977" i="1"/>
  <c r="G988" i="1"/>
  <c r="G987" i="1"/>
  <c r="G990" i="1"/>
  <c r="G991" i="1"/>
  <c r="G1004" i="1"/>
  <c r="G1003" i="1"/>
  <c r="G997" i="1"/>
  <c r="G1001" i="1"/>
  <c r="G1002" i="1"/>
  <c r="G995" i="1"/>
  <c r="G999" i="1"/>
  <c r="G998" i="1"/>
  <c r="G1000" i="1"/>
  <c r="G1006" i="1"/>
  <c r="G993" i="1"/>
  <c r="G992" i="1"/>
  <c r="G1005" i="1"/>
  <c r="G996" i="1"/>
  <c r="G994" i="1"/>
  <c r="G8" i="1"/>
  <c r="G39" i="1"/>
  <c r="G21" i="1"/>
  <c r="G29" i="1"/>
  <c r="G24" i="1"/>
  <c r="G27" i="1"/>
  <c r="G7" i="1"/>
  <c r="G10" i="1"/>
  <c r="G4" i="1"/>
  <c r="G16" i="1"/>
  <c r="G14" i="1"/>
  <c r="G2" i="1"/>
  <c r="G9" i="1"/>
  <c r="G26" i="1"/>
  <c r="G20" i="1"/>
  <c r="G19" i="1"/>
  <c r="G18" i="1"/>
  <c r="G36" i="1"/>
  <c r="G3" i="1"/>
  <c r="G15" i="1"/>
  <c r="G33" i="1"/>
  <c r="G37" i="1"/>
  <c r="G12" i="1"/>
  <c r="G5" i="1"/>
  <c r="G6" i="1"/>
  <c r="G23" i="1"/>
  <c r="G25" i="1"/>
  <c r="G22" i="1"/>
  <c r="G34" i="1"/>
  <c r="G35" i="1"/>
  <c r="G38" i="1"/>
  <c r="G11" i="1"/>
  <c r="G13" i="1"/>
  <c r="G17" i="1"/>
  <c r="G32" i="1"/>
  <c r="G28" i="1"/>
  <c r="G31" i="1"/>
  <c r="G30" i="1"/>
  <c r="G71" i="1"/>
  <c r="G76" i="1"/>
  <c r="G63" i="1"/>
  <c r="G45" i="1"/>
  <c r="G61" i="1"/>
  <c r="G59" i="1"/>
  <c r="G54" i="1"/>
  <c r="G69" i="1"/>
  <c r="G75" i="1"/>
  <c r="G64" i="1"/>
  <c r="G58" i="1"/>
  <c r="G57" i="1"/>
  <c r="G55" i="1"/>
  <c r="G53" i="1"/>
  <c r="G52" i="1"/>
  <c r="G50" i="1"/>
  <c r="G49" i="1"/>
  <c r="G43" i="1"/>
  <c r="G42" i="1"/>
  <c r="G65" i="1"/>
  <c r="G51" i="1"/>
  <c r="G56" i="1"/>
  <c r="G60" i="1"/>
  <c r="G67" i="1"/>
  <c r="G66" i="1"/>
  <c r="G62" i="1"/>
  <c r="G74" i="1"/>
  <c r="G72" i="1"/>
  <c r="G70" i="1"/>
  <c r="G68" i="1"/>
  <c r="G73" i="1"/>
  <c r="G41" i="1"/>
  <c r="G40" i="1"/>
  <c r="G44" i="1"/>
  <c r="G47" i="1"/>
  <c r="G46" i="1"/>
  <c r="G48" i="1"/>
  <c r="G103" i="1"/>
  <c r="G84" i="1"/>
  <c r="G89" i="1"/>
  <c r="G102" i="1"/>
  <c r="G88" i="1"/>
  <c r="G86" i="1"/>
  <c r="G85" i="1"/>
  <c r="G104" i="1"/>
  <c r="G92" i="1"/>
  <c r="G90" i="1"/>
  <c r="G97" i="1"/>
  <c r="G77" i="1"/>
  <c r="G79" i="1"/>
  <c r="G101" i="1"/>
  <c r="G100" i="1"/>
  <c r="G95" i="1"/>
  <c r="G94" i="1"/>
  <c r="G93" i="1"/>
  <c r="G91" i="1"/>
  <c r="G96" i="1"/>
  <c r="G98" i="1"/>
  <c r="G99" i="1"/>
  <c r="G80" i="1"/>
  <c r="G78" i="1"/>
  <c r="G81" i="1"/>
  <c r="G83" i="1"/>
  <c r="G82" i="1"/>
  <c r="G87" i="1"/>
  <c r="G1010" i="1"/>
  <c r="G1026" i="1"/>
  <c r="G1025" i="1"/>
  <c r="G1028" i="1"/>
  <c r="G1031" i="1"/>
  <c r="G1030" i="1"/>
  <c r="G1007" i="1"/>
  <c r="G1023" i="1"/>
  <c r="G1015" i="1"/>
  <c r="G1021" i="1"/>
  <c r="G1020" i="1"/>
  <c r="G1019" i="1"/>
  <c r="G1018" i="1"/>
  <c r="G1017" i="1"/>
  <c r="G1016" i="1"/>
  <c r="G1013" i="1"/>
  <c r="G1022" i="1"/>
  <c r="G1008" i="1"/>
  <c r="G1027" i="1"/>
  <c r="G1032" i="1"/>
  <c r="G1029" i="1"/>
  <c r="G1011" i="1"/>
  <c r="G1012" i="1"/>
  <c r="G1009" i="1"/>
  <c r="G1014" i="1"/>
  <c r="G1033" i="1"/>
  <c r="G1024" i="1"/>
  <c r="G138" i="1"/>
  <c r="G128" i="1"/>
  <c r="G110" i="1"/>
  <c r="G105" i="1"/>
  <c r="G126" i="1"/>
  <c r="G119" i="1"/>
  <c r="G123" i="1"/>
  <c r="G122" i="1"/>
  <c r="G111" i="1"/>
  <c r="G109" i="1"/>
  <c r="G120" i="1"/>
  <c r="G116" i="1"/>
  <c r="G115" i="1"/>
  <c r="G113" i="1"/>
  <c r="G112" i="1"/>
  <c r="G108" i="1"/>
  <c r="G107" i="1"/>
  <c r="G136" i="1"/>
  <c r="G135" i="1"/>
  <c r="G134" i="1"/>
  <c r="G129" i="1"/>
  <c r="G131" i="1"/>
  <c r="G132" i="1"/>
  <c r="G106" i="1"/>
  <c r="G133" i="1"/>
  <c r="G130" i="1"/>
  <c r="G139" i="1"/>
  <c r="G137" i="1"/>
  <c r="G117" i="1"/>
  <c r="G114" i="1"/>
  <c r="G124" i="1"/>
  <c r="G125" i="1"/>
  <c r="G118" i="1"/>
  <c r="G121" i="1"/>
  <c r="G127" i="1"/>
  <c r="G161" i="1"/>
  <c r="G160" i="1"/>
  <c r="G159" i="1"/>
  <c r="G158" i="1"/>
  <c r="G154" i="1"/>
  <c r="G150" i="1"/>
  <c r="G156" i="1"/>
  <c r="G153" i="1"/>
  <c r="G152" i="1"/>
  <c r="G151" i="1"/>
  <c r="G145" i="1"/>
  <c r="G141" i="1"/>
  <c r="G140" i="1"/>
  <c r="G163" i="1"/>
  <c r="G147" i="1"/>
  <c r="G146" i="1"/>
  <c r="G144" i="1"/>
  <c r="G143" i="1"/>
  <c r="G142" i="1"/>
  <c r="G162" i="1"/>
  <c r="G155" i="1"/>
  <c r="G148" i="1"/>
  <c r="G149" i="1"/>
  <c r="G157" i="1"/>
  <c r="G164" i="1"/>
  <c r="G165" i="1"/>
  <c r="G166" i="1"/>
  <c r="G180" i="1"/>
  <c r="G172" i="1"/>
  <c r="G170" i="1"/>
  <c r="G169" i="1"/>
  <c r="G168" i="1"/>
  <c r="G167" i="1"/>
  <c r="G179" i="1"/>
  <c r="G178" i="1"/>
  <c r="G177" i="1"/>
  <c r="G176" i="1"/>
  <c r="G175" i="1"/>
  <c r="G174" i="1"/>
  <c r="G173" i="1"/>
  <c r="G171" i="1"/>
  <c r="G199" i="1"/>
  <c r="G198" i="1"/>
  <c r="G197" i="1"/>
  <c r="G193" i="1"/>
  <c r="G188" i="1"/>
  <c r="G185" i="1"/>
  <c r="G192" i="1"/>
  <c r="G184" i="1"/>
  <c r="G183" i="1"/>
  <c r="G182" i="1"/>
  <c r="G181" i="1"/>
  <c r="G186" i="1"/>
  <c r="G187" i="1"/>
  <c r="G194" i="1"/>
  <c r="G200" i="1"/>
  <c r="G201" i="1"/>
  <c r="G189" i="1"/>
  <c r="G190" i="1"/>
  <c r="G191" i="1"/>
  <c r="G195" i="1"/>
  <c r="G196" i="1"/>
  <c r="G228" i="1"/>
  <c r="G213" i="1"/>
  <c r="G206" i="1"/>
  <c r="G230" i="1"/>
  <c r="G229" i="1"/>
  <c r="G227" i="1"/>
  <c r="G224" i="1"/>
  <c r="G225" i="1"/>
  <c r="G226" i="1"/>
  <c r="G223" i="1"/>
  <c r="G222" i="1"/>
  <c r="G221" i="1"/>
  <c r="G220" i="1"/>
  <c r="G219" i="1"/>
  <c r="G218" i="1"/>
  <c r="G217" i="1"/>
  <c r="G215" i="1"/>
  <c r="G212" i="1"/>
  <c r="G211" i="1"/>
  <c r="G207" i="1"/>
  <c r="G205" i="1"/>
  <c r="G203" i="1"/>
  <c r="G214" i="1"/>
  <c r="G202" i="1"/>
  <c r="G216" i="1"/>
  <c r="G204" i="1"/>
  <c r="G210" i="1"/>
  <c r="G209" i="1"/>
  <c r="G208" i="1"/>
  <c r="G252" i="1"/>
  <c r="G247" i="1"/>
  <c r="G245" i="1"/>
  <c r="G243" i="1"/>
  <c r="G244" i="1"/>
  <c r="G241" i="1"/>
  <c r="G239" i="1"/>
  <c r="G240" i="1"/>
  <c r="G236" i="1"/>
  <c r="G231" i="1"/>
  <c r="G254" i="1"/>
  <c r="G253" i="1"/>
  <c r="G249" i="1"/>
  <c r="G235" i="1"/>
  <c r="G234" i="1"/>
  <c r="G233" i="1"/>
  <c r="G232" i="1"/>
  <c r="G262" i="1"/>
  <c r="G261" i="1"/>
  <c r="G260" i="1"/>
  <c r="G259" i="1"/>
  <c r="G258" i="1"/>
  <c r="G257" i="1"/>
  <c r="G256" i="1"/>
  <c r="G246" i="1"/>
  <c r="G242" i="1"/>
  <c r="G248" i="1"/>
  <c r="G263" i="1"/>
  <c r="G238" i="1"/>
  <c r="G250" i="1"/>
  <c r="G251" i="1"/>
  <c r="G255" i="1"/>
  <c r="G237" i="1"/>
  <c r="G281" i="1"/>
  <c r="G283" i="1"/>
  <c r="G285" i="1"/>
  <c r="G272" i="1"/>
  <c r="G280" i="1"/>
  <c r="G275" i="1"/>
  <c r="G273" i="1"/>
  <c r="G271" i="1"/>
  <c r="G270" i="1"/>
  <c r="G269" i="1"/>
  <c r="G268" i="1"/>
  <c r="G267" i="1"/>
  <c r="G266" i="1"/>
  <c r="G276" i="1"/>
  <c r="G284" i="1"/>
  <c r="G279" i="1"/>
  <c r="G278" i="1"/>
  <c r="G277" i="1"/>
  <c r="G282" i="1"/>
  <c r="G274" i="1"/>
  <c r="G265" i="1"/>
  <c r="G264" i="1"/>
  <c r="G304" i="1"/>
  <c r="G303" i="1"/>
  <c r="G294" i="1"/>
  <c r="G297" i="1"/>
  <c r="G296" i="1"/>
  <c r="G299" i="1"/>
  <c r="G298" i="1"/>
  <c r="G291" i="1"/>
  <c r="G290" i="1"/>
  <c r="G289" i="1"/>
  <c r="G288" i="1"/>
  <c r="G287" i="1"/>
  <c r="G293" i="1"/>
  <c r="G301" i="1"/>
  <c r="G292" i="1"/>
  <c r="G306" i="1"/>
  <c r="G286" i="1"/>
  <c r="G305" i="1"/>
  <c r="G302" i="1"/>
  <c r="G300" i="1"/>
  <c r="G309" i="1"/>
  <c r="G307" i="1"/>
  <c r="G308" i="1"/>
  <c r="G295" i="1"/>
  <c r="G310" i="1"/>
  <c r="G317" i="1"/>
  <c r="G322" i="1"/>
  <c r="G321" i="1"/>
  <c r="G311" i="1"/>
  <c r="G315" i="1"/>
  <c r="G316" i="1"/>
  <c r="G313" i="1"/>
  <c r="G318" i="1"/>
  <c r="G324" i="1"/>
  <c r="G314" i="1"/>
  <c r="G323" i="1"/>
  <c r="G320" i="1"/>
  <c r="G319" i="1"/>
  <c r="G312" i="1"/>
  <c r="G329" i="1"/>
  <c r="G327" i="1"/>
  <c r="G333" i="1"/>
  <c r="G325" i="1"/>
  <c r="G336" i="1"/>
  <c r="G331" i="1"/>
  <c r="G330" i="1"/>
  <c r="G332" i="1"/>
  <c r="G328" i="1"/>
  <c r="G334" i="1"/>
  <c r="G335" i="1"/>
  <c r="G326" i="1"/>
  <c r="G1046" i="1"/>
  <c r="G1045" i="1"/>
  <c r="G1044" i="1"/>
  <c r="G1043" i="1"/>
  <c r="G1042" i="1"/>
  <c r="G1048" i="1"/>
  <c r="G1052" i="1"/>
  <c r="G1034" i="1"/>
  <c r="G1053" i="1"/>
  <c r="G1051" i="1"/>
  <c r="G1050" i="1"/>
  <c r="G1049" i="1"/>
  <c r="G1047" i="1"/>
  <c r="G1066" i="1"/>
  <c r="G1036" i="1"/>
  <c r="G1041" i="1"/>
  <c r="G1064" i="1"/>
  <c r="G1063" i="1"/>
  <c r="G1062" i="1"/>
  <c r="G1061" i="1"/>
  <c r="G1060" i="1"/>
  <c r="G1056" i="1"/>
  <c r="G1055" i="1"/>
  <c r="G1040" i="1"/>
  <c r="G1039" i="1"/>
  <c r="G1038" i="1"/>
  <c r="G1067" i="1"/>
  <c r="G1035" i="1"/>
  <c r="G1065" i="1"/>
  <c r="G1059" i="1"/>
  <c r="G1058" i="1"/>
  <c r="G1057" i="1"/>
  <c r="G1054" i="1"/>
  <c r="G1037" i="1"/>
  <c r="G357" i="1"/>
  <c r="G347" i="1"/>
  <c r="G346" i="1"/>
  <c r="G343" i="1"/>
  <c r="G342" i="1"/>
  <c r="G341" i="1"/>
  <c r="G356" i="1"/>
  <c r="G355" i="1"/>
  <c r="G340" i="1"/>
  <c r="G339" i="1"/>
  <c r="G345" i="1"/>
  <c r="G344" i="1"/>
  <c r="G353" i="1"/>
  <c r="G352" i="1"/>
  <c r="G351" i="1"/>
  <c r="G350" i="1"/>
  <c r="G338" i="1"/>
  <c r="G354" i="1"/>
  <c r="G349" i="1"/>
  <c r="G348" i="1"/>
  <c r="G337" i="1"/>
  <c r="G368" i="1"/>
  <c r="G365" i="1"/>
  <c r="G388" i="1"/>
  <c r="G387" i="1"/>
  <c r="G378" i="1"/>
  <c r="G377" i="1"/>
  <c r="G369" i="1"/>
  <c r="G374" i="1"/>
  <c r="G385" i="1"/>
  <c r="G367" i="1"/>
  <c r="G371" i="1"/>
  <c r="G370" i="1"/>
  <c r="G372" i="1"/>
  <c r="G373" i="1"/>
  <c r="G379" i="1"/>
  <c r="G386" i="1"/>
  <c r="G380" i="1"/>
  <c r="G381" i="1"/>
  <c r="G364" i="1"/>
  <c r="G362" i="1"/>
  <c r="G360" i="1"/>
  <c r="G359" i="1"/>
  <c r="G358" i="1"/>
  <c r="G382" i="1"/>
  <c r="G376" i="1"/>
  <c r="G383" i="1"/>
  <c r="G384" i="1"/>
  <c r="G363" i="1"/>
  <c r="G361" i="1"/>
  <c r="G366" i="1"/>
  <c r="G375" i="1"/>
  <c r="G406" i="1"/>
  <c r="G393" i="1"/>
  <c r="G409" i="1"/>
  <c r="G401" i="1"/>
  <c r="G398" i="1"/>
  <c r="G389" i="1"/>
  <c r="G404" i="1"/>
  <c r="G397" i="1"/>
  <c r="G399" i="1"/>
  <c r="G394" i="1"/>
  <c r="G395" i="1"/>
  <c r="G390" i="1"/>
  <c r="G400" i="1"/>
  <c r="G402" i="1"/>
  <c r="G403" i="1"/>
  <c r="G392" i="1"/>
  <c r="G408" i="1"/>
  <c r="G405" i="1"/>
  <c r="G407" i="1"/>
  <c r="G391" i="1"/>
  <c r="G396" i="1"/>
  <c r="G432" i="1"/>
  <c r="G417" i="1"/>
  <c r="G435" i="1"/>
  <c r="G425" i="1"/>
  <c r="G421" i="1"/>
  <c r="G424" i="1"/>
  <c r="G412" i="1"/>
  <c r="G413" i="1"/>
  <c r="G436" i="1"/>
  <c r="G410" i="1"/>
  <c r="G433" i="1"/>
  <c r="G426" i="1"/>
  <c r="G419" i="1"/>
  <c r="G418" i="1"/>
  <c r="G416" i="1"/>
  <c r="G415" i="1"/>
  <c r="G414" i="1"/>
  <c r="G431" i="1"/>
  <c r="G430" i="1"/>
  <c r="G429" i="1"/>
  <c r="G428" i="1"/>
  <c r="G427" i="1"/>
  <c r="G420" i="1"/>
  <c r="G411" i="1"/>
  <c r="G422" i="1"/>
  <c r="G440" i="1"/>
  <c r="G439" i="1"/>
  <c r="G438" i="1"/>
  <c r="G437" i="1"/>
  <c r="G423" i="1"/>
  <c r="G434" i="1"/>
  <c r="G448" i="1"/>
  <c r="G444" i="1"/>
  <c r="G443" i="1"/>
  <c r="G442" i="1"/>
  <c r="G441" i="1"/>
  <c r="G451" i="1"/>
  <c r="G446" i="1"/>
  <c r="G447" i="1"/>
  <c r="G445" i="1"/>
  <c r="G450" i="1"/>
  <c r="G449" i="1"/>
  <c r="G474" i="1"/>
  <c r="G460" i="1"/>
  <c r="G459" i="1"/>
  <c r="G457" i="1"/>
  <c r="G455" i="1"/>
  <c r="G471" i="1"/>
  <c r="G454" i="1"/>
  <c r="G458" i="1"/>
  <c r="G467" i="1"/>
  <c r="G452" i="1"/>
  <c r="G464" i="1"/>
  <c r="G463" i="1"/>
  <c r="G465" i="1"/>
  <c r="G462" i="1"/>
  <c r="G461" i="1"/>
  <c r="G453" i="1"/>
  <c r="G468" i="1"/>
  <c r="G466" i="1"/>
  <c r="G456" i="1"/>
  <c r="G469" i="1"/>
  <c r="G472" i="1"/>
  <c r="G473" i="1"/>
  <c r="G470" i="1"/>
  <c r="G480" i="1"/>
  <c r="G515" i="1"/>
  <c r="G477" i="1"/>
  <c r="G481" i="1"/>
  <c r="G478" i="1"/>
  <c r="G499" i="1"/>
  <c r="G476" i="1"/>
  <c r="G509" i="1"/>
  <c r="G510" i="1"/>
  <c r="G491" i="1"/>
  <c r="G506" i="1"/>
  <c r="G507" i="1"/>
  <c r="G521" i="1"/>
  <c r="G513" i="1"/>
  <c r="G495" i="1"/>
  <c r="G486" i="1"/>
  <c r="G494" i="1"/>
  <c r="G482" i="1"/>
  <c r="G516" i="1"/>
  <c r="G503" i="1"/>
  <c r="G508" i="1"/>
  <c r="G475" i="1"/>
  <c r="G479" i="1"/>
  <c r="G492" i="1"/>
  <c r="G504" i="1"/>
  <c r="G505" i="1"/>
  <c r="G484" i="1"/>
  <c r="G518" i="1"/>
  <c r="G488" i="1"/>
  <c r="G483" i="1"/>
  <c r="G519" i="1"/>
  <c r="G520" i="1"/>
  <c r="G485" i="1"/>
  <c r="G489" i="1"/>
  <c r="G487" i="1"/>
  <c r="G490" i="1"/>
  <c r="G502" i="1"/>
  <c r="G501" i="1"/>
  <c r="G498" i="1"/>
  <c r="G497" i="1"/>
  <c r="G496" i="1"/>
  <c r="G500" i="1"/>
  <c r="G493" i="1"/>
  <c r="G512" i="1"/>
  <c r="G511" i="1"/>
  <c r="G514" i="1"/>
  <c r="G517" i="1"/>
  <c r="G576" i="1"/>
  <c r="G543" i="1"/>
  <c r="G557" i="1"/>
  <c r="G569" i="1"/>
  <c r="G544" i="1"/>
  <c r="G538" i="1"/>
  <c r="G575" i="1"/>
  <c r="G546" i="1"/>
  <c r="G542" i="1"/>
  <c r="G578" i="1"/>
  <c r="G527" i="1"/>
  <c r="G529" i="1"/>
  <c r="G545" i="1"/>
  <c r="G536" i="1"/>
  <c r="G579" i="1"/>
  <c r="G566" i="1"/>
  <c r="G548" i="1"/>
  <c r="G547" i="1"/>
  <c r="G572" i="1"/>
  <c r="G581" i="1"/>
  <c r="G555" i="1"/>
  <c r="G522" i="1"/>
  <c r="G563" i="1"/>
  <c r="G550" i="1"/>
  <c r="G565" i="1"/>
  <c r="G559" i="1"/>
  <c r="G556" i="1"/>
  <c r="G541" i="1"/>
  <c r="G537" i="1"/>
  <c r="G535" i="1"/>
  <c r="G570" i="1"/>
  <c r="G526" i="1"/>
  <c r="G568" i="1"/>
  <c r="G562" i="1"/>
  <c r="G571" i="1"/>
  <c r="G551" i="1"/>
  <c r="G531" i="1"/>
  <c r="G528" i="1"/>
  <c r="G524" i="1"/>
  <c r="G554" i="1"/>
  <c r="G539" i="1"/>
  <c r="G553" i="1"/>
  <c r="G552" i="1"/>
  <c r="G561" i="1"/>
  <c r="G549" i="1"/>
  <c r="G540" i="1"/>
  <c r="G558" i="1"/>
  <c r="G560" i="1"/>
  <c r="G564" i="1"/>
  <c r="G582" i="1"/>
  <c r="G580" i="1"/>
  <c r="G567" i="1"/>
  <c r="G577" i="1"/>
  <c r="G573" i="1"/>
  <c r="G574" i="1"/>
  <c r="G530" i="1"/>
  <c r="G534" i="1"/>
  <c r="G532" i="1"/>
  <c r="G523" i="1"/>
  <c r="G533" i="1"/>
  <c r="G525" i="1"/>
  <c r="G648" i="1"/>
  <c r="G631" i="1"/>
  <c r="G630" i="1"/>
  <c r="G586" i="1"/>
  <c r="G626" i="1"/>
  <c r="G594" i="1"/>
  <c r="G622" i="1"/>
  <c r="G585" i="1"/>
  <c r="G632" i="1"/>
  <c r="G627" i="1"/>
  <c r="G610" i="1"/>
  <c r="G589" i="1"/>
  <c r="G644" i="1"/>
  <c r="G601" i="1"/>
  <c r="G633" i="1"/>
  <c r="G611" i="1"/>
  <c r="G647" i="1"/>
  <c r="G629" i="1"/>
  <c r="G634" i="1"/>
  <c r="G598" i="1"/>
  <c r="G639" i="1"/>
  <c r="G625" i="1"/>
  <c r="G637" i="1"/>
  <c r="G592" i="1"/>
  <c r="G603" i="1"/>
  <c r="G602" i="1"/>
  <c r="G655" i="1"/>
  <c r="G641" i="1"/>
  <c r="G588" i="1"/>
  <c r="G636" i="1"/>
  <c r="G612" i="1"/>
  <c r="G646" i="1"/>
  <c r="G623" i="1"/>
  <c r="G597" i="1"/>
  <c r="G596" i="1"/>
  <c r="G653" i="1"/>
  <c r="G652" i="1"/>
  <c r="G651" i="1"/>
  <c r="G650" i="1"/>
  <c r="G649" i="1"/>
  <c r="G645" i="1"/>
  <c r="G628" i="1"/>
  <c r="G624" i="1"/>
  <c r="G621" i="1"/>
  <c r="G620" i="1"/>
  <c r="G619" i="1"/>
  <c r="G617" i="1"/>
  <c r="G616" i="1"/>
  <c r="G615" i="1"/>
  <c r="G614" i="1"/>
  <c r="G613" i="1"/>
  <c r="G584" i="1"/>
  <c r="G606" i="1"/>
  <c r="G587" i="1"/>
  <c r="G583" i="1"/>
  <c r="G654" i="1"/>
  <c r="G635" i="1"/>
  <c r="G640" i="1"/>
  <c r="G642" i="1"/>
  <c r="G643" i="1"/>
  <c r="G638" i="1"/>
  <c r="G599" i="1"/>
  <c r="G590" i="1"/>
  <c r="G600" i="1"/>
  <c r="G593" i="1"/>
  <c r="G591" i="1"/>
  <c r="G595" i="1"/>
  <c r="G604" i="1"/>
  <c r="G607" i="1"/>
  <c r="G608" i="1"/>
  <c r="G605" i="1"/>
  <c r="G609" i="1"/>
  <c r="G618" i="1"/>
  <c r="G684" i="1"/>
  <c r="G666" i="1"/>
  <c r="G659" i="1"/>
  <c r="G661" i="1"/>
  <c r="G679" i="1"/>
  <c r="G689" i="1"/>
  <c r="G687" i="1"/>
  <c r="G676" i="1"/>
  <c r="G686" i="1"/>
  <c r="G685" i="1"/>
  <c r="G660" i="1"/>
  <c r="G657" i="1"/>
  <c r="G671" i="1"/>
  <c r="G670" i="1"/>
  <c r="G669" i="1"/>
  <c r="G668" i="1"/>
  <c r="G667" i="1"/>
  <c r="G672" i="1"/>
  <c r="G678" i="1"/>
  <c r="G691" i="1"/>
  <c r="G665" i="1"/>
  <c r="G664" i="1"/>
  <c r="G663" i="1"/>
  <c r="G658" i="1"/>
  <c r="G674" i="1"/>
  <c r="G675" i="1"/>
  <c r="G673" i="1"/>
  <c r="G677" i="1"/>
  <c r="G656" i="1"/>
  <c r="G690" i="1"/>
  <c r="G688" i="1"/>
  <c r="G680" i="1"/>
  <c r="G683" i="1"/>
  <c r="G681" i="1"/>
  <c r="G682" i="1"/>
  <c r="G662" i="1"/>
  <c r="G692" i="1"/>
  <c r="G1078" i="1"/>
  <c r="G1071" i="1"/>
  <c r="G1085" i="1"/>
  <c r="G1069" i="1"/>
  <c r="G1073" i="1"/>
  <c r="G1080" i="1"/>
  <c r="G1086" i="1"/>
  <c r="G1076" i="1"/>
  <c r="G1075" i="1"/>
  <c r="G1072" i="1"/>
  <c r="G1081" i="1"/>
  <c r="G1068" i="1"/>
  <c r="G1079" i="1"/>
  <c r="G1082" i="1"/>
  <c r="G1083" i="1"/>
  <c r="G1077" i="1"/>
  <c r="G1074" i="1"/>
  <c r="G1070" i="1"/>
  <c r="G1084" i="1"/>
  <c r="G1087" i="1"/>
  <c r="G1088" i="1"/>
  <c r="G713" i="1"/>
  <c r="G698" i="1"/>
  <c r="G701" i="1"/>
  <c r="G720" i="1"/>
  <c r="G716" i="1"/>
  <c r="G705" i="1"/>
  <c r="G704" i="1"/>
  <c r="G699" i="1"/>
  <c r="G707" i="1"/>
  <c r="G718" i="1"/>
  <c r="G712" i="1"/>
  <c r="G714" i="1"/>
  <c r="G710" i="1"/>
  <c r="G719" i="1"/>
  <c r="G703" i="1"/>
  <c r="G700" i="1"/>
  <c r="G694" i="1"/>
  <c r="G693" i="1"/>
  <c r="G722" i="1"/>
  <c r="G721" i="1"/>
  <c r="G696" i="1"/>
  <c r="G709" i="1"/>
  <c r="G706" i="1"/>
  <c r="G715" i="1"/>
  <c r="G711" i="1"/>
  <c r="G708" i="1"/>
  <c r="G697" i="1"/>
  <c r="G702" i="1"/>
  <c r="G695" i="1"/>
  <c r="G723" i="1"/>
  <c r="G717" i="1"/>
  <c r="G747" i="1"/>
  <c r="G757" i="1"/>
  <c r="G745" i="1"/>
  <c r="G765" i="1"/>
  <c r="G758" i="1"/>
  <c r="G749" i="1"/>
  <c r="G730" i="1"/>
  <c r="G727" i="1"/>
  <c r="G743" i="1"/>
  <c r="G735" i="1"/>
  <c r="G755" i="1"/>
  <c r="G740" i="1"/>
  <c r="G751" i="1"/>
  <c r="G752" i="1"/>
  <c r="G768" i="1"/>
  <c r="G767" i="1"/>
  <c r="G764" i="1"/>
  <c r="G763" i="1"/>
  <c r="G762" i="1"/>
  <c r="G750" i="1"/>
  <c r="G770" i="1"/>
  <c r="G769" i="1"/>
  <c r="G732" i="1"/>
  <c r="G742" i="1"/>
  <c r="G724" i="1"/>
  <c r="G739" i="1"/>
  <c r="G726" i="1"/>
  <c r="G759" i="1"/>
  <c r="G738" i="1"/>
  <c r="G737" i="1"/>
  <c r="G736" i="1"/>
  <c r="G734" i="1"/>
  <c r="G733" i="1"/>
  <c r="G729" i="1"/>
  <c r="G728" i="1"/>
  <c r="G760" i="1"/>
  <c r="G754" i="1"/>
  <c r="G753" i="1"/>
  <c r="G731" i="1"/>
  <c r="G725" i="1"/>
  <c r="G746" i="1"/>
  <c r="G748" i="1"/>
  <c r="G771" i="1"/>
  <c r="G756" i="1"/>
  <c r="G761" i="1"/>
  <c r="G766" i="1"/>
  <c r="G741" i="1"/>
  <c r="G744" i="1"/>
  <c r="G780" i="1"/>
  <c r="G775" i="1"/>
  <c r="G774" i="1"/>
  <c r="G773" i="1"/>
  <c r="G772" i="1"/>
  <c r="G787" i="1"/>
  <c r="G782" i="1"/>
  <c r="G779" i="1"/>
  <c r="G790" i="1"/>
  <c r="G788" i="1"/>
  <c r="G789" i="1"/>
  <c r="G777" i="1"/>
  <c r="G791" i="1"/>
  <c r="G793" i="1"/>
  <c r="G792" i="1"/>
  <c r="G781" i="1"/>
  <c r="G783" i="1"/>
  <c r="G784" i="1"/>
  <c r="G785" i="1"/>
  <c r="G786" i="1"/>
  <c r="G776" i="1"/>
  <c r="G778" i="1"/>
  <c r="G1096" i="1"/>
  <c r="G1126" i="1"/>
  <c r="G1125" i="1"/>
  <c r="G1116" i="1"/>
  <c r="G1103" i="1"/>
  <c r="G1102" i="1"/>
  <c r="G1101" i="1"/>
  <c r="G1127" i="1"/>
  <c r="G1124" i="1"/>
  <c r="G1118" i="1"/>
  <c r="G1113" i="1"/>
  <c r="G1109" i="1"/>
  <c r="G1108" i="1"/>
  <c r="G1099" i="1"/>
  <c r="G1098" i="1"/>
  <c r="G1095" i="1"/>
  <c r="G1090" i="1"/>
  <c r="G1089" i="1"/>
  <c r="G1130" i="1"/>
  <c r="G1117" i="1"/>
  <c r="G1100" i="1"/>
  <c r="G1133" i="1"/>
  <c r="G1132" i="1"/>
  <c r="G1115" i="1"/>
  <c r="G1112" i="1"/>
  <c r="G1111" i="1"/>
  <c r="G1107" i="1"/>
  <c r="G1105" i="1"/>
  <c r="G1094" i="1"/>
  <c r="G1093" i="1"/>
  <c r="G1129" i="1"/>
  <c r="G1121" i="1"/>
  <c r="G1123" i="1"/>
  <c r="G1122" i="1"/>
  <c r="G1091" i="1"/>
  <c r="G1092" i="1"/>
  <c r="G1104" i="1"/>
  <c r="G1106" i="1"/>
  <c r="G1131" i="1"/>
  <c r="G1128" i="1"/>
  <c r="G1110" i="1"/>
  <c r="G1097" i="1"/>
  <c r="G1119" i="1"/>
  <c r="G1120" i="1"/>
  <c r="G1114" i="1"/>
  <c r="G1151" i="1"/>
  <c r="G1158" i="1"/>
  <c r="G1157" i="1"/>
  <c r="G1169" i="1"/>
  <c r="G1165" i="1"/>
  <c r="G1156" i="1"/>
  <c r="G1167" i="1"/>
  <c r="G1166" i="1"/>
  <c r="G1170" i="1"/>
  <c r="G1176" i="1"/>
  <c r="G1154" i="1"/>
  <c r="G1152" i="1"/>
  <c r="G1153" i="1"/>
  <c r="G1136" i="1"/>
  <c r="G1149" i="1"/>
  <c r="G1148" i="1"/>
  <c r="G1147" i="1"/>
  <c r="G1146" i="1"/>
  <c r="G1145" i="1"/>
  <c r="G1144" i="1"/>
  <c r="G1143" i="1"/>
  <c r="G1142" i="1"/>
  <c r="G1141" i="1"/>
  <c r="G1140" i="1"/>
  <c r="G1139" i="1"/>
  <c r="G1138" i="1"/>
  <c r="G1137" i="1"/>
  <c r="G1135" i="1"/>
  <c r="G1174" i="1"/>
  <c r="G1173" i="1"/>
  <c r="G1172" i="1"/>
  <c r="G1171" i="1"/>
  <c r="G1155" i="1"/>
  <c r="G1134" i="1"/>
  <c r="G1150" i="1"/>
  <c r="G1160" i="1"/>
  <c r="G1159" i="1"/>
  <c r="G1175" i="1"/>
  <c r="G1162" i="1"/>
  <c r="G1168" i="1"/>
  <c r="G1163" i="1"/>
  <c r="G1164" i="1"/>
  <c r="G1161" i="1"/>
  <c r="G813" i="1"/>
  <c r="F199" i="1"/>
  <c r="F198" i="1"/>
  <c r="F197" i="1"/>
  <c r="F193" i="1"/>
  <c r="F188" i="1"/>
  <c r="F185" i="1"/>
  <c r="F192" i="1"/>
  <c r="F184" i="1"/>
  <c r="F183" i="1"/>
  <c r="F182" i="1"/>
  <c r="F181" i="1"/>
  <c r="F186" i="1"/>
  <c r="F187" i="1"/>
  <c r="F194" i="1"/>
  <c r="F200" i="1"/>
  <c r="F201" i="1"/>
  <c r="F189" i="1"/>
  <c r="F190" i="1"/>
  <c r="F191" i="1"/>
  <c r="F195" i="1"/>
  <c r="F196" i="1"/>
  <c r="F228" i="1"/>
  <c r="F213" i="1"/>
  <c r="F206" i="1"/>
  <c r="F230" i="1"/>
  <c r="F229" i="1"/>
  <c r="F227" i="1"/>
  <c r="F224" i="1"/>
  <c r="F225" i="1"/>
  <c r="F226" i="1"/>
  <c r="F223" i="1"/>
  <c r="F222" i="1"/>
  <c r="F221" i="1"/>
  <c r="F220" i="1"/>
  <c r="F219" i="1"/>
  <c r="F218" i="1"/>
  <c r="F217" i="1"/>
  <c r="F215" i="1"/>
  <c r="F212" i="1"/>
  <c r="F211" i="1"/>
  <c r="F207" i="1"/>
  <c r="F205" i="1"/>
  <c r="F203" i="1"/>
  <c r="F214" i="1"/>
  <c r="F202" i="1"/>
  <c r="F216" i="1"/>
  <c r="F204" i="1"/>
  <c r="F210" i="1"/>
  <c r="F209" i="1"/>
  <c r="F208" i="1"/>
  <c r="F252" i="1"/>
  <c r="F247" i="1"/>
  <c r="F245" i="1"/>
  <c r="F243" i="1"/>
  <c r="F244" i="1"/>
  <c r="F241" i="1"/>
  <c r="F239" i="1"/>
  <c r="F240" i="1"/>
  <c r="F236" i="1"/>
  <c r="F231" i="1"/>
  <c r="F254" i="1"/>
  <c r="F253" i="1"/>
  <c r="F249" i="1"/>
  <c r="F235" i="1"/>
  <c r="F234" i="1"/>
  <c r="F233" i="1"/>
  <c r="F232" i="1"/>
  <c r="F262" i="1"/>
  <c r="F261" i="1"/>
  <c r="F260" i="1"/>
  <c r="F259" i="1"/>
  <c r="F258" i="1"/>
  <c r="F257" i="1"/>
  <c r="F256" i="1"/>
  <c r="F246" i="1"/>
  <c r="F242" i="1"/>
  <c r="F248" i="1"/>
  <c r="F263" i="1"/>
  <c r="F238" i="1"/>
  <c r="F250" i="1"/>
  <c r="F251" i="1"/>
  <c r="F255" i="1"/>
  <c r="F237" i="1"/>
  <c r="F281" i="1"/>
  <c r="F283" i="1"/>
  <c r="F285" i="1"/>
  <c r="F272" i="1"/>
  <c r="F280" i="1"/>
  <c r="F275" i="1"/>
  <c r="F273" i="1"/>
  <c r="F271" i="1"/>
  <c r="F270" i="1"/>
  <c r="F269" i="1"/>
  <c r="F268" i="1"/>
  <c r="F267" i="1"/>
  <c r="F266" i="1"/>
  <c r="F276" i="1"/>
  <c r="F284" i="1"/>
  <c r="F279" i="1"/>
  <c r="F278" i="1"/>
  <c r="F277" i="1"/>
  <c r="F282" i="1"/>
  <c r="F274" i="1"/>
  <c r="F265" i="1"/>
  <c r="F264" i="1"/>
  <c r="F304" i="1"/>
  <c r="F303" i="1"/>
  <c r="F294" i="1"/>
  <c r="F297" i="1"/>
  <c r="F296" i="1"/>
  <c r="F299" i="1"/>
  <c r="F298" i="1"/>
  <c r="F291" i="1"/>
  <c r="F290" i="1"/>
  <c r="F289" i="1"/>
  <c r="F288" i="1"/>
  <c r="F287" i="1"/>
  <c r="F293" i="1"/>
  <c r="F301" i="1"/>
  <c r="F292" i="1"/>
  <c r="F306" i="1"/>
  <c r="F286" i="1"/>
  <c r="F305" i="1"/>
  <c r="F302" i="1"/>
  <c r="F300" i="1"/>
  <c r="F309" i="1"/>
  <c r="F307" i="1"/>
  <c r="F308" i="1"/>
  <c r="F295" i="1"/>
  <c r="F310" i="1"/>
  <c r="F317" i="1"/>
  <c r="F322" i="1"/>
  <c r="F321" i="1"/>
  <c r="F311" i="1"/>
  <c r="F315" i="1"/>
  <c r="F316" i="1"/>
  <c r="F313" i="1"/>
  <c r="F318" i="1"/>
  <c r="F324" i="1"/>
  <c r="F314" i="1"/>
  <c r="F323" i="1"/>
  <c r="F320" i="1"/>
  <c r="F319" i="1"/>
  <c r="F312" i="1"/>
  <c r="F329" i="1"/>
  <c r="F327" i="1"/>
  <c r="F333" i="1"/>
  <c r="F325" i="1"/>
  <c r="F336" i="1"/>
  <c r="F331" i="1"/>
  <c r="F330" i="1"/>
  <c r="F332" i="1"/>
  <c r="F328" i="1"/>
  <c r="F334" i="1"/>
  <c r="F335" i="1"/>
  <c r="F326" i="1"/>
  <c r="F1046" i="1"/>
  <c r="F1045" i="1"/>
  <c r="F1044" i="1"/>
  <c r="F1043" i="1"/>
  <c r="F1042" i="1"/>
  <c r="F1048" i="1"/>
  <c r="F1052" i="1"/>
  <c r="F1034" i="1"/>
  <c r="F1053" i="1"/>
  <c r="F1051" i="1"/>
  <c r="F1050" i="1"/>
  <c r="F1049" i="1"/>
  <c r="F1047" i="1"/>
  <c r="F1066" i="1"/>
  <c r="F1036" i="1"/>
  <c r="F1041" i="1"/>
  <c r="F1064" i="1"/>
  <c r="F1063" i="1"/>
  <c r="F1062" i="1"/>
  <c r="F1061" i="1"/>
  <c r="F1060" i="1"/>
  <c r="F1056" i="1"/>
  <c r="F1055" i="1"/>
  <c r="F1040" i="1"/>
  <c r="F1039" i="1"/>
  <c r="F1038" i="1"/>
  <c r="F1067" i="1"/>
  <c r="F1035" i="1"/>
  <c r="F1065" i="1"/>
  <c r="F1059" i="1"/>
  <c r="F1058" i="1"/>
  <c r="F1057" i="1"/>
  <c r="F1054" i="1"/>
  <c r="F1037" i="1"/>
  <c r="F357" i="1"/>
  <c r="F347" i="1"/>
  <c r="F346" i="1"/>
  <c r="F343" i="1"/>
  <c r="F342" i="1"/>
  <c r="F341" i="1"/>
  <c r="F356" i="1"/>
  <c r="F355" i="1"/>
  <c r="F340" i="1"/>
  <c r="F339" i="1"/>
  <c r="F345" i="1"/>
  <c r="F344" i="1"/>
  <c r="F353" i="1"/>
  <c r="F352" i="1"/>
  <c r="F351" i="1"/>
  <c r="F350" i="1"/>
  <c r="F338" i="1"/>
  <c r="F354" i="1"/>
  <c r="F349" i="1"/>
  <c r="F348" i="1"/>
  <c r="F337" i="1"/>
  <c r="F368" i="1"/>
  <c r="F365" i="1"/>
  <c r="F388" i="1"/>
  <c r="F387" i="1"/>
  <c r="F378" i="1"/>
  <c r="F377" i="1"/>
  <c r="F369" i="1"/>
  <c r="F374" i="1"/>
  <c r="F385" i="1"/>
  <c r="F367" i="1"/>
  <c r="F371" i="1"/>
  <c r="F370" i="1"/>
  <c r="F372" i="1"/>
  <c r="F373" i="1"/>
  <c r="F379" i="1"/>
  <c r="F386" i="1"/>
  <c r="F380" i="1"/>
  <c r="F381" i="1"/>
  <c r="F364" i="1"/>
  <c r="F362" i="1"/>
  <c r="F360" i="1"/>
  <c r="F359" i="1"/>
  <c r="F358" i="1"/>
  <c r="F382" i="1"/>
  <c r="F376" i="1"/>
  <c r="F383" i="1"/>
  <c r="F384" i="1"/>
  <c r="F363" i="1"/>
  <c r="F361" i="1"/>
  <c r="F366" i="1"/>
  <c r="F375" i="1"/>
  <c r="F406" i="1"/>
  <c r="F393" i="1"/>
  <c r="F409" i="1"/>
  <c r="F401" i="1"/>
  <c r="F398" i="1"/>
  <c r="F389" i="1"/>
  <c r="F404" i="1"/>
  <c r="F397" i="1"/>
  <c r="F399" i="1"/>
  <c r="F394" i="1"/>
  <c r="F395" i="1"/>
  <c r="F390" i="1"/>
  <c r="F400" i="1"/>
  <c r="F402" i="1"/>
  <c r="F403" i="1"/>
  <c r="F392" i="1"/>
  <c r="F408" i="1"/>
  <c r="F405" i="1"/>
  <c r="F407" i="1"/>
  <c r="F391" i="1"/>
  <c r="F396" i="1"/>
  <c r="F432" i="1"/>
  <c r="F417" i="1"/>
  <c r="F435" i="1"/>
  <c r="F425" i="1"/>
  <c r="F421" i="1"/>
  <c r="F424" i="1"/>
  <c r="F412" i="1"/>
  <c r="F413" i="1"/>
  <c r="F436" i="1"/>
  <c r="F410" i="1"/>
  <c r="F433" i="1"/>
  <c r="F426" i="1"/>
  <c r="F419" i="1"/>
  <c r="F418" i="1"/>
  <c r="F416" i="1"/>
  <c r="F415" i="1"/>
  <c r="F414" i="1"/>
  <c r="F431" i="1"/>
  <c r="F430" i="1"/>
  <c r="F429" i="1"/>
  <c r="F428" i="1"/>
  <c r="F427" i="1"/>
  <c r="F420" i="1"/>
  <c r="F411" i="1"/>
  <c r="F422" i="1"/>
  <c r="F440" i="1"/>
  <c r="F439" i="1"/>
  <c r="F438" i="1"/>
  <c r="F437" i="1"/>
  <c r="F423" i="1"/>
  <c r="F434" i="1"/>
  <c r="F448" i="1"/>
  <c r="F444" i="1"/>
  <c r="F443" i="1"/>
  <c r="F442" i="1"/>
  <c r="F441" i="1"/>
  <c r="F451" i="1"/>
  <c r="F446" i="1"/>
  <c r="F447" i="1"/>
  <c r="F445" i="1"/>
  <c r="F450" i="1"/>
  <c r="F449" i="1"/>
  <c r="F474" i="1"/>
  <c r="F460" i="1"/>
  <c r="F459" i="1"/>
  <c r="F457" i="1"/>
  <c r="F455" i="1"/>
  <c r="F471" i="1"/>
  <c r="F454" i="1"/>
  <c r="F458" i="1"/>
  <c r="F467" i="1"/>
  <c r="F452" i="1"/>
  <c r="F464" i="1"/>
  <c r="F463" i="1"/>
  <c r="F465" i="1"/>
  <c r="F462" i="1"/>
  <c r="F461" i="1"/>
  <c r="F453" i="1"/>
  <c r="F468" i="1"/>
  <c r="F466" i="1"/>
  <c r="F456" i="1"/>
  <c r="F469" i="1"/>
  <c r="F472" i="1"/>
  <c r="F473" i="1"/>
  <c r="F470" i="1"/>
  <c r="F480" i="1"/>
  <c r="F515" i="1"/>
  <c r="F477" i="1"/>
  <c r="F481" i="1"/>
  <c r="F478" i="1"/>
  <c r="F499" i="1"/>
  <c r="F476" i="1"/>
  <c r="F509" i="1"/>
  <c r="F510" i="1"/>
  <c r="F491" i="1"/>
  <c r="F506" i="1"/>
  <c r="F507" i="1"/>
  <c r="F521" i="1"/>
  <c r="F513" i="1"/>
  <c r="F495" i="1"/>
  <c r="F486" i="1"/>
  <c r="F494" i="1"/>
  <c r="F482" i="1"/>
  <c r="F516" i="1"/>
  <c r="F503" i="1"/>
  <c r="F508" i="1"/>
  <c r="F475" i="1"/>
  <c r="F479" i="1"/>
  <c r="F492" i="1"/>
  <c r="F504" i="1"/>
  <c r="F505" i="1"/>
  <c r="F484" i="1"/>
  <c r="F518" i="1"/>
  <c r="F488" i="1"/>
  <c r="F483" i="1"/>
  <c r="F519" i="1"/>
  <c r="F520" i="1"/>
  <c r="F485" i="1"/>
  <c r="F489" i="1"/>
  <c r="F487" i="1"/>
  <c r="F490" i="1"/>
  <c r="F502" i="1"/>
  <c r="F501" i="1"/>
  <c r="F498" i="1"/>
  <c r="F497" i="1"/>
  <c r="F496" i="1"/>
  <c r="F500" i="1"/>
  <c r="F493" i="1"/>
  <c r="F512" i="1"/>
  <c r="F511" i="1"/>
  <c r="F514" i="1"/>
  <c r="F517" i="1"/>
  <c r="F576" i="1"/>
  <c r="F543" i="1"/>
  <c r="F557" i="1"/>
  <c r="F569" i="1"/>
  <c r="F544" i="1"/>
  <c r="F538" i="1"/>
  <c r="F575" i="1"/>
  <c r="F546" i="1"/>
  <c r="F542" i="1"/>
  <c r="F578" i="1"/>
  <c r="F527" i="1"/>
  <c r="F529" i="1"/>
  <c r="F545" i="1"/>
  <c r="F536" i="1"/>
  <c r="F579" i="1"/>
  <c r="F566" i="1"/>
  <c r="F548" i="1"/>
  <c r="F547" i="1"/>
  <c r="F572" i="1"/>
  <c r="F581" i="1"/>
  <c r="F555" i="1"/>
  <c r="F522" i="1"/>
  <c r="F563" i="1"/>
  <c r="F550" i="1"/>
  <c r="F565" i="1"/>
  <c r="F559" i="1"/>
  <c r="F556" i="1"/>
  <c r="F541" i="1"/>
  <c r="F537" i="1"/>
  <c r="F535" i="1"/>
  <c r="F570" i="1"/>
  <c r="F526" i="1"/>
  <c r="F568" i="1"/>
  <c r="F562" i="1"/>
  <c r="F571" i="1"/>
  <c r="F551" i="1"/>
  <c r="F531" i="1"/>
  <c r="F528" i="1"/>
  <c r="F524" i="1"/>
  <c r="F554" i="1"/>
  <c r="F539" i="1"/>
  <c r="F553" i="1"/>
  <c r="F552" i="1"/>
  <c r="F561" i="1"/>
  <c r="F549" i="1"/>
  <c r="F540" i="1"/>
  <c r="F558" i="1"/>
  <c r="F560" i="1"/>
  <c r="F564" i="1"/>
  <c r="F582" i="1"/>
  <c r="F580" i="1"/>
  <c r="F567" i="1"/>
  <c r="F577" i="1"/>
  <c r="F573" i="1"/>
  <c r="F574" i="1"/>
  <c r="F530" i="1"/>
  <c r="F534" i="1"/>
  <c r="F532" i="1"/>
  <c r="F523" i="1"/>
  <c r="F533" i="1"/>
  <c r="F525" i="1"/>
  <c r="F648" i="1"/>
  <c r="F631" i="1"/>
  <c r="F630" i="1"/>
  <c r="F586" i="1"/>
  <c r="F626" i="1"/>
  <c r="F594" i="1"/>
  <c r="F622" i="1"/>
  <c r="F585" i="1"/>
  <c r="F632" i="1"/>
  <c r="F627" i="1"/>
  <c r="F610" i="1"/>
  <c r="F589" i="1"/>
  <c r="F644" i="1"/>
  <c r="F601" i="1"/>
  <c r="F633" i="1"/>
  <c r="F611" i="1"/>
  <c r="F647" i="1"/>
  <c r="F629" i="1"/>
  <c r="F634" i="1"/>
  <c r="F598" i="1"/>
  <c r="F639" i="1"/>
  <c r="F625" i="1"/>
  <c r="F637" i="1"/>
  <c r="F592" i="1"/>
  <c r="F603" i="1"/>
  <c r="F602" i="1"/>
  <c r="F655" i="1"/>
  <c r="F641" i="1"/>
  <c r="F588" i="1"/>
  <c r="F636" i="1"/>
  <c r="F612" i="1"/>
  <c r="F646" i="1"/>
  <c r="F623" i="1"/>
  <c r="F597" i="1"/>
  <c r="F596" i="1"/>
  <c r="F653" i="1"/>
  <c r="F652" i="1"/>
  <c r="F651" i="1"/>
  <c r="F650" i="1"/>
  <c r="F649" i="1"/>
  <c r="F645" i="1"/>
  <c r="F628" i="1"/>
  <c r="F624" i="1"/>
  <c r="F621" i="1"/>
  <c r="F620" i="1"/>
  <c r="F619" i="1"/>
  <c r="F617" i="1"/>
  <c r="F616" i="1"/>
  <c r="F615" i="1"/>
  <c r="F614" i="1"/>
  <c r="F613" i="1"/>
  <c r="F584" i="1"/>
  <c r="F606" i="1"/>
  <c r="F587" i="1"/>
  <c r="F583" i="1"/>
  <c r="F654" i="1"/>
  <c r="F635" i="1"/>
  <c r="F640" i="1"/>
  <c r="F642" i="1"/>
  <c r="F643" i="1"/>
  <c r="F638" i="1"/>
  <c r="F599" i="1"/>
  <c r="F590" i="1"/>
  <c r="F600" i="1"/>
  <c r="F593" i="1"/>
  <c r="F591" i="1"/>
  <c r="F595" i="1"/>
  <c r="F604" i="1"/>
  <c r="F607" i="1"/>
  <c r="F608" i="1"/>
  <c r="F605" i="1"/>
  <c r="F609" i="1"/>
  <c r="F618" i="1"/>
  <c r="F684" i="1"/>
  <c r="F666" i="1"/>
  <c r="F659" i="1"/>
  <c r="F661" i="1"/>
  <c r="F679" i="1"/>
  <c r="F689" i="1"/>
  <c r="F687" i="1"/>
  <c r="F676" i="1"/>
  <c r="F686" i="1"/>
  <c r="F685" i="1"/>
  <c r="F660" i="1"/>
  <c r="F657" i="1"/>
  <c r="F671" i="1"/>
  <c r="F670" i="1"/>
  <c r="F669" i="1"/>
  <c r="F668" i="1"/>
  <c r="F667" i="1"/>
  <c r="F672" i="1"/>
  <c r="F678" i="1"/>
  <c r="F691" i="1"/>
  <c r="F665" i="1"/>
  <c r="F664" i="1"/>
  <c r="F663" i="1"/>
  <c r="F658" i="1"/>
  <c r="F674" i="1"/>
  <c r="F675" i="1"/>
  <c r="F673" i="1"/>
  <c r="F677" i="1"/>
  <c r="F656" i="1"/>
  <c r="F690" i="1"/>
  <c r="F688" i="1"/>
  <c r="F680" i="1"/>
  <c r="F683" i="1"/>
  <c r="F681" i="1"/>
  <c r="F682" i="1"/>
  <c r="F662" i="1"/>
  <c r="F692" i="1"/>
  <c r="F1078" i="1"/>
  <c r="F1071" i="1"/>
  <c r="F1085" i="1"/>
  <c r="F1069" i="1"/>
  <c r="F1073" i="1"/>
  <c r="F1080" i="1"/>
  <c r="F1086" i="1"/>
  <c r="F1076" i="1"/>
  <c r="F1075" i="1"/>
  <c r="F1072" i="1"/>
  <c r="F1081" i="1"/>
  <c r="F1068" i="1"/>
  <c r="F1079" i="1"/>
  <c r="F1082" i="1"/>
  <c r="F1083" i="1"/>
  <c r="F1077" i="1"/>
  <c r="F1074" i="1"/>
  <c r="F1070" i="1"/>
  <c r="F1084" i="1"/>
  <c r="F1087" i="1"/>
  <c r="F1088" i="1"/>
  <c r="F713" i="1"/>
  <c r="F698" i="1"/>
  <c r="F701" i="1"/>
  <c r="F720" i="1"/>
  <c r="F716" i="1"/>
  <c r="F705" i="1"/>
  <c r="F704" i="1"/>
  <c r="F699" i="1"/>
  <c r="F707" i="1"/>
  <c r="F718" i="1"/>
  <c r="F712" i="1"/>
  <c r="F714" i="1"/>
  <c r="F710" i="1"/>
  <c r="F719" i="1"/>
  <c r="F703" i="1"/>
  <c r="F700" i="1"/>
  <c r="F694" i="1"/>
  <c r="F693" i="1"/>
  <c r="F722" i="1"/>
  <c r="F721" i="1"/>
  <c r="F696" i="1"/>
  <c r="F709" i="1"/>
  <c r="F706" i="1"/>
  <c r="F715" i="1"/>
  <c r="F711" i="1"/>
  <c r="F708" i="1"/>
  <c r="F697" i="1"/>
  <c r="F702" i="1"/>
  <c r="F695" i="1"/>
  <c r="F723" i="1"/>
  <c r="F717" i="1"/>
  <c r="F747" i="1"/>
  <c r="F757" i="1"/>
  <c r="F745" i="1"/>
  <c r="F765" i="1"/>
  <c r="F758" i="1"/>
  <c r="F749" i="1"/>
  <c r="F730" i="1"/>
  <c r="F727" i="1"/>
  <c r="F743" i="1"/>
  <c r="F735" i="1"/>
  <c r="F755" i="1"/>
  <c r="F740" i="1"/>
  <c r="F751" i="1"/>
  <c r="F752" i="1"/>
  <c r="F768" i="1"/>
  <c r="F767" i="1"/>
  <c r="F764" i="1"/>
  <c r="F763" i="1"/>
  <c r="F762" i="1"/>
  <c r="F750" i="1"/>
  <c r="F770" i="1"/>
  <c r="F769" i="1"/>
  <c r="F732" i="1"/>
  <c r="F742" i="1"/>
  <c r="F724" i="1"/>
  <c r="F739" i="1"/>
  <c r="F726" i="1"/>
  <c r="F759" i="1"/>
  <c r="F738" i="1"/>
  <c r="F737" i="1"/>
  <c r="F736" i="1"/>
  <c r="F734" i="1"/>
  <c r="F733" i="1"/>
  <c r="F729" i="1"/>
  <c r="F728" i="1"/>
  <c r="F760" i="1"/>
  <c r="F754" i="1"/>
  <c r="F753" i="1"/>
  <c r="F731" i="1"/>
  <c r="F725" i="1"/>
  <c r="F746" i="1"/>
  <c r="F748" i="1"/>
  <c r="F771" i="1"/>
  <c r="F756" i="1"/>
  <c r="F761" i="1"/>
  <c r="F766" i="1"/>
  <c r="F741" i="1"/>
  <c r="F744" i="1"/>
  <c r="F780" i="1"/>
  <c r="F775" i="1"/>
  <c r="F774" i="1"/>
  <c r="F773" i="1"/>
  <c r="F772" i="1"/>
  <c r="F787" i="1"/>
  <c r="F782" i="1"/>
  <c r="F779" i="1"/>
  <c r="F790" i="1"/>
  <c r="F788" i="1"/>
  <c r="F789" i="1"/>
  <c r="F777" i="1"/>
  <c r="F791" i="1"/>
  <c r="F793" i="1"/>
  <c r="F792" i="1"/>
  <c r="F781" i="1"/>
  <c r="F783" i="1"/>
  <c r="F784" i="1"/>
  <c r="F785" i="1"/>
  <c r="F786" i="1"/>
  <c r="F776" i="1"/>
  <c r="F778" i="1"/>
  <c r="F1096" i="1"/>
  <c r="F1126" i="1"/>
  <c r="F1125" i="1"/>
  <c r="F1116" i="1"/>
  <c r="F1103" i="1"/>
  <c r="F1102" i="1"/>
  <c r="F1101" i="1"/>
  <c r="F1127" i="1"/>
  <c r="F1124" i="1"/>
  <c r="F1118" i="1"/>
  <c r="F1113" i="1"/>
  <c r="F1109" i="1"/>
  <c r="F1108" i="1"/>
  <c r="F1099" i="1"/>
  <c r="F1098" i="1"/>
  <c r="F1095" i="1"/>
  <c r="F1090" i="1"/>
  <c r="F1089" i="1"/>
  <c r="F1130" i="1"/>
  <c r="F1117" i="1"/>
  <c r="F1100" i="1"/>
  <c r="F1133" i="1"/>
  <c r="F1132" i="1"/>
  <c r="F1115" i="1"/>
  <c r="F1112" i="1"/>
  <c r="F1111" i="1"/>
  <c r="F1107" i="1"/>
  <c r="F1105" i="1"/>
  <c r="F1094" i="1"/>
  <c r="F1093" i="1"/>
  <c r="F1129" i="1"/>
  <c r="F1121" i="1"/>
  <c r="F1123" i="1"/>
  <c r="F1122" i="1"/>
  <c r="F1091" i="1"/>
  <c r="F1092" i="1"/>
  <c r="F1104" i="1"/>
  <c r="F1106" i="1"/>
  <c r="F1131" i="1"/>
  <c r="F1128" i="1"/>
  <c r="F1110" i="1"/>
  <c r="F1097" i="1"/>
  <c r="F1119" i="1"/>
  <c r="F1120" i="1"/>
  <c r="F1114" i="1"/>
  <c r="F1151" i="1"/>
  <c r="F1158" i="1"/>
  <c r="F1157" i="1"/>
  <c r="F1169" i="1"/>
  <c r="F1165" i="1"/>
  <c r="F1156" i="1"/>
  <c r="F1167" i="1"/>
  <c r="F1166" i="1"/>
  <c r="F1170" i="1"/>
  <c r="F1176" i="1"/>
  <c r="F1154" i="1"/>
  <c r="F1152" i="1"/>
  <c r="F1153" i="1"/>
  <c r="F1136" i="1"/>
  <c r="F1149" i="1"/>
  <c r="F1148" i="1"/>
  <c r="F1147" i="1"/>
  <c r="F1146" i="1"/>
  <c r="F1145" i="1"/>
  <c r="F1144" i="1"/>
  <c r="F1143" i="1"/>
  <c r="F1142" i="1"/>
  <c r="F1141" i="1"/>
  <c r="F1140" i="1"/>
  <c r="F1139" i="1"/>
  <c r="F1138" i="1"/>
  <c r="F1137" i="1"/>
  <c r="F1135" i="1"/>
  <c r="F1174" i="1"/>
  <c r="F1173" i="1"/>
  <c r="F1172" i="1"/>
  <c r="F1171" i="1"/>
  <c r="F1155" i="1"/>
  <c r="F1134" i="1"/>
  <c r="F1150" i="1"/>
  <c r="F1160" i="1"/>
  <c r="F1159" i="1"/>
  <c r="F1175" i="1"/>
  <c r="F1162" i="1"/>
  <c r="F1168" i="1"/>
  <c r="F1163" i="1"/>
  <c r="F1164" i="1"/>
  <c r="F1161" i="1"/>
  <c r="F133" i="1"/>
  <c r="F130" i="1"/>
  <c r="F139" i="1"/>
  <c r="F137" i="1"/>
  <c r="F117" i="1"/>
  <c r="F114" i="1"/>
  <c r="F124" i="1"/>
  <c r="F125" i="1"/>
  <c r="F118" i="1"/>
  <c r="F121" i="1"/>
  <c r="F127" i="1"/>
  <c r="F161" i="1"/>
  <c r="F160" i="1"/>
  <c r="F159" i="1"/>
  <c r="F158" i="1"/>
  <c r="F154" i="1"/>
  <c r="F150" i="1"/>
  <c r="F156" i="1"/>
  <c r="F153" i="1"/>
  <c r="F152" i="1"/>
  <c r="F151" i="1"/>
  <c r="F145" i="1"/>
  <c r="F141" i="1"/>
  <c r="F140" i="1"/>
  <c r="F163" i="1"/>
  <c r="F147" i="1"/>
  <c r="F146" i="1"/>
  <c r="F144" i="1"/>
  <c r="F143" i="1"/>
  <c r="F142" i="1"/>
  <c r="F162" i="1"/>
  <c r="F155" i="1"/>
  <c r="F148" i="1"/>
  <c r="F149" i="1"/>
  <c r="F157" i="1"/>
  <c r="F164" i="1"/>
  <c r="F165" i="1"/>
  <c r="F166" i="1"/>
  <c r="F180" i="1"/>
  <c r="F172" i="1"/>
  <c r="F170" i="1"/>
  <c r="F169" i="1"/>
  <c r="F168" i="1"/>
  <c r="F167" i="1"/>
  <c r="F179" i="1"/>
  <c r="F178" i="1"/>
  <c r="F177" i="1"/>
  <c r="F176" i="1"/>
  <c r="F175" i="1"/>
  <c r="F174" i="1"/>
  <c r="F173" i="1"/>
  <c r="F171" i="1"/>
  <c r="F889" i="1"/>
  <c r="F884" i="1"/>
  <c r="F886" i="1"/>
  <c r="F888" i="1"/>
  <c r="F885" i="1"/>
  <c r="F887" i="1"/>
  <c r="F881" i="1"/>
  <c r="F880" i="1"/>
  <c r="F879" i="1"/>
  <c r="F882" i="1"/>
  <c r="F876" i="1"/>
  <c r="F875" i="1"/>
  <c r="F891" i="1"/>
  <c r="F890" i="1"/>
  <c r="F877" i="1"/>
  <c r="F883" i="1"/>
  <c r="F892" i="1"/>
  <c r="F878" i="1"/>
  <c r="F893" i="1"/>
  <c r="F900" i="1"/>
  <c r="F897" i="1"/>
  <c r="F898" i="1"/>
  <c r="F894" i="1"/>
  <c r="F895" i="1"/>
  <c r="F899" i="1"/>
  <c r="F901" i="1"/>
  <c r="F896" i="1"/>
  <c r="F902" i="1"/>
  <c r="F911" i="1"/>
  <c r="F916" i="1"/>
  <c r="F912" i="1"/>
  <c r="F907" i="1"/>
  <c r="F906" i="1"/>
  <c r="F905" i="1"/>
  <c r="F903" i="1"/>
  <c r="F909" i="1"/>
  <c r="F908" i="1"/>
  <c r="F915" i="1"/>
  <c r="F913" i="1"/>
  <c r="F914" i="1"/>
  <c r="F917" i="1"/>
  <c r="F910" i="1"/>
  <c r="F904" i="1"/>
  <c r="F932" i="1"/>
  <c r="F928" i="1"/>
  <c r="F925" i="1"/>
  <c r="F929" i="1"/>
  <c r="F924" i="1"/>
  <c r="F918" i="1"/>
  <c r="F923" i="1"/>
  <c r="F921" i="1"/>
  <c r="F919" i="1"/>
  <c r="F927" i="1"/>
  <c r="F931" i="1"/>
  <c r="F922" i="1"/>
  <c r="F930" i="1"/>
  <c r="F926" i="1"/>
  <c r="F920" i="1"/>
  <c r="F943" i="1"/>
  <c r="F942" i="1"/>
  <c r="F934" i="1"/>
  <c r="F955" i="1"/>
  <c r="F937" i="1"/>
  <c r="F939" i="1"/>
  <c r="F954" i="1"/>
  <c r="F951" i="1"/>
  <c r="F953" i="1"/>
  <c r="F950" i="1"/>
  <c r="F948" i="1"/>
  <c r="F947" i="1"/>
  <c r="F945" i="1"/>
  <c r="F944" i="1"/>
  <c r="F940" i="1"/>
  <c r="F936" i="1"/>
  <c r="F933" i="1"/>
  <c r="F952" i="1"/>
  <c r="F941" i="1"/>
  <c r="F935" i="1"/>
  <c r="F938" i="1"/>
  <c r="F946" i="1"/>
  <c r="F949" i="1"/>
  <c r="F960" i="1"/>
  <c r="F956" i="1"/>
  <c r="F958" i="1"/>
  <c r="F957" i="1"/>
  <c r="F962" i="1"/>
  <c r="F959" i="1"/>
  <c r="F971" i="1"/>
  <c r="F965" i="1"/>
  <c r="F963" i="1"/>
  <c r="F972" i="1"/>
  <c r="F970" i="1"/>
  <c r="F967" i="1"/>
  <c r="F969" i="1"/>
  <c r="F968" i="1"/>
  <c r="F964" i="1"/>
  <c r="F966" i="1"/>
  <c r="F989" i="1"/>
  <c r="F974" i="1"/>
  <c r="F985" i="1"/>
  <c r="F975" i="1"/>
  <c r="F973" i="1"/>
  <c r="F982" i="1"/>
  <c r="F978" i="1"/>
  <c r="F981" i="1"/>
  <c r="F980" i="1"/>
  <c r="F979" i="1"/>
  <c r="F986" i="1"/>
  <c r="F983" i="1"/>
  <c r="F984" i="1"/>
  <c r="F976" i="1"/>
  <c r="F977" i="1"/>
  <c r="F988" i="1"/>
  <c r="F987" i="1"/>
  <c r="F990" i="1"/>
  <c r="F991" i="1"/>
  <c r="F1004" i="1"/>
  <c r="F1003" i="1"/>
  <c r="F997" i="1"/>
  <c r="F1001" i="1"/>
  <c r="F1002" i="1"/>
  <c r="F995" i="1"/>
  <c r="F999" i="1"/>
  <c r="F998" i="1"/>
  <c r="F1000" i="1"/>
  <c r="F1006" i="1"/>
  <c r="F993" i="1"/>
  <c r="F992" i="1"/>
  <c r="F1005" i="1"/>
  <c r="F996" i="1"/>
  <c r="F994" i="1"/>
  <c r="F8" i="1"/>
  <c r="F39" i="1"/>
  <c r="F21" i="1"/>
  <c r="F29" i="1"/>
  <c r="F24" i="1"/>
  <c r="F27" i="1"/>
  <c r="F7" i="1"/>
  <c r="F10" i="1"/>
  <c r="F4" i="1"/>
  <c r="F16" i="1"/>
  <c r="F14" i="1"/>
  <c r="F2" i="1"/>
  <c r="F9" i="1"/>
  <c r="F26" i="1"/>
  <c r="F20" i="1"/>
  <c r="F19" i="1"/>
  <c r="F18" i="1"/>
  <c r="F36" i="1"/>
  <c r="F3" i="1"/>
  <c r="F15" i="1"/>
  <c r="F33" i="1"/>
  <c r="F37" i="1"/>
  <c r="F12" i="1"/>
  <c r="F5" i="1"/>
  <c r="F6" i="1"/>
  <c r="F23" i="1"/>
  <c r="F25" i="1"/>
  <c r="F22" i="1"/>
  <c r="F34" i="1"/>
  <c r="F35" i="1"/>
  <c r="F38" i="1"/>
  <c r="F11" i="1"/>
  <c r="F13" i="1"/>
  <c r="F17" i="1"/>
  <c r="F32" i="1"/>
  <c r="F28" i="1"/>
  <c r="F31" i="1"/>
  <c r="F30" i="1"/>
  <c r="F71" i="1"/>
  <c r="F76" i="1"/>
  <c r="F63" i="1"/>
  <c r="F45" i="1"/>
  <c r="F61" i="1"/>
  <c r="F59" i="1"/>
  <c r="F54" i="1"/>
  <c r="F69" i="1"/>
  <c r="F75" i="1"/>
  <c r="F64" i="1"/>
  <c r="F58" i="1"/>
  <c r="F57" i="1"/>
  <c r="F55" i="1"/>
  <c r="F53" i="1"/>
  <c r="F52" i="1"/>
  <c r="F50" i="1"/>
  <c r="F49" i="1"/>
  <c r="F43" i="1"/>
  <c r="F42" i="1"/>
  <c r="F65" i="1"/>
  <c r="F51" i="1"/>
  <c r="F56" i="1"/>
  <c r="F60" i="1"/>
  <c r="F67" i="1"/>
  <c r="F66" i="1"/>
  <c r="F62" i="1"/>
  <c r="F74" i="1"/>
  <c r="F72" i="1"/>
  <c r="F70" i="1"/>
  <c r="F68" i="1"/>
  <c r="F73" i="1"/>
  <c r="F41" i="1"/>
  <c r="F40" i="1"/>
  <c r="F44" i="1"/>
  <c r="F47" i="1"/>
  <c r="F46" i="1"/>
  <c r="F48" i="1"/>
  <c r="F103" i="1"/>
  <c r="F84" i="1"/>
  <c r="F89" i="1"/>
  <c r="F102" i="1"/>
  <c r="F88" i="1"/>
  <c r="F86" i="1"/>
  <c r="F85" i="1"/>
  <c r="F104" i="1"/>
  <c r="F92" i="1"/>
  <c r="F90" i="1"/>
  <c r="F97" i="1"/>
  <c r="F77" i="1"/>
  <c r="F79" i="1"/>
  <c r="F101" i="1"/>
  <c r="F100" i="1"/>
  <c r="F95" i="1"/>
  <c r="F94" i="1"/>
  <c r="F93" i="1"/>
  <c r="F91" i="1"/>
  <c r="F96" i="1"/>
  <c r="F98" i="1"/>
  <c r="F99" i="1"/>
  <c r="F80" i="1"/>
  <c r="F78" i="1"/>
  <c r="F81" i="1"/>
  <c r="F83" i="1"/>
  <c r="F82" i="1"/>
  <c r="F87" i="1"/>
  <c r="F1010" i="1"/>
  <c r="F1026" i="1"/>
  <c r="F1025" i="1"/>
  <c r="F1028" i="1"/>
  <c r="F1031" i="1"/>
  <c r="F1030" i="1"/>
  <c r="F1007" i="1"/>
  <c r="F1023" i="1"/>
  <c r="F1015" i="1"/>
  <c r="F1021" i="1"/>
  <c r="F1020" i="1"/>
  <c r="F1019" i="1"/>
  <c r="F1018" i="1"/>
  <c r="F1017" i="1"/>
  <c r="F1016" i="1"/>
  <c r="F1013" i="1"/>
  <c r="F1022" i="1"/>
  <c r="F1008" i="1"/>
  <c r="F1027" i="1"/>
  <c r="F1032" i="1"/>
  <c r="F1029" i="1"/>
  <c r="F1011" i="1"/>
  <c r="F1012" i="1"/>
  <c r="F1009" i="1"/>
  <c r="F1014" i="1"/>
  <c r="F1033" i="1"/>
  <c r="F1024" i="1"/>
  <c r="F138" i="1"/>
  <c r="F128" i="1"/>
  <c r="F110" i="1"/>
  <c r="F105" i="1"/>
  <c r="F126" i="1"/>
  <c r="F119" i="1"/>
  <c r="F123" i="1"/>
  <c r="F122" i="1"/>
  <c r="F111" i="1"/>
  <c r="F109" i="1"/>
  <c r="F120" i="1"/>
  <c r="F116" i="1"/>
  <c r="F115" i="1"/>
  <c r="F113" i="1"/>
  <c r="F112" i="1"/>
  <c r="F108" i="1"/>
  <c r="F107" i="1"/>
  <c r="F136" i="1"/>
  <c r="F135" i="1"/>
  <c r="F134" i="1"/>
  <c r="F129" i="1"/>
  <c r="F131" i="1"/>
  <c r="F132" i="1"/>
  <c r="F106" i="1"/>
  <c r="F805" i="1"/>
  <c r="F818" i="1"/>
  <c r="F806" i="1"/>
  <c r="F816" i="1"/>
  <c r="F814" i="1"/>
  <c r="F817" i="1"/>
  <c r="F810" i="1"/>
  <c r="F809" i="1"/>
  <c r="F804" i="1"/>
  <c r="F803" i="1"/>
  <c r="F797" i="1"/>
  <c r="F811" i="1"/>
  <c r="F802" i="1"/>
  <c r="F807" i="1"/>
  <c r="F812" i="1"/>
  <c r="F796" i="1"/>
  <c r="F795" i="1"/>
  <c r="F794" i="1"/>
  <c r="F800" i="1"/>
  <c r="F798" i="1"/>
  <c r="F815" i="1"/>
  <c r="F821" i="1"/>
  <c r="F820" i="1"/>
  <c r="F819" i="1"/>
  <c r="F808" i="1"/>
  <c r="F799" i="1"/>
  <c r="F801" i="1"/>
  <c r="F834" i="1"/>
  <c r="F825" i="1"/>
  <c r="F822" i="1"/>
  <c r="F826" i="1"/>
  <c r="F824" i="1"/>
  <c r="F823" i="1"/>
  <c r="F829" i="1"/>
  <c r="F828" i="1"/>
  <c r="F833" i="1"/>
  <c r="F832" i="1"/>
  <c r="F831" i="1"/>
  <c r="F830" i="1"/>
  <c r="F835" i="1"/>
  <c r="F827" i="1"/>
  <c r="F846" i="1"/>
  <c r="F845" i="1"/>
  <c r="F841" i="1"/>
  <c r="F840" i="1"/>
  <c r="F849" i="1"/>
  <c r="F836" i="1"/>
  <c r="F848" i="1"/>
  <c r="F843" i="1"/>
  <c r="F842" i="1"/>
  <c r="F839" i="1"/>
  <c r="F838" i="1"/>
  <c r="F837" i="1"/>
  <c r="F847" i="1"/>
  <c r="F844" i="1"/>
  <c r="F856" i="1"/>
  <c r="F851" i="1"/>
  <c r="F850" i="1"/>
  <c r="F860" i="1"/>
  <c r="F857" i="1"/>
  <c r="F853" i="1"/>
  <c r="F854" i="1"/>
  <c r="F859" i="1"/>
  <c r="F852" i="1"/>
  <c r="F858" i="1"/>
  <c r="F855" i="1"/>
  <c r="F865" i="1"/>
  <c r="F866" i="1"/>
  <c r="F861" i="1"/>
  <c r="F863" i="1"/>
  <c r="F862" i="1"/>
  <c r="F867" i="1"/>
  <c r="F864" i="1"/>
  <c r="F871" i="1"/>
  <c r="F873" i="1"/>
  <c r="F869" i="1"/>
  <c r="F868" i="1"/>
  <c r="F874" i="1"/>
  <c r="F872" i="1"/>
  <c r="F870" i="1"/>
</calcChain>
</file>

<file path=xl/sharedStrings.xml><?xml version="1.0" encoding="utf-8"?>
<sst xmlns="http://schemas.openxmlformats.org/spreadsheetml/2006/main" count="12702" uniqueCount="3435">
  <si>
    <t>Sum of Frequency</t>
  </si>
  <si>
    <t>Count of Registration Number</t>
  </si>
  <si>
    <t>Grand Total</t>
  </si>
  <si>
    <t>Transporter</t>
  </si>
  <si>
    <t>Registration Number</t>
  </si>
  <si>
    <t>Driver</t>
  </si>
  <si>
    <t>Violation Type</t>
  </si>
  <si>
    <t>Start Date</t>
  </si>
  <si>
    <t>WeekDay</t>
  </si>
  <si>
    <t>Year</t>
  </si>
  <si>
    <t>Month</t>
  </si>
  <si>
    <t>Week.No</t>
  </si>
  <si>
    <t>End Date</t>
  </si>
  <si>
    <t>Max Value</t>
  </si>
  <si>
    <t>Measurement Units</t>
  </si>
  <si>
    <t>Total Duration (hh:mm:ss)</t>
  </si>
  <si>
    <t>Duration (Minutes)</t>
  </si>
  <si>
    <t>Start County</t>
  </si>
  <si>
    <t>End County</t>
  </si>
  <si>
    <t>Start Location</t>
  </si>
  <si>
    <t>End Location</t>
  </si>
  <si>
    <t>Violation Distance (km)</t>
  </si>
  <si>
    <t>Frequency</t>
  </si>
  <si>
    <t>Haulier A</t>
  </si>
  <si>
    <t>FreeWheeling</t>
  </si>
  <si>
    <t>km/h</t>
  </si>
  <si>
    <t>00:00:01</t>
  </si>
  <si>
    <t>Kiambu</t>
  </si>
  <si>
    <t>Thika Road, Juja ward, Juja, Kiambu, Central Kenya, 01001, Kenya</t>
  </si>
  <si>
    <t>-1.09735 , 37.02583</t>
  </si>
  <si>
    <t>-1.0972 , 37.026</t>
  </si>
  <si>
    <t>00:00:02</t>
  </si>
  <si>
    <t>Limuru-Maimahiu Rd., Kamirithu sublocation, Limuru, Bibirioni ward, Limuru, Kiambu, Central Kenya, 00217, Kenya</t>
  </si>
  <si>
    <t>-1.07854 , 36.60247</t>
  </si>
  <si>
    <t>-1.07813 , 36.60242</t>
  </si>
  <si>
    <t>Night Driving 11pm- 4am</t>
  </si>
  <si>
    <t>km</t>
  </si>
  <si>
    <t>00:14:30</t>
  </si>
  <si>
    <t>Nakuru</t>
  </si>
  <si>
    <t>Old Nairobi Road, Mbaruk sublocation, Greensteads, Gilgil ward, Gilgil, Nakuru, Rift Valley, 20116, Kenya</t>
  </si>
  <si>
    <t>-0.4667 , 36.28542</t>
  </si>
  <si>
    <t>-0.49977 , 36.3142</t>
  </si>
  <si>
    <t>01:26:17</t>
  </si>
  <si>
    <t>Nakuru - Eldoret Road, Kapsaos, Kamara ward, Kuresoi North, Nakuru, Rift Valley, Kenya</t>
  </si>
  <si>
    <t>Total, Old Nairobi Road, Mbaruk sublocation, Greensteads, Nakuru, Gilgil, Nakuru, Rift Valley, 20116, Kenya</t>
  </si>
  <si>
    <t>-0.16888 , 35.70351</t>
  </si>
  <si>
    <t>-0.32949 , 36.15796</t>
  </si>
  <si>
    <t>Haulier B</t>
  </si>
  <si>
    <t>03:32:35</t>
  </si>
  <si>
    <t>Taita-Taveta</t>
  </si>
  <si>
    <t>Makueni</t>
  </si>
  <si>
    <t>Mombasa Road, Mackinnon Road, Mackinon Road ward, Voi, Kwale, Kenya</t>
  </si>
  <si>
    <t>Mombasa Road, Mtito Andei, Kibwezi East, Makueni, Eastern, Kenya</t>
  </si>
  <si>
    <t>-3.6408 , 38.89099</t>
  </si>
  <si>
    <t>-2.69076 , 38.16354</t>
  </si>
  <si>
    <t>00:46:33</t>
  </si>
  <si>
    <t>Kinyambu Market, Mombasa Road, Thange, Kibwezi East, Makueni, Eastern, Kenya</t>
  </si>
  <si>
    <t>-2.68936 , 38.1621</t>
  </si>
  <si>
    <t>-2.48384 , 37.99664</t>
  </si>
  <si>
    <t>00:00:56</t>
  </si>
  <si>
    <t>Nakuru-Eldoret Rd., Sumeek sublocation, Kimanyi A, Molo ward, Molo, Nakuru, Rift Valley, Kenya</t>
  </si>
  <si>
    <t>Nakuru-Eldoret Rd., Sumeek sublocation, Kimanyi A, Molo ward, Eldama Ravine, Baringo, Rift Valley, Kenya</t>
  </si>
  <si>
    <t>-0.22657 , 35.7582</t>
  </si>
  <si>
    <t>-0.22448 , 35.76345</t>
  </si>
  <si>
    <t>01:12:03</t>
  </si>
  <si>
    <t>Murang'a</t>
  </si>
  <si>
    <t>Embu-Nairobi Highway, Kambiti Town, Murang`a South, Murang`a, Central Kenya, Kenya</t>
  </si>
  <si>
    <t>Thika Road, Theta ward, Juja, Kiambu, Central Kenya, 01001, Kenya</t>
  </si>
  <si>
    <t>-0.91588 , 37.20012</t>
  </si>
  <si>
    <t>-1.13558 , 36.97171</t>
  </si>
  <si>
    <t>00:11:48</t>
  </si>
  <si>
    <t>Thika Road, Kihunguro, Gatongora ward, Ruiru, Kiambu, Central Kenya, 01001, Kenya</t>
  </si>
  <si>
    <t>-1.1372 , 36.97068</t>
  </si>
  <si>
    <t>-1.15133 , 36.96171</t>
  </si>
  <si>
    <t>Over speeding&gt;80km/h</t>
  </si>
  <si>
    <t>00:00:03</t>
  </si>
  <si>
    <t>Thika Road, Kahawa West ward, Kasarani, Nairobi, Ruiru, Nairobi, 00609, Kenya</t>
  </si>
  <si>
    <t>-1.17615 , 36.94261</t>
  </si>
  <si>
    <t>-1.17554 , 36.94315</t>
  </si>
  <si>
    <t>Meru-Nairobi Highway, Kenol, Gatanga, Murang`a, Central Kenya, Kenya</t>
  </si>
  <si>
    <t>-0.97491 , 37.09627</t>
  </si>
  <si>
    <t>-0.97411 , 37.0964</t>
  </si>
  <si>
    <t>Harsh braking</t>
  </si>
  <si>
    <t>km/h/s</t>
  </si>
  <si>
    <t>Nakuru - Eldoret Road, Ngata sublocation, Cdn Ngata Estate, Mosop ward, Rongai, Nakuru, Rift Valley, Kenya</t>
  </si>
  <si>
    <t>-0.25684 , 35.98869</t>
  </si>
  <si>
    <t>Haulier C</t>
  </si>
  <si>
    <t>00:00:00</t>
  </si>
  <si>
    <t>-0.96178 , 37.10453</t>
  </si>
  <si>
    <t>Murang'a- Nairobi Road, Murang'a, Kiharu, Murang`a, Central Kenya, 10200, Kenya</t>
  </si>
  <si>
    <t>-0.74178 , 37.16275</t>
  </si>
  <si>
    <t>-0.74211 , 37.16297</t>
  </si>
  <si>
    <t>Nairobi</t>
  </si>
  <si>
    <t>DHL-Kasarani</t>
  </si>
  <si>
    <t>-1.22483 , 36.88592</t>
  </si>
  <si>
    <t>Thika Road, Zimmerman, Zimmerman ward, Kasarani, Nairobi, 00608, Kenya</t>
  </si>
  <si>
    <t>-1.20869 , 36.91211</t>
  </si>
  <si>
    <t>Meru-Nairobi Highway, Kenol, Murang`a South, Murang`a, Central Kenya, Kenya</t>
  </si>
  <si>
    <t>-0.96125 , 37.10619</t>
  </si>
  <si>
    <t>-0.9615 , 37.10561</t>
  </si>
  <si>
    <t>Meru-Nairobi Highway, Thika Township ward, Thika Town, Kiambu, Central Kenya, 01000, Kenya</t>
  </si>
  <si>
    <t>-1.02283 , 37.06789</t>
  </si>
  <si>
    <t>-1.02331 , 37.06748</t>
  </si>
  <si>
    <t>Thika Road, Witeithie ward, Juja, Kiambu, Central Kenya, Kenya</t>
  </si>
  <si>
    <t>-1.0829 , 37.04137</t>
  </si>
  <si>
    <t>-1.08322 , 37.04111</t>
  </si>
  <si>
    <t>Naivasha-Mai Mahiu-Limuru Rd., Longonot sublocation, Astu, Hells Gate ward, Naivasha, Nakuru, Rift Valley, Kenya</t>
  </si>
  <si>
    <t>-0.79297 , 36.46061</t>
  </si>
  <si>
    <t>Uasin Gishu</t>
  </si>
  <si>
    <t>Eldoret-Nakuru Road, Tarakwa ward, Kesses, Uasin Gishu, Rift Valley, Kenya</t>
  </si>
  <si>
    <t>0.12219 , 35.46422</t>
  </si>
  <si>
    <t>00:02:16</t>
  </si>
  <si>
    <t>Mombasa Road, Salama, Kilome, Makueni, Eastern, Kenya</t>
  </si>
  <si>
    <t>-1.85034 , 37.2557</t>
  </si>
  <si>
    <t>-1.84835 , 37.2543</t>
  </si>
  <si>
    <t>00:00:07</t>
  </si>
  <si>
    <t>-1.82483 , 37.24058</t>
  </si>
  <si>
    <t>-1.82639 , 37.24136</t>
  </si>
  <si>
    <t>-1.83288 , 37.25316</t>
  </si>
  <si>
    <t>-1.83301 , 37.25333</t>
  </si>
  <si>
    <t>00:00:18</t>
  </si>
  <si>
    <t>-1.83393 , 37.25426</t>
  </si>
  <si>
    <t>-1.83772 , 37.25595</t>
  </si>
  <si>
    <t>Haulier D</t>
  </si>
  <si>
    <t>00:00:24</t>
  </si>
  <si>
    <t>Kericho-Kisumu Highway, Londiani Junction, Chepseon, Chepseon ward, Kipkelion East, Kericho County, Rift Valley, 20200, KE</t>
  </si>
  <si>
    <t>-0.3125, 35.3839</t>
  </si>
  <si>
    <t>-0.3156, 35.3784</t>
  </si>
  <si>
    <t>00:00:25</t>
  </si>
  <si>
    <t>Eldoret Kapsabet Road, Musoriot, Lelmoko/Ngechek ward, Chesumei, Nandi County, Rift Valley, KE</t>
  </si>
  <si>
    <t>Lelmoko/Ngechek ward, Chesumei, Nandi County, Rift Valley, KE</t>
  </si>
  <si>
    <t>0.3467, 35.1924</t>
  </si>
  <si>
    <t>0.3527, 35.1936</t>
  </si>
  <si>
    <t>00:41:57</t>
  </si>
  <si>
    <t>Naivasha-Mai Mahiu-Limuru Rd., Social Area, Naivasha, Naivasha, Nakuru, Rift Valley, KE</t>
  </si>
  <si>
    <t>Nairobi-Nakuru Road, weigh bridge, Gilgil ward, Gilgil, Nakuru, Rift Valley, KE</t>
  </si>
  <si>
    <t>-0.7120, 36.4293</t>
  </si>
  <si>
    <t>-0.5786, 36.3666</t>
  </si>
  <si>
    <t>Machakos</t>
  </si>
  <si>
    <t>Old Mombasa Road, Mlolongo, Syokimau-Mulolongo ward, Mavoko, Machakos, Eastern, 00519, Kenya</t>
  </si>
  <si>
    <t>-1.38568 , 36.93411</t>
  </si>
  <si>
    <t>-1.38574 , 36.93416</t>
  </si>
  <si>
    <t>Kericho</t>
  </si>
  <si>
    <t>C674, Soin ward, Sigowet/Soin, Kericho, Rift Valley, Kenya</t>
  </si>
  <si>
    <t>-0.17228 , 35.18481</t>
  </si>
  <si>
    <t>-0.17219 , 35.1848</t>
  </si>
  <si>
    <t>Thika Road, Survey, Garden sublocation, Roysambu ward, Kasarani, Nairobi, 00620, Kenya</t>
  </si>
  <si>
    <t>-1.24946 , 36.86216</t>
  </si>
  <si>
    <t>Limuru-Maimahiu Rd., Kamirithu sublocation, Limuru, Kiambu, Central Kenya, 00217, Kenya</t>
  </si>
  <si>
    <t>-1.11248 , 36.61549</t>
  </si>
  <si>
    <t>-1.11212 , 36.61544</t>
  </si>
  <si>
    <t>Nairobi-Nakuru Road, weigh bridge, Gilgil ward, Gilgil, Nakuru, Rift Valley, Kenya</t>
  </si>
  <si>
    <t>-0.57221 , 36.3614</t>
  </si>
  <si>
    <t>-0.57244 , 36.36163</t>
  </si>
  <si>
    <t>Nairobi - Nakuru Road, Kimende, Kijabe ward, Lari, Kiambu, Central Kenya, Kenya</t>
  </si>
  <si>
    <t>-0.92882 , 36.61448</t>
  </si>
  <si>
    <t>-0.92895 , 36.61456</t>
  </si>
  <si>
    <t>Embu</t>
  </si>
  <si>
    <t>Embu-Nairobi Highway, Mwea West, Kirinyaga, Central Kenya, Kenya</t>
  </si>
  <si>
    <t>-0.77603 , 37.26892</t>
  </si>
  <si>
    <t>Outer Ring Road, Kariobangi, Kariobangi North ward, Kasarani, Nairobi, 00623, Kenya</t>
  </si>
  <si>
    <t>-1.26039 , 36.87908</t>
  </si>
  <si>
    <t>Southern Bypass, Onyonka, South C ward, Lang'ata, Nairobi, 00603, Kenya</t>
  </si>
  <si>
    <t>-1.32958 , 36.8335</t>
  </si>
  <si>
    <t>-1.32975 , 36.83275</t>
  </si>
  <si>
    <t>-1.33203 , 36.82631</t>
  </si>
  <si>
    <t>-1.33211 , 36.82614</t>
  </si>
  <si>
    <t>00:00:13</t>
  </si>
  <si>
    <t>Southern Bypass, Onyonka, Mugumo-ini ward, Lang'ata, Nairobi, 00603, Kenya</t>
  </si>
  <si>
    <t>-1.3325 , 36.81639</t>
  </si>
  <si>
    <t>-1.33292 , 36.81389</t>
  </si>
  <si>
    <t>-1.32744 , 36.79669</t>
  </si>
  <si>
    <t>-1.32578 , 36.79458</t>
  </si>
  <si>
    <t>00:01:20</t>
  </si>
  <si>
    <t>Mombasa Road, Mua ward, Machakos Town, Machakos County, KE</t>
  </si>
  <si>
    <t>-1.5786, 37.1561</t>
  </si>
  <si>
    <t>-1.5956, 37.1644</t>
  </si>
  <si>
    <t>00:01:00</t>
  </si>
  <si>
    <t>Kericho-Kisumu Highway, Kapsoit, Kapsoit ward, Ainamoi, Kericho County, Rift Valley, 20205, KE</t>
  </si>
  <si>
    <t>Kericho-Kisumu Highway, Kaitui, Soliat ward, Sigowet/Soin, Kericho County, Rift Valley, KE</t>
  </si>
  <si>
    <t>-0.3016, 35.1634</t>
  </si>
  <si>
    <t>-0.2881, 35.1632</t>
  </si>
  <si>
    <t>Nyeri</t>
  </si>
  <si>
    <t>A2, Sagana, Mathira East, Nyeri, Central Kenya, 10101, Kenya</t>
  </si>
  <si>
    <t>-0.46443 , 37.0564</t>
  </si>
  <si>
    <t>-0.46452 , 37.05604</t>
  </si>
  <si>
    <t>00:10:41</t>
  </si>
  <si>
    <t>Nairobi-Nakuru Road, Eburu sublocation, Mbaruk/Eburu ward, Gilgil, Nakuru, Rift Valley, 20116, Kenya</t>
  </si>
  <si>
    <t>Nairobi-Nakuru Road, Gg 1, Gilgil ward, Gilgil, Nakuru, Rift Valley, 20116, Kenya</t>
  </si>
  <si>
    <t>-0.5345 , 36.33377</t>
  </si>
  <si>
    <t>-0.50035 , 36.31492</t>
  </si>
  <si>
    <t>Thika Road, Kiwanja, Nairobi, Kasarani, Nairobi, 00609, Kenya</t>
  </si>
  <si>
    <t>-1.18475 , 36.93497</t>
  </si>
  <si>
    <t>-1.18508 , 36.93464</t>
  </si>
  <si>
    <t>-1.18633 , 36.93344</t>
  </si>
  <si>
    <t>00:20:25</t>
  </si>
  <si>
    <t>Nanyuki Road, Viwandani, Viwandani ward, Makadara subcounty, Nairobi, 00507, Kenya</t>
  </si>
  <si>
    <t>Factory Street, Landimawe, Industrial Area, Landimawe ward, Nairobi, Starehe, Nairobi, 00200, Kenya</t>
  </si>
  <si>
    <t>-1.30722 , 36.86464</t>
  </si>
  <si>
    <t>-1.29433 , 36.83731</t>
  </si>
  <si>
    <t>C70, Othaya, Nyeri, Central Kenya, Kenya</t>
  </si>
  <si>
    <t>-0.57886 , 36.94431</t>
  </si>
  <si>
    <t>-0.57886 , 36.94464</t>
  </si>
  <si>
    <t>-1.82617 , 37.24119</t>
  </si>
  <si>
    <t>-1.82653 , 37.24139</t>
  </si>
  <si>
    <t>Kwale</t>
  </si>
  <si>
    <t>Mombasa Road, Mackinon Road ward, Kinango, Kwale, Coastal Kenya, Kenya</t>
  </si>
  <si>
    <t>-3.76378 , 39.17358</t>
  </si>
  <si>
    <t>-3.76403 , 39.17439</t>
  </si>
  <si>
    <t>Kilifi</t>
  </si>
  <si>
    <t>Kilifi Kaloleni Road, Galanema, Chasimba ward, Kilifi South, Kilifi, Coast, Kenya</t>
  </si>
  <si>
    <t>-3.70625 , 39.70953</t>
  </si>
  <si>
    <t>00:00:11</t>
  </si>
  <si>
    <t>-1.76711 , 37.20761</t>
  </si>
  <si>
    <t>-1.76467 , 37.20675</t>
  </si>
  <si>
    <t>00:00:35</t>
  </si>
  <si>
    <t>Mombasa-Nairobi Road, Kinanie ward, Mavoko, Machakos, Eastern, Kenya</t>
  </si>
  <si>
    <t>-1.52214 , 37.11625</t>
  </si>
  <si>
    <t>-1.51803 , 37.10956</t>
  </si>
  <si>
    <t>00:00:40</t>
  </si>
  <si>
    <t>-1.50344 , 37.08703</t>
  </si>
  <si>
    <t>-1.49864 , 37.07947</t>
  </si>
  <si>
    <t>00:00:26</t>
  </si>
  <si>
    <t>Northern Bypass, Marurui, Kasarani, Nairobi, Nairobi County, 00608, KE</t>
  </si>
  <si>
    <t>Garden Estate, Kasarani, Nairobi, Nairobi County, 00620, KE</t>
  </si>
  <si>
    <t>-1.2152, 36.8578</t>
  </si>
  <si>
    <t>-1.2150, 36.8643</t>
  </si>
  <si>
    <t>00:15:42</t>
  </si>
  <si>
    <t>Nairobi-Nakuru Road, Gg 1, Gilgil ward, Gilgil, Nakuru, Rift Valley, 20116, KE</t>
  </si>
  <si>
    <t>-0.5014, 36.3160</t>
  </si>
  <si>
    <t>-0.5770, 36.3657</t>
  </si>
  <si>
    <t>Kirinyaga</t>
  </si>
  <si>
    <t>B6, Mwea East, Kirinyaga, Central Kenya, 60100, Kenya</t>
  </si>
  <si>
    <t>-0.54285 , 37.43976</t>
  </si>
  <si>
    <t>-0.54283 , 37.43992</t>
  </si>
  <si>
    <t>Mombasa Road, South C ward, Lang'ata, Nairobi, 00603, Kenya</t>
  </si>
  <si>
    <t>-1.32955 , 36.85466</t>
  </si>
  <si>
    <t>Outer Ring Road, Allsops, Drive In, Nairobi, Kasarani, Nairobi, 00623, Kenya</t>
  </si>
  <si>
    <t>-1.24736 , 36.87119</t>
  </si>
  <si>
    <t>Katumani - Konza Road, Kola ward, Kilome, Makueni, Eastern, Kenya</t>
  </si>
  <si>
    <t>-1.6451 , 37.19465</t>
  </si>
  <si>
    <t>-1.64495 , 37.19475</t>
  </si>
  <si>
    <t>Mombasa Road, Kinanie ward, Mavoko, Machakos, Eastern, Kenya</t>
  </si>
  <si>
    <t>-1.53743 , 37.13552</t>
  </si>
  <si>
    <t>-1.5376 , 37.13566</t>
  </si>
  <si>
    <t>Embu-Nairobi Highway, Manaja ward, Masinga, Machakos, Eastern, Kenya</t>
  </si>
  <si>
    <t>-0.84631 , 37.23244</t>
  </si>
  <si>
    <t>-0.84611 , 37.23245</t>
  </si>
  <si>
    <t>Nairobi - Nakuru Road, Kimende, Kinale ward, Kinangop, Nyandarua, Central Kenya, Kenya</t>
  </si>
  <si>
    <t>-0.88917 , 36.58858</t>
  </si>
  <si>
    <t>00:00:10</t>
  </si>
  <si>
    <t>Marsabit</t>
  </si>
  <si>
    <t>Marsabit-Moyale Road, Karare ward, Saku, Marsabit, Eastern, Kenya</t>
  </si>
  <si>
    <t>2.30761 , 37.92883</t>
  </si>
  <si>
    <t>2.30626 , 37.92683</t>
  </si>
  <si>
    <t>Nairobi-Nakuru Road, Eburu sublocation, Mbaruk/Eburu ward, Gilgil, Nakuru, Rift Valley, 20116, KE</t>
  </si>
  <si>
    <t>-0.5329, 36.3331</t>
  </si>
  <si>
    <t>-0.5382, 36.3358</t>
  </si>
  <si>
    <t>-0.2667, 35.4439</t>
  </si>
  <si>
    <t>-0.2659, 35.4530</t>
  </si>
  <si>
    <t>00:48:00</t>
  </si>
  <si>
    <t>A14, Likoni, Timbwani ward, Likoni, Mombasa County, Coast, 80110, KE</t>
  </si>
  <si>
    <t>diani complex, Diani Beach Road, Gombato, Gombato Bongwe ward, Msambweni, Kwale, Coast, 80400, KE</t>
  </si>
  <si>
    <t>-4.0831, 39.6620</t>
  </si>
  <si>
    <t>-4.2789, 39.5907</t>
  </si>
  <si>
    <t>Nairobi-Nakuru Road, Gilgil ward, Gilgil, Nakuru, Rift Valley, Kenya</t>
  </si>
  <si>
    <t>-0.57911 , 36.36713</t>
  </si>
  <si>
    <t>-0.57905 , 36.36708</t>
  </si>
  <si>
    <t>Tharaka-Nithi</t>
  </si>
  <si>
    <t>Tharaka South, Tharaka-Nithi, Eastern, Kenya</t>
  </si>
  <si>
    <t>-0.27197 , 37.91022</t>
  </si>
  <si>
    <t>0.09975 , 35.49469</t>
  </si>
  <si>
    <t>0.09962 , 35.49219</t>
  </si>
  <si>
    <t>-0.96173 , 37.10474</t>
  </si>
  <si>
    <t>-0.96141 , 37.10548</t>
  </si>
  <si>
    <t>00:00:04</t>
  </si>
  <si>
    <t>-0.45492 , 36.27682</t>
  </si>
  <si>
    <t>-0.45596 , 36.27719</t>
  </si>
  <si>
    <t>00:02:10</t>
  </si>
  <si>
    <t>Embu-Nairobi Highway, Murang`a South, Murang'a County, KE</t>
  </si>
  <si>
    <t>Embu-Nairobi Highway, Kambiti Town, Murang`a South, Murang'a County, KE</t>
  </si>
  <si>
    <t>-0.9293, 37.1736</t>
  </si>
  <si>
    <t>-0.9170, 37.1991</t>
  </si>
  <si>
    <t>00:01:57</t>
  </si>
  <si>
    <t>A2, Buuri, Meru County, KE</t>
  </si>
  <si>
    <t>Meru-Nairobi Highway, Buuri, Meru County, KE</t>
  </si>
  <si>
    <t>0.1370, 37.4694</t>
  </si>
  <si>
    <t>0.1434, 37.4954</t>
  </si>
  <si>
    <t>Limuru Road, Redhill, Kabuku, Ngecha Tigoni ward, Limuru, Kiambu, Central Kenya, 00217, Kenya</t>
  </si>
  <si>
    <t>-1.15457 , 36.67588</t>
  </si>
  <si>
    <t>-1.15457 , 36.67602</t>
  </si>
  <si>
    <t>Eldoret-Malaba Road, Gatimu sublocation, Sigona ward, Kikuyu, Kiambu, Central Kenya, 00217, Kenya</t>
  </si>
  <si>
    <t>-1.17173 , 36.64168</t>
  </si>
  <si>
    <t>-1.17232 , 36.64177</t>
  </si>
  <si>
    <t>Naivasha-Mai Mahiu-Limuru Road, Longonot sublocation, Jikaze, Mai Mahiu ward, Naivasha, Nakuru, Rift Valley, 00221, Kenya</t>
  </si>
  <si>
    <t>-0.90745 , 36.51524</t>
  </si>
  <si>
    <t>-0.90761 , 36.51535</t>
  </si>
  <si>
    <t>Mombasa Road, Mua ward, Machakos Town, Machakos, Eastern, Kenya</t>
  </si>
  <si>
    <t>Mombasa Road, Kalama ward, Machakos Town, Machakos, Eastern, Kenya</t>
  </si>
  <si>
    <t>-1.57997 , 37.15683</t>
  </si>
  <si>
    <t>-1.5809 , 37.15729</t>
  </si>
  <si>
    <t>00:00:20</t>
  </si>
  <si>
    <t>-0.2032, 35.5900</t>
  </si>
  <si>
    <t>-0.2082, 35.5876</t>
  </si>
  <si>
    <t>A8, Kinanie ward, Mavoko, Machakos County, KE</t>
  </si>
  <si>
    <t>-1.5245, 37.1201</t>
  </si>
  <si>
    <t>-1.5210, 37.1147</t>
  </si>
  <si>
    <t>00:03:23</t>
  </si>
  <si>
    <t>East Africa Breweries Limited, Kasarani sublocation, Kasarani, Nairobi, Nairobi County, 00620, KE</t>
  </si>
  <si>
    <t>-1.4872, 37.0527</t>
  </si>
  <si>
    <t>-1.2363, 36.8798</t>
  </si>
  <si>
    <t>00:00:51</t>
  </si>
  <si>
    <t>Limuru-Maimahiu Road, Mai Mahiu sublocation, Lari/Kirenya ward, Lari, Kiambu, Central Kenya, 00221, Kenya</t>
  </si>
  <si>
    <t>-1.04203 , 36.60323</t>
  </si>
  <si>
    <t>-1.03469 , 36.60127</t>
  </si>
  <si>
    <t>Outer Ring Road, Uhuru sublocation, Kamukunji, Nairobi, 00611, Kenya</t>
  </si>
  <si>
    <t>-1.26788 , 36.88019</t>
  </si>
  <si>
    <t>-1.26526 , 36.87954</t>
  </si>
  <si>
    <t>A2, Sagana, Kirinyaga West, Kirinyaga, Central Kenya, 10101, Kenya</t>
  </si>
  <si>
    <t>-0.52038 , 37.17475</t>
  </si>
  <si>
    <t>-0.52052 , 37.17488</t>
  </si>
  <si>
    <t>Baringo</t>
  </si>
  <si>
    <t>Nakuru - Eldoret Road, Equator, Eldama Ravine, Baringo, Rift Valley, Kenya</t>
  </si>
  <si>
    <t>-0.00778 , 35.57033</t>
  </si>
  <si>
    <t>-0.00767 , 35.57006</t>
  </si>
  <si>
    <t>Outer Ring Road, Nairobi, Kasarani, Nairobi, 00623, Kenya</t>
  </si>
  <si>
    <t>-1.24871 , 36.87752</t>
  </si>
  <si>
    <t>-1.24891 , 36.8777</t>
  </si>
  <si>
    <t>00:00:06</t>
  </si>
  <si>
    <t>Eastern Bypass, Membley, Tatu City, Gitothua ward, Ruiru, Kiambu, Central Kenya, 00609, Kenya</t>
  </si>
  <si>
    <t>-1.15383 , 36.92272</t>
  </si>
  <si>
    <t>-1.15408 , 36.9235</t>
  </si>
  <si>
    <t>Thika Road, Nairobi, Kasarani, Nairobi, 00608, Kenya</t>
  </si>
  <si>
    <t>-1.20112 , 36.91921</t>
  </si>
  <si>
    <t>-1.20096 , 36.91934</t>
  </si>
  <si>
    <t>Thika Road, Nairobi, Kasarani, Nairobi, 00609, Kenya</t>
  </si>
  <si>
    <t>-1.18758 , 36.93216</t>
  </si>
  <si>
    <t>-1.18729 , 36.93243</t>
  </si>
  <si>
    <t>-1.17669 , 36.9422</t>
  </si>
  <si>
    <t>-1.17654 , 36.94232</t>
  </si>
  <si>
    <t>00:36:10</t>
  </si>
  <si>
    <t>Mombasa</t>
  </si>
  <si>
    <t>Mombasa Road, Rabai/Kisurutini ward, Rabai, Kilifi, Coast, Kenya</t>
  </si>
  <si>
    <t>Mombasa Road, Kipevu ward, Mombasa, Mikindani ward, Jomvu, Mombasa, Coast, 80102, Kenya</t>
  </si>
  <si>
    <t>-3.96683 , 39.54961</t>
  </si>
  <si>
    <t>-4.02564 , 39.63369</t>
  </si>
  <si>
    <t>00:10:31</t>
  </si>
  <si>
    <t>Mombasa Road, Kilome, Makueni, Eastern, Kenya</t>
  </si>
  <si>
    <t>-1.70925 , 37.19692</t>
  </si>
  <si>
    <t>-1.70053 , 37.1965</t>
  </si>
  <si>
    <t>00:10:36</t>
  </si>
  <si>
    <t>-1.69875 , 37.19642</t>
  </si>
  <si>
    <t>-1.68708 , 37.19553</t>
  </si>
  <si>
    <t>00:00:16</t>
  </si>
  <si>
    <t>Southern Bypass, Karen C, Mugumo-ini ward, Lang'ata, Nairobi, 00517, Kenya</t>
  </si>
  <si>
    <t>-1.31817 , 36.77122</t>
  </si>
  <si>
    <t>-1.31719 , 36.77425</t>
  </si>
  <si>
    <t>00:00:08</t>
  </si>
  <si>
    <t>Thika Road, Muthaiga sublocation, Highridge location, Garden sublocation, Westlands, Nairobi, Kasarani, Nairobi, 00620, Kenya</t>
  </si>
  <si>
    <t>Thika Road, Survey, Garden sublocation, Nairobi, Kasarani, Nairobi, 00620, Kenya</t>
  </si>
  <si>
    <t>-1.25803 , 36.84994</t>
  </si>
  <si>
    <t>-1.258 , 36.85147</t>
  </si>
  <si>
    <t>00:31:55</t>
  </si>
  <si>
    <t>-1.70811 , 37.19681</t>
  </si>
  <si>
    <t>-1.68692 , 37.1955</t>
  </si>
  <si>
    <t>00:01:30</t>
  </si>
  <si>
    <t>Meru-Nairobi Highway, Kenol, Gatanga, Murang'a County, 01000, KE</t>
  </si>
  <si>
    <t>-0.9854, 37.0901</t>
  </si>
  <si>
    <t>-1.0024, 37.0806</t>
  </si>
  <si>
    <t>00:00:21</t>
  </si>
  <si>
    <t>Sunny Processing, Embu-Nairobi Highway, Kambiti Town, Murang`a South, Murang'a County, KE</t>
  </si>
  <si>
    <t>-0.8217, 37.2391</t>
  </si>
  <si>
    <t>-0.8176, 37.2440</t>
  </si>
  <si>
    <t>00:01:33</t>
  </si>
  <si>
    <t>Thika Road, Juja, Juja, Kiambu, 01001, KE</t>
  </si>
  <si>
    <t>Thika Road, Kalimoni ward, Juja, Kiambu, 01001, KE</t>
  </si>
  <si>
    <t>-1.1125, 37.0123</t>
  </si>
  <si>
    <t>-1.1288, 36.9984</t>
  </si>
  <si>
    <t>Narok</t>
  </si>
  <si>
    <t>Kaplong-Narok-Maai Road, Ntulele, Mosiro ward, Narok East, Narok, Rift Valley, Kenya</t>
  </si>
  <si>
    <t>-1.11403 , 36.04751</t>
  </si>
  <si>
    <t>-1.11336 , 36.04515</t>
  </si>
  <si>
    <t>Kirinyaga Central, Kirinyaga, Central Kenya, 10300, Kenya</t>
  </si>
  <si>
    <t>-0.5273 , 37.26356</t>
  </si>
  <si>
    <t>-0.5274 , 37.26357</t>
  </si>
  <si>
    <t>-1.19444 , 36.92542</t>
  </si>
  <si>
    <t>-1.82525 , 37.24078</t>
  </si>
  <si>
    <t>-1.826 , 37.24111</t>
  </si>
  <si>
    <t>-0.43257 , 36.26385</t>
  </si>
  <si>
    <t>-0.43295 , 36.26403</t>
  </si>
  <si>
    <t>Thika Road, Ruiru, Juja, Kiambu, Central Kenya, 01001, Kenya</t>
  </si>
  <si>
    <t>Thika Road, Gatongora ward, Ruiru, Kiambu, Central Kenya, 01001, Kenya</t>
  </si>
  <si>
    <t>-1.14314 , 36.96642</t>
  </si>
  <si>
    <t>-1.14772 , 36.96283</t>
  </si>
  <si>
    <t>00:00:15</t>
  </si>
  <si>
    <t>Kericho-Kisumu Highway, Kochogo North sublocation, Awasi, Awasi/Onjiko ward, Nyando, Kisumu County, Nyanza, KE</t>
  </si>
  <si>
    <t>-0.2146, 35.1531</t>
  </si>
  <si>
    <t>-0.2105, 35.1525</t>
  </si>
  <si>
    <t>00:02:18</t>
  </si>
  <si>
    <t>Mulberry Court Apartments, Limuru Road, Nairobi, Kiambaa, Kiambu, 11403, KE</t>
  </si>
  <si>
    <t>Jowac Sports Bar, Limuru Road, Kaigu, Rwenu, Ndenderu, Ndenderu ward, Kiambaa, Kiambu, 11403, KE</t>
  </si>
  <si>
    <t>-1.2042, 36.7736</t>
  </si>
  <si>
    <t>-1.1927, 36.7468</t>
  </si>
  <si>
    <t>00:00:44</t>
  </si>
  <si>
    <t>Kakamega Road, Konya sublocation, West Kajulu location, Kajulu ward, Kisumu, City of Kisumu, Kisumu County, Nyanza, 40100, KE</t>
  </si>
  <si>
    <t>Kakamega Road, Salina, Migosi, Migosi ward, Kisumu, City of Kisumu, Kisumu County, Nyanza, 40103, KE</t>
  </si>
  <si>
    <t>-0.0656, 34.7759</t>
  </si>
  <si>
    <t>-0.0759, 34.7753</t>
  </si>
  <si>
    <t>00:01:58</t>
  </si>
  <si>
    <t>Nairobi Road, Tegat, Sobea Highway, Mosop ward, Rongai, Nakuru, Rift Valley, KE</t>
  </si>
  <si>
    <t>-0.2408, 35.9194</t>
  </si>
  <si>
    <t>-0.2291, 35.8958</t>
  </si>
  <si>
    <t>Mombasa Road, Mariakani ward, Kaloleni, Kilifi, Coast, Kenya</t>
  </si>
  <si>
    <t>-3.84244 , 39.44704</t>
  </si>
  <si>
    <t>00:00:09</t>
  </si>
  <si>
    <t>-0.99792 , 37.08304</t>
  </si>
  <si>
    <t>-0.99972 , 37.08197</t>
  </si>
  <si>
    <t>-1.82483 , 37.24053</t>
  </si>
  <si>
    <t>00:00:14</t>
  </si>
  <si>
    <t>Thika Road, Zimmerman, Nairobi, Kasarani, Nairobi, 00608, Kenya</t>
  </si>
  <si>
    <t>-1.21217 , 36.9035</t>
  </si>
  <si>
    <t>-1.21106 , 36.90683</t>
  </si>
  <si>
    <t>Kambiti Town, Murang`a South, Murang`a, Central Kenya, Kenya</t>
  </si>
  <si>
    <t>-0.84575 , 37.23244</t>
  </si>
  <si>
    <t>-0.84258 , 37.23203</t>
  </si>
  <si>
    <t>-0.82086 , 37.24003</t>
  </si>
  <si>
    <t>-0.82033 , 37.24069</t>
  </si>
  <si>
    <t>-0.96092 , 37.10672</t>
  </si>
  <si>
    <t>-0.96178 , 37.10469</t>
  </si>
  <si>
    <t>-1.21151 , 36.90543</t>
  </si>
  <si>
    <t>-1.21131 , 36.90602</t>
  </si>
  <si>
    <t>00:00:05</t>
  </si>
  <si>
    <t>-0.84538 , 37.23249</t>
  </si>
  <si>
    <t>-0.84411 , 37.23235</t>
  </si>
  <si>
    <t>Mombasa Road, Kiboko, Kibwezi West, Makueni, Eastern, Kenya</t>
  </si>
  <si>
    <t>Kibwezi West, Makueni, Eastern, Kenya</t>
  </si>
  <si>
    <t>-2.26277 , 37.80203</t>
  </si>
  <si>
    <t>-2.26176 , 37.80088</t>
  </si>
  <si>
    <t>A12, Londiani Junction, Kedowa/Kimugul ward, Kipkelion East, Kericho County, Rift Valley, KE</t>
  </si>
  <si>
    <t>-0.1680, 35.6650</t>
  </si>
  <si>
    <t>-0.1688, 35.6567</t>
  </si>
  <si>
    <t>00:01:19</t>
  </si>
  <si>
    <t>Kambiti Town, Murang`a South, Murang'a County, KE</t>
  </si>
  <si>
    <t>-0.8589, 37.2354</t>
  </si>
  <si>
    <t>-0.8419, 37.2320</t>
  </si>
  <si>
    <t>00:00:19</t>
  </si>
  <si>
    <t>Thika Road, Kahawa ward, Kasarani, Nairobi, Nairobi County, 00609, KE</t>
  </si>
  <si>
    <t>Thika Road, Kahawa West ward, Kasarani, Nairobi, Nairobi County, 00609, KE</t>
  </si>
  <si>
    <t>-1.1999, 36.9202</t>
  </si>
  <si>
    <t>-1.1962, 36.9239</t>
  </si>
  <si>
    <t>00:00:47</t>
  </si>
  <si>
    <t>Naivasha-Mai Mahiu-Limuru Road, Mai Mahiu sublocation, Jikaze, Mai Mahiu ward, Naivasha, Nakuru, Rift Valley, 00221, KE</t>
  </si>
  <si>
    <t>-0.9179, 36.5230</t>
  </si>
  <si>
    <t>-0.9261, 36.5296</t>
  </si>
  <si>
    <t>00:01:18</t>
  </si>
  <si>
    <t>Naivasha-Mai Mahiu-Limuru Rd., Longonot sublocation, Astu, Hells Gate ward, Naivasha, Nakuru, Rift Valley, KE</t>
  </si>
  <si>
    <t>-0.7884, 36.4577</t>
  </si>
  <si>
    <t>-0.7724, 36.4510</t>
  </si>
  <si>
    <t>Kisumu</t>
  </si>
  <si>
    <t>Kericho-Kisumu Highway, Kochogo North sublocation, Awasi, Awasi/Onjiko ward, Nyando, Kisumu, Nyanza, Kenya</t>
  </si>
  <si>
    <t>-0.16745 , 35.08027</t>
  </si>
  <si>
    <t>-0.16686 , 35.07991</t>
  </si>
  <si>
    <t>Airport North Road, Embakasi, Imara Daima ward, Embakasi, Nairobi, 00501, Kenya</t>
  </si>
  <si>
    <t>-1.32995 , 36.89039</t>
  </si>
  <si>
    <t>-1.32931 , 36.89127</t>
  </si>
  <si>
    <t>C92, Kanywambora, Runyenjes, Embu, Eastern, Kenya</t>
  </si>
  <si>
    <t>-0.47692 , 37.58392</t>
  </si>
  <si>
    <t>-0.4768 , 37.58379</t>
  </si>
  <si>
    <t>Site Entrance Queue; KBL FACTORY</t>
  </si>
  <si>
    <t>-1.23619 , 36.87879</t>
  </si>
  <si>
    <t>Kaplong-Narok-Maai Road, Narok Town ward, Narok North, Narok, Rift Valley, Kenya</t>
  </si>
  <si>
    <t>-1.07888 , 35.79818</t>
  </si>
  <si>
    <t>-1.07896 , 35.79895</t>
  </si>
  <si>
    <t>Enterprise Road, Viwandani, Viwandani ward, Makadara subcounty, Nairobi, 00507, Kenya</t>
  </si>
  <si>
    <t>-1.3142 , 36.8577</t>
  </si>
  <si>
    <t>-1.31424 , 36.85781</t>
  </si>
  <si>
    <t>-1.10911 , 37.01365</t>
  </si>
  <si>
    <t>Old Nairobi Road, Mbaruk sublocation, Greensteads, Mbaruk/Eburu ward, Gilgil, Nakuru, Rift Valley, 20116, Kenya</t>
  </si>
  <si>
    <t>-0.35972 , 36.20491</t>
  </si>
  <si>
    <t>Landhies Road, Shauri Moyo sublocation, Pumwani ward, Kamukunji, Nairobi, CBD division, Starehe, Nairobi, 00101, Kenya</t>
  </si>
  <si>
    <t>-1.29108 , 36.84117</t>
  </si>
  <si>
    <t>-0.84435 , 37.23238</t>
  </si>
  <si>
    <t>-0.3077,35.1726</t>
  </si>
  <si>
    <t>-0.3083,35.1687</t>
  </si>
  <si>
    <t>Thika Road, Zimmerman, Kasarani, Nairobi, Nairobi County, 00608, KE</t>
  </si>
  <si>
    <t>-1.2127,36.9020</t>
  </si>
  <si>
    <t>-1.2108,36.9076</t>
  </si>
  <si>
    <t>-1.5223,37.1165</t>
  </si>
  <si>
    <t>-1.5130,37.1021</t>
  </si>
  <si>
    <t>00:00:49</t>
  </si>
  <si>
    <t>Eldoret Bypass, Kapsaret, Simat/, Kapseret, Uasin Gishu County, Rift Valley, KE</t>
  </si>
  <si>
    <t>Eldoret Bypass, Simat/, Kapseret, Uasin Gishu County, Rift Valley, KE</t>
  </si>
  <si>
    <t>0.4982,35.1944</t>
  </si>
  <si>
    <t>0.5084,35.1882</t>
  </si>
  <si>
    <t>00:01:50</t>
  </si>
  <si>
    <t>-0.9253,36.5290</t>
  </si>
  <si>
    <t>-0.9430,36.5438</t>
  </si>
  <si>
    <t>Muhoroni-Fort Ternan-Londiani Rd., Martamat, Kipkelion ward, Kipkelion West, Kericho, Rift Valley, Kenya</t>
  </si>
  <si>
    <t>-0.15676 , 35.48787</t>
  </si>
  <si>
    <t>-0.15384 , 35.48836</t>
  </si>
  <si>
    <t>-1.17592 , 36.7168</t>
  </si>
  <si>
    <t>Naivasha-Mai Mahiu-Limuru Rd., Longonot sublocation, Astu, Mai Mahiu ward, Naivasha, Nakuru, Rift Valley, Kenya</t>
  </si>
  <si>
    <t>-0.86491 , 36.48208</t>
  </si>
  <si>
    <t>-0.86465 , 36.482</t>
  </si>
  <si>
    <t>A12, Londiani Junction, Kedowa/Kimugul ward, Kipkelion East, Kericho, Rift Valley, Kenya</t>
  </si>
  <si>
    <t>-0.16807 , 35.62966</t>
  </si>
  <si>
    <t>Limuru-Maimahiu Rd., Kamirithu sublocation, Limuru, Limuru Central ward, Limuru, Kiambu, Central Kenya, 00217, Kenya</t>
  </si>
  <si>
    <t>-1.10706 , 36.61232</t>
  </si>
  <si>
    <t>-0.35357 , 36.18987</t>
  </si>
  <si>
    <t>-0.35373 , 36.19045</t>
  </si>
  <si>
    <t>Nakuru - Eldoret Road, Total Centre, Kamara ward, Kuresoi North, Nakuru, Rift Valley, Kenya</t>
  </si>
  <si>
    <t>Nakuru - Eldoret Road, Kamara, Kamara ward, Kuresoi North, Nakuru, Rift Valley, Kenya</t>
  </si>
  <si>
    <t>-0.13767 , 35.67761</t>
  </si>
  <si>
    <t>-0.13644 , 35.67786</t>
  </si>
  <si>
    <t>0.09011 , 35.5105</t>
  </si>
  <si>
    <t>C74, Kerugoya, Mathira West, Nyeri, Central Kenya, 10300, Kenya</t>
  </si>
  <si>
    <t>-0.48019 , 37.17194</t>
  </si>
  <si>
    <t>-0.48052 , 37.17163</t>
  </si>
  <si>
    <t>-0.84569 , 37.23244</t>
  </si>
  <si>
    <t>-0.84467 , 37.23242</t>
  </si>
  <si>
    <t>B6, Kirinyaga East, Kirinyaga, Central Kenya, 60100, Kenya</t>
  </si>
  <si>
    <t>-0.55336 , 37.41469</t>
  </si>
  <si>
    <t>-0.46978 , 37.66183</t>
  </si>
  <si>
    <t>-0.46961 , 37.66242</t>
  </si>
  <si>
    <t>-0.23506 , 37.92419</t>
  </si>
  <si>
    <t>-0.23558 , 37.92308</t>
  </si>
  <si>
    <t>C92, Tunyai, Tharaka South, Tharaka-Nithi, Eastern, Kenya</t>
  </si>
  <si>
    <t>-0.30228 , 37.87767</t>
  </si>
  <si>
    <t>-0.303 , 37.87667</t>
  </si>
  <si>
    <t>-0.96175 , 37.10469</t>
  </si>
  <si>
    <t>-0.96117 , 37.106</t>
  </si>
  <si>
    <t>A2, Sagana, Mathira West, Nyeri, Central Kenya, 10101, Kenya</t>
  </si>
  <si>
    <t>-0.51646 , 37.16645</t>
  </si>
  <si>
    <t>-0.51655 , 37.16658</t>
  </si>
  <si>
    <t>Mombasa Road, Thange, Kibwezi East, Makueni, Eastern, Kenya</t>
  </si>
  <si>
    <t>-2.45701 , 37.98098</t>
  </si>
  <si>
    <t>-2.45774 , 37.98174</t>
  </si>
  <si>
    <t>93.0</t>
  </si>
  <si>
    <t>00:00:59</t>
  </si>
  <si>
    <t>-1.5220, 37.1160</t>
  </si>
  <si>
    <t>-1.5147, 37.1047</t>
  </si>
  <si>
    <t>1.5</t>
  </si>
  <si>
    <t>83.0</t>
  </si>
  <si>
    <t>00:00:33</t>
  </si>
  <si>
    <t>Limuru Road, Redhill, Kabuku, Ngecha Tigoni ward, Limuru, Kiambu, 00217, KE</t>
  </si>
  <si>
    <t>-1.1746, 36.7141</t>
  </si>
  <si>
    <t>-1.1774, 36.7215</t>
  </si>
  <si>
    <t>0.9</t>
  </si>
  <si>
    <t>89.0</t>
  </si>
  <si>
    <t>Thika Road, Witeithie ward, Juja, Kiambu, 01000, KE</t>
  </si>
  <si>
    <t>Thika Road, Witeithie ward, Juja, Kiambu, 01001, KE</t>
  </si>
  <si>
    <t>-1.0808, 37.0430</t>
  </si>
  <si>
    <t>-1.0887, 37.0360</t>
  </si>
  <si>
    <t>1.2</t>
  </si>
  <si>
    <t>99.0</t>
  </si>
  <si>
    <t>00:03:29</t>
  </si>
  <si>
    <t>Mombasa Road, Ngokomi, Kilome, Makueni, KE</t>
  </si>
  <si>
    <t>-1.9616, 37.3147</t>
  </si>
  <si>
    <t>-1.9905, 37.3505</t>
  </si>
  <si>
    <t>5.1</t>
  </si>
  <si>
    <t>100.0</t>
  </si>
  <si>
    <t>-0.8522, 37.2333</t>
  </si>
  <si>
    <t>-0.8407, 37.2318</t>
  </si>
  <si>
    <t>1.3</t>
  </si>
  <si>
    <t>85.0</t>
  </si>
  <si>
    <t>Kapenesa, Lolwe, Migosi ward, Kisumu, City of Kisumu, Kisumu County, Nyanza, 40103, KE</t>
  </si>
  <si>
    <t>-0.0659, 34.7759</t>
  </si>
  <si>
    <t>-0.0700, 34.7757</t>
  </si>
  <si>
    <t>0.5</t>
  </si>
  <si>
    <t>-0.99294 , 36.59983</t>
  </si>
  <si>
    <t>-0.99293 , 36.59961</t>
  </si>
  <si>
    <t>Thika Road, Ruiru, Kiambu, Central Kenya, Kenya</t>
  </si>
  <si>
    <t>-1.15783 , 36.95918</t>
  </si>
  <si>
    <t>-1.15768 , 36.95922</t>
  </si>
  <si>
    <t>Meru-Nairobi Highway, Chuka, Tharaka-Nithi, Eastern, Kenya</t>
  </si>
  <si>
    <t>-0.32758 , 37.65397</t>
  </si>
  <si>
    <t>-0.32625 , 37.65569</t>
  </si>
  <si>
    <t>-0.32556 , 37.65672</t>
  </si>
  <si>
    <t>-1.18211 , 36.64517</t>
  </si>
  <si>
    <t>-1.18342 , 36.64581</t>
  </si>
  <si>
    <t>00:00:50</t>
  </si>
  <si>
    <t>-0.8251, 37.2349</t>
  </si>
  <si>
    <t>-0.8176, 37.2441</t>
  </si>
  <si>
    <t>00:00:23</t>
  </si>
  <si>
    <t>Mombasa Road, Changamwe ward, Mombasa, Changamwe, Mikindani ward, Changamwe, Mombasa County, Coast, 80102, KE</t>
  </si>
  <si>
    <t>-4.0116, 39.6291</t>
  </si>
  <si>
    <t>-4.0100, 39.6232</t>
  </si>
  <si>
    <t>-1.08975 , 36.60566</t>
  </si>
  <si>
    <t>-1.08983 , 36.60568</t>
  </si>
  <si>
    <t>Bypass Highway, Kamakowa, Nyawita sublocation, Kisumu Central, Kisumu, City of Kisumu, Kisumu, Nyanza, 40100, Kenya</t>
  </si>
  <si>
    <t>-0.08222 , 34.76665</t>
  </si>
  <si>
    <t>-0.08217 , 34.76643</t>
  </si>
  <si>
    <t>Naivasha-Mai Mahiu-Limuru Rd., Longonot sublocation, Astu, Lake View ward, Naivasha, Nakuru, Rift Valley, Kenya</t>
  </si>
  <si>
    <t>-0.7775 , 36.45279</t>
  </si>
  <si>
    <t>-0.77687 , 36.45257</t>
  </si>
  <si>
    <t>Namanga Road, Athi River ward, Mavoko, Machakos, Eastern, Kenya</t>
  </si>
  <si>
    <t>-1.44333 , 36.96844</t>
  </si>
  <si>
    <t>-1.44299 , 36.96848</t>
  </si>
  <si>
    <t>-1.25765 , 36.85377</t>
  </si>
  <si>
    <t>-1.25771 , 36.85365</t>
  </si>
  <si>
    <t>-1.16327 , 36.95766</t>
  </si>
  <si>
    <t>-1.16312 , 36.95771</t>
  </si>
  <si>
    <t>-0.34923 , 37.62123</t>
  </si>
  <si>
    <t>-0.34959 , 37.62106</t>
  </si>
  <si>
    <t>Old Nairobi Road, Eburu sublocation, Greensteads, Mbaruk/Eburu ward, Gilgil, Nakuru, Rift Valley, 20116, Kenya</t>
  </si>
  <si>
    <t>-0.48716 , 36.30362</t>
  </si>
  <si>
    <t>-0.48589 , 36.30279</t>
  </si>
  <si>
    <t>-1.0788, 37.0444</t>
  </si>
  <si>
    <t>-1.0889, 37.0359</t>
  </si>
  <si>
    <t>00:01:52</t>
  </si>
  <si>
    <t>-0.9802, 37.0941</t>
  </si>
  <si>
    <t>-1.0011, 37.0812</t>
  </si>
  <si>
    <t>-1.48028 , 37.04378</t>
  </si>
  <si>
    <t>-1.47996 , 37.04319</t>
  </si>
  <si>
    <t>00:04:29</t>
  </si>
  <si>
    <t>-0.46068 , 36.27995</t>
  </si>
  <si>
    <t>-0.43867 , 36.26725</t>
  </si>
  <si>
    <t>01:35:15</t>
  </si>
  <si>
    <t>Naivasha-Mai Mahiu-Limuru Rd., Town Shipmosque, Viwandani ward, Naivasha, Nakuru, Rift Valley, Kenya</t>
  </si>
  <si>
    <t>-1.05608 , 36.60308</t>
  </si>
  <si>
    <t>-0.71348 , 36.43018</t>
  </si>
  <si>
    <t>01:36:48</t>
  </si>
  <si>
    <t>Kambu, Kibwezi East, Makueni, Eastern, Kenya</t>
  </si>
  <si>
    <t>Hunter's Lodge, Mombasa Road, Kiboko, Kibwezi West, Makueni, Eastern, Kenya</t>
  </si>
  <si>
    <t>-2.61586 , 38.10025</t>
  </si>
  <si>
    <t>-2.21124 , 37.71471</t>
  </si>
  <si>
    <t>Mombasa Road, Ngokomi, Kilome, Makueni, Eastern, Kenya</t>
  </si>
  <si>
    <t>-1.99003 , 37.34981</t>
  </si>
  <si>
    <t>00:11:03</t>
  </si>
  <si>
    <t>Busia</t>
  </si>
  <si>
    <t>Kisumu-Busia Road, Ang'orom ward, Teso South, Busia, Western, Kenya</t>
  </si>
  <si>
    <t>Busia Airport, Kisumu - Busia Road, Lwero, Ang'orom ward, Teso South, Busia, Western, Kenya</t>
  </si>
  <si>
    <t>0.46406 , 34.10365</t>
  </si>
  <si>
    <t>0.45164 , 34.13439</t>
  </si>
  <si>
    <t>00:15:32</t>
  </si>
  <si>
    <t>-1.13024 , 36.984</t>
  </si>
  <si>
    <t>-1.21902 , 36.89216</t>
  </si>
  <si>
    <t>Mombasa Road, South C ward, Mlolongo, Matathani ward, Mavoko, Machakos, Eastern, 00603, Kenya</t>
  </si>
  <si>
    <t>-1.41883 , 36.95339</t>
  </si>
  <si>
    <t>-1.42017 , 36.95411</t>
  </si>
  <si>
    <t>-2.45694 , 37.98094</t>
  </si>
  <si>
    <t>-2.45733 , 37.98136</t>
  </si>
  <si>
    <t>Mombasa Road, Kibwezi East, Makueni, Eastern, Kenya</t>
  </si>
  <si>
    <t>-2.54992 , 38.03889</t>
  </si>
  <si>
    <t>-2.55008 , 38.03919</t>
  </si>
  <si>
    <t>-1.80986 , 37.22351</t>
  </si>
  <si>
    <t>-1.8097 , 37.22338</t>
  </si>
  <si>
    <t>00:00:37</t>
  </si>
  <si>
    <t>Nakuru - Eldoret Road, Twin Peak, Kamara ward, Kuresoi North, Nakuru, Rift Valley, KE</t>
  </si>
  <si>
    <t>-0.2050, 35.7241</t>
  </si>
  <si>
    <t>-0.2128, 35.7276</t>
  </si>
  <si>
    <t>Kakamega-Kitale Road, Kiminini, Trans-Nzoia County, Rift Valley, KE</t>
  </si>
  <si>
    <t>0.8712, 34.8859</t>
  </si>
  <si>
    <t>0.8682, 34.8801</t>
  </si>
  <si>
    <t>-0.3015, 35.1634</t>
  </si>
  <si>
    <t>-0.2883, 35.1632</t>
  </si>
  <si>
    <t>00:00:34</t>
  </si>
  <si>
    <t>Eldoret-Malaba Road, Gatimu sublocation, Sigona ward, Kikuyu, Kiambu, 00217, KE</t>
  </si>
  <si>
    <t>Eldoret-Malaba Road, Kiambaa, Muguga ward, Kabete, Kiambu, KE</t>
  </si>
  <si>
    <t>-1.1801, 36.6442</t>
  </si>
  <si>
    <t>-1.1885, 36.6483</t>
  </si>
  <si>
    <t>-1.1782, 36.6432</t>
  </si>
  <si>
    <t>-1.1883, 36.6481</t>
  </si>
  <si>
    <t>-1.5221, 37.1162</t>
  </si>
  <si>
    <t>-1.5128, 37.1018</t>
  </si>
  <si>
    <t>00:02:34</t>
  </si>
  <si>
    <t>-0.9215, 36.5259</t>
  </si>
  <si>
    <t>-0.9470, 36.5472</t>
  </si>
  <si>
    <t>Mombasa Road, Maji ya Chumvi, Mwavumbo ward, Kinango, Kwale, Coast, KE</t>
  </si>
  <si>
    <t>Mombasa Road, Mariakani, Kaloleni, Kilifi County, Coast, KE</t>
  </si>
  <si>
    <t>-3.7880, 39.3724</t>
  </si>
  <si>
    <t>-3.7935, 39.3851</t>
  </si>
  <si>
    <t>-0.34157 , 36.1687</t>
  </si>
  <si>
    <t>-0.34164 , 36.16878</t>
  </si>
  <si>
    <t>-0.36322 , 36.20902</t>
  </si>
  <si>
    <t>-0.36331 , 36.20912</t>
  </si>
  <si>
    <t>-1.21532 , 36.89582</t>
  </si>
  <si>
    <t>-1.2144 , 36.89708</t>
  </si>
  <si>
    <t>Harsh acceleration</t>
  </si>
  <si>
    <t>Waiyaki Way, Highridge sublocation, Highridge location, Highridge division, Westlands, Nairobi, 00400, Kenya</t>
  </si>
  <si>
    <t>-1.27165 , 36.80861</t>
  </si>
  <si>
    <t>Bungoma</t>
  </si>
  <si>
    <t>Kakamega-Kitale Road, Kamukuywa ward, Kimilili, Bungoma, Western, Kenya</t>
  </si>
  <si>
    <t>0.78145 , 34.79659</t>
  </si>
  <si>
    <t>0.7815 , 34.79675</t>
  </si>
  <si>
    <t>-1.13568 , 36.97161</t>
  </si>
  <si>
    <t>-1.13602 , 36.97141</t>
  </si>
  <si>
    <t>D421, Murang`a South, Murang`a, Central Kenya, Kenya</t>
  </si>
  <si>
    <t>-0.77775 , 37.1105</t>
  </si>
  <si>
    <t>-0.77778 , 37.11025</t>
  </si>
  <si>
    <t>C73, Kiaga, Kirinyaga Central, Kirinyaga, Central Kenya, Kenya</t>
  </si>
  <si>
    <t>-0.58946 , 37.28069</t>
  </si>
  <si>
    <t>-0.58914 , 37.28143</t>
  </si>
  <si>
    <t>00:35:44</t>
  </si>
  <si>
    <t>Kericho-Kisumu Highway, Kaitui, Soliat ward, Sigowet/Soin, Kericho, Rift Valley, Kenya</t>
  </si>
  <si>
    <t>Kericho-Kisumu Highway, Kapsoit, Kapsoit ward, Belgut, Kericho, Rift Valley, 20205, Kenya</t>
  </si>
  <si>
    <t>-0.2911 , 35.16381</t>
  </si>
  <si>
    <t>-0.34744 , 35.2422</t>
  </si>
  <si>
    <t>-0.29324 , 35.164</t>
  </si>
  <si>
    <t>-0.29261 , 35.16394</t>
  </si>
  <si>
    <t>Nyeri-Nyahururu Road, Lasit, Subukia ward, Subukia, Nakuru, Rift Valley, Kenya</t>
  </si>
  <si>
    <t>-0.03862 , 36.19274</t>
  </si>
  <si>
    <t>-0.03767 , 36.19411</t>
  </si>
  <si>
    <t>-0.01283 , 36.21944</t>
  </si>
  <si>
    <t>-0.01273 , 36.21962</t>
  </si>
  <si>
    <t>00:19:58</t>
  </si>
  <si>
    <t>-1.07166 , 36.60208</t>
  </si>
  <si>
    <t>-1.11037 , 36.61359</t>
  </si>
  <si>
    <t>00:01:07</t>
  </si>
  <si>
    <t>Gilgil-Nyahururu Road, Ol Kalou, Ol Kalou, Nyandarua, 20116, KE</t>
  </si>
  <si>
    <t>-0.3570, 36.3702</t>
  </si>
  <si>
    <t>-0.3733, 36.3678</t>
  </si>
  <si>
    <t>00:01:09</t>
  </si>
  <si>
    <t>Kaplong-Narok-Maai Road, Ololulung'a ward, Narok South, Narok, Rift Valley, KE</t>
  </si>
  <si>
    <t>-1.0235, 35.6827</t>
  </si>
  <si>
    <t>-1.0273, 35.6992</t>
  </si>
  <si>
    <t>0.24985 , 35.40712</t>
  </si>
  <si>
    <t>00:02:09</t>
  </si>
  <si>
    <t>Thika Road, Kasarani sublocation, Nairobi, Kasarani, Nairobi, 00620, Kenya</t>
  </si>
  <si>
    <t>Thika Road, Allsops, Drive In, Nairobi, Kasarani, Nairobi, 00620, Kenya</t>
  </si>
  <si>
    <t>-1.23471 , 36.87339</t>
  </si>
  <si>
    <t>-1.2461 , 36.86587</t>
  </si>
  <si>
    <t>00:19:11</t>
  </si>
  <si>
    <t>Embu-Nairobi Highway, Mutithi, Mwea West, Kirinyaga, Central Kenya, Kenya</t>
  </si>
  <si>
    <t>B6, Kirigi, Mwea East, Kirinyaga, Central Kenya, Kenya</t>
  </si>
  <si>
    <t>-0.74925 , 37.32005</t>
  </si>
  <si>
    <t>-0.66934 , 37.36216</t>
  </si>
  <si>
    <t>-1.23622 , 36.87864</t>
  </si>
  <si>
    <t>Kericho-Kisumu Highway, Kochogo North sublocation, Awasi, Ahero ward, Nyando, Kisumu, Nyanza, Kenya</t>
  </si>
  <si>
    <t>-0.15849 , 34.97226</t>
  </si>
  <si>
    <t>00:02:04</t>
  </si>
  <si>
    <t>Naivasha-Mai Mahiu-Limuru Rd., Social Area, Viwandani ward, Naivasha, Nakuru, Rift Valley, Kenya</t>
  </si>
  <si>
    <t>Naivasha-Mai Mahiu-Limuru Rd., Industrial Area C, Viwandani ward, Naivasha, Nakuru, Rift Valley, Kenya</t>
  </si>
  <si>
    <t>-0.71402 , 36.43037</t>
  </si>
  <si>
    <t>-0.70592 , 36.42683</t>
  </si>
  <si>
    <t>Naivasha-Mai Mahiu-Limuru Rd., Longonot sublocation, Longonot, Mai Mahiu ward, Naivasha, Nakuru, Rift Valley, Kenya</t>
  </si>
  <si>
    <t>-0.88775 , 36.50084</t>
  </si>
  <si>
    <t>-0.88829 , 36.50112</t>
  </si>
  <si>
    <t>Elgeyo Marakwet Road, Kilimani sublocation, Kilimani location, Kilimani ward, Nairobi, Kilimani division, Westlands, Nairobi, 44847, Kenya</t>
  </si>
  <si>
    <t>-1.29798 , 36.77971</t>
  </si>
  <si>
    <t>B6, Mutithi, Mwea West, Kirinyaga, Central Kenya, Kenya</t>
  </si>
  <si>
    <t>-0.69237 , 37.3418</t>
  </si>
  <si>
    <t>-0.69223 , 37.34215</t>
  </si>
  <si>
    <t>00:06:21</t>
  </si>
  <si>
    <t>Lusaka Road, Kaloleni sublocation, Makongeni ward, Makadara subcounty, Nairobi, 00101, Kenya</t>
  </si>
  <si>
    <t>Muthurwa Bus Station, Factory Street, Muthurwa, Muthurwa sublocation, Kamukunji location, Nairobi, CBD division, Starehe, Nairobi, 00300, Kenya</t>
  </si>
  <si>
    <t>-1.29334 , 36.84074</t>
  </si>
  <si>
    <t>-1.28824 , 36.83428</t>
  </si>
  <si>
    <t>00:12:38</t>
  </si>
  <si>
    <t>Factory Street, Muthurwa, Muthurwa sublocation, Kamukunji location, Nairobi, CBD division, Starehe, Nairobi, 00101, Kenya</t>
  </si>
  <si>
    <t>Total Energies - Opposite Garden City</t>
  </si>
  <si>
    <t>-1.28984 , 36.8376</t>
  </si>
  <si>
    <t>-1.23433 , 36.8732</t>
  </si>
  <si>
    <t>02:30:11</t>
  </si>
  <si>
    <t>B6, Kimbimbi, Mwea East, Kirinyaga, Central Kenya, Kenya</t>
  </si>
  <si>
    <t>Naivas Supermarket, Githurai Branch., Mwihoko Road, Central Business District, Ruiru, Kiambu, Central Kenya, 00608, Kenya</t>
  </si>
  <si>
    <t>-0.58241 , 37.35276</t>
  </si>
  <si>
    <t>-1.20544 , 36.91768</t>
  </si>
  <si>
    <t>Thika Road, Kahawa Wendani, Kahawa Wendani ward, Ruiru, Kiambu, Central Kenya, 00608, Kenya</t>
  </si>
  <si>
    <t>-1.19892 , 36.92136</t>
  </si>
  <si>
    <t>-1.19994 , 36.92033</t>
  </si>
  <si>
    <t>-1.21986 , 36.89417</t>
  </si>
  <si>
    <t>DHL-Kasarani; DHL KASARANI</t>
  </si>
  <si>
    <t>-1.22275 , 36.90978</t>
  </si>
  <si>
    <t>Thika Road, Kalimoni ward, Juja, Kiambu, Central Kenya, 01001, Kenya</t>
  </si>
  <si>
    <t>-1.11353 , 37.01172</t>
  </si>
  <si>
    <t>-1.11269 , 37.012</t>
  </si>
  <si>
    <t>Thika Road, Witeithie ward, Juja, Kiambu, Central Kenya, 01000, Kenya</t>
  </si>
  <si>
    <t>Thika Road, Thika Township ward, Thika Town, Kiambu, Central Kenya, 01000, Kenya</t>
  </si>
  <si>
    <t>-1.06233 , 37.05361</t>
  </si>
  <si>
    <t>-1.06106 , 37.05406</t>
  </si>
  <si>
    <t>00:09:27</t>
  </si>
  <si>
    <t>Ring Road, City Centre, City Centre sublocation, Starehe location, Nairobi, CBD division, Starehe, Nairobi, 00300, Kenya</t>
  </si>
  <si>
    <t>-1.28117 , 36.83256</t>
  </si>
  <si>
    <t>-1.23444 , 36.87333</t>
  </si>
  <si>
    <t>00:00:17</t>
  </si>
  <si>
    <t>Nairobi Road, Tegat, Ngata sublocation, Sobea Highway, Mosop ward, Rongai, Nakuru, Rift Valley, Kenya</t>
  </si>
  <si>
    <t>-0.24553 , 35.93842</t>
  </si>
  <si>
    <t>-0.24536 , 35.93661</t>
  </si>
  <si>
    <t>00:42:29</t>
  </si>
  <si>
    <t>Nairobi Expressway, Mlolongo, Syokimau-Mulolongo ward, Mavoko, Machakos, Eastern, 74416, Kenya</t>
  </si>
  <si>
    <t>-1.37956 , 36.928</t>
  </si>
  <si>
    <t>-1.23447 , 36.87331</t>
  </si>
  <si>
    <t>Meru-Nairobi Highway, Kenol, Murang`a South, Murang`a, Central Kenya, 01000, Kenya</t>
  </si>
  <si>
    <t>-0.94522 , 37.12092</t>
  </si>
  <si>
    <t>Lunga Lunga Rd., Viwandani, Viwandani ward, Makadara subcounty, Nairobi, 00507, Kenya</t>
  </si>
  <si>
    <t>-1.309 , 36.86172</t>
  </si>
  <si>
    <t>-1.30894 , 36.862</t>
  </si>
  <si>
    <t>-1.22236 , 36.90894</t>
  </si>
  <si>
    <t>-1.9618, 37.3149</t>
  </si>
  <si>
    <t>-1.9797, 37.3356</t>
  </si>
  <si>
    <t>Mombasa Road, Simba, Kenyawa-Poka ward, Kajiado East, Kajiado County, KE</t>
  </si>
  <si>
    <t>-2.1417, 37.5681</t>
  </si>
  <si>
    <t>-2.1534, 37.5842</t>
  </si>
  <si>
    <t>00:01:59</t>
  </si>
  <si>
    <t>-0.2364, 35.9106</t>
  </si>
  <si>
    <t>-0.2246, 35.8868</t>
  </si>
  <si>
    <t>Nakuru - Eldoret Road, Equator, Eldama Ravine, Baringo, Rift Valley, KE</t>
  </si>
  <si>
    <t>-0.0104, 35.5463</t>
  </si>
  <si>
    <t>-0.0090, 35.5522</t>
  </si>
  <si>
    <t>kwa kyatha, Mombasa Road, Salama, Kilome, Makueni, KE</t>
  </si>
  <si>
    <t>Mombasa Road, Salama, Kilome, Makueni, KE</t>
  </si>
  <si>
    <t>-1.7718, 37.2093</t>
  </si>
  <si>
    <t>-1.7633, 37.2063</t>
  </si>
  <si>
    <t>00:01:27</t>
  </si>
  <si>
    <t>Maanzoni Conservancy, A8, Kinanie ward, Mavoko, Machakos County, KE</t>
  </si>
  <si>
    <t>-1.5268, 37.1239</t>
  </si>
  <si>
    <t>-1.5165, 37.1076</t>
  </si>
  <si>
    <t>Mombasa Road, Maji ya Chumvi, Mwavumbo ward, Kinango, Kwale, KE</t>
  </si>
  <si>
    <t>Mombasa Road, Mariakani, Kaloleni, Kilifi County, KE</t>
  </si>
  <si>
    <t>-3.7882, 39.3703</t>
  </si>
  <si>
    <t>-3.7933, 39.3845</t>
  </si>
  <si>
    <t>-1.5788, 37.1562</t>
  </si>
  <si>
    <t>-1.5930, 37.1632</t>
  </si>
  <si>
    <t>00:02:17</t>
  </si>
  <si>
    <t>Nairobi-Nakuru Road, Tallstation, Malewa West ward, Gilgil, Nakuru, Rift Valley, KE</t>
  </si>
  <si>
    <t>-0.6198, 36.3852</t>
  </si>
  <si>
    <t>-0.6484, 36.3869</t>
  </si>
  <si>
    <t>-1.8178, 37.2370</t>
  </si>
  <si>
    <t>-1.8299, 37.2432</t>
  </si>
  <si>
    <t>A23, Bura Station, Mwatate, Taita–Taveta, KE</t>
  </si>
  <si>
    <t>-3.4913, 38.2476</t>
  </si>
  <si>
    <t>-3.5016, 38.2530</t>
  </si>
  <si>
    <t>00:00:39</t>
  </si>
  <si>
    <t>-1.8219, 37.2390</t>
  </si>
  <si>
    <t>-1.8299, 37.2431</t>
  </si>
  <si>
    <t>-1.0804, 37.0433</t>
  </si>
  <si>
    <t>-1.0888, 37.0360</t>
  </si>
  <si>
    <t>00:01:10</t>
  </si>
  <si>
    <t>-1.8753, 37.2647</t>
  </si>
  <si>
    <t>-1.8909, 37.2671</t>
  </si>
  <si>
    <t>Eldoret-Nakuru Road, Tarakwa ward, Kesses, Uasin Gishu County, KE</t>
  </si>
  <si>
    <t>0.0997, 35.4923</t>
  </si>
  <si>
    <t>0.0992, 35.4881</t>
  </si>
  <si>
    <t>-2.416 , 37.95988</t>
  </si>
  <si>
    <t>-2.41606 , 37.95993</t>
  </si>
  <si>
    <t>Thika Road, Murera ward, Juja, Kiambu, Central Kenya, 01001, Kenya</t>
  </si>
  <si>
    <t>-1.13478 , 36.97206</t>
  </si>
  <si>
    <t>00:00:31</t>
  </si>
  <si>
    <t>Embu-Nairobi Highway, Mbeere South, Embu, Eastern, Kenya</t>
  </si>
  <si>
    <t>A2, Manaja ward, Masinga, Machakos, Eastern, Kenya</t>
  </si>
  <si>
    <t>-0.78293 , 37.26839</t>
  </si>
  <si>
    <t>-0.78838 , 37.26834</t>
  </si>
  <si>
    <t>Laikipia</t>
  </si>
  <si>
    <t>Nyeri-Nyahururu Road, Kiawara, Laikipia East, Laikipia, Rift Valley, Kenya</t>
  </si>
  <si>
    <t>-0.11475 , 36.68758</t>
  </si>
  <si>
    <t>-0.11323 , 36.68652</t>
  </si>
  <si>
    <t>Garissa Road, Maguguni, Ngoliba ward, Thika Town, Kiambu, Central Kenya, 01000, Kenya</t>
  </si>
  <si>
    <t>-1.06192 , 37.29002</t>
  </si>
  <si>
    <t>-1.20336 , 36.91733</t>
  </si>
  <si>
    <t>-1.20428 , 36.91667</t>
  </si>
  <si>
    <t>B14, Soy, Soy ward, Soy, Uasin Gishu, Rift Valley, Kenya</t>
  </si>
  <si>
    <t>Eldoret-Kitale Road, Maili Tisa, Longisa, Kiplombe ward, Turbo, Uasin Gishu, Rift Valley, Kenya</t>
  </si>
  <si>
    <t>0.66873 , 35.16299</t>
  </si>
  <si>
    <t>0.66821 , 35.16317</t>
  </si>
  <si>
    <t>C73, Sagana, Kirinyaga West, Kirinyaga, Central Kenya, Kenya</t>
  </si>
  <si>
    <t>-0.64703 , 37.22789</t>
  </si>
  <si>
    <t>-0.64693 , 37.22806</t>
  </si>
  <si>
    <t>B14, Soy, Kipsomba ward, Soy, Uasin Gishu, Rift Valley, Kenya</t>
  </si>
  <si>
    <t>0.72094 , 35.15897</t>
  </si>
  <si>
    <t>0.72139 , 35.15889</t>
  </si>
  <si>
    <t>Trans Nzoia</t>
  </si>
  <si>
    <t>Eldoret-Kitale Road, Kitale, Saboti, Trans Nzoia, Rift Valley, 30200, Kenya</t>
  </si>
  <si>
    <t>0.98225 , 35.02433</t>
  </si>
  <si>
    <t>0.98225 , 35.02475</t>
  </si>
  <si>
    <t>Eldoret-Kitale Road, Kitale, Kiminini, Trans Nzoia, Rift Valley, 30200, Kenya</t>
  </si>
  <si>
    <t>0.97714 , 35.04667</t>
  </si>
  <si>
    <t>0.97567 , 35.04758</t>
  </si>
  <si>
    <t>Eldoret-Kitale Road, Kipsomba ward, Soy, Uasin Gishu, Rift Valley, Kenya</t>
  </si>
  <si>
    <t>0.74369 , 35.14878</t>
  </si>
  <si>
    <t>0.74275 , 35.14964</t>
  </si>
  <si>
    <t>0.17903 , 35.45536</t>
  </si>
  <si>
    <t>0.17869 , 35.45558</t>
  </si>
  <si>
    <t>0.17708 , 35.45681</t>
  </si>
  <si>
    <t>0.17639 , 35.45733</t>
  </si>
  <si>
    <t>-0.87192 , 36.48414</t>
  </si>
  <si>
    <t>-1.02886 , 36.6025</t>
  </si>
  <si>
    <t>-1.02936 , 36.60244</t>
  </si>
  <si>
    <t>Ngong Road, Lenana sublocation, Karen ward, Lang'ata, Nairobi, Dagoretti, Nairobi, 00505, Kenya</t>
  </si>
  <si>
    <t>-1.31017 , 36.72564</t>
  </si>
  <si>
    <t>-1.31011 , 36.72575</t>
  </si>
  <si>
    <t>Likoni Road, Diamond Park Estate, South B, Nairobi South ward, Nairobi, Starehe, Nairobi, 00507, Kenya</t>
  </si>
  <si>
    <t>-1.31969 , 36.85142</t>
  </si>
  <si>
    <t>Kakamega-Kitale Road, Kitale, Saboti, Trans Nzoia, Rift Valley, 30200, Kenya</t>
  </si>
  <si>
    <t>1.007 , 35.00867</t>
  </si>
  <si>
    <t>Waiyaki Way, Brookside, Upper Parklands sublocation, Parklands location, Nairobi, Highridge division, Westlands, Nairobi, 97104, Kenya</t>
  </si>
  <si>
    <t>-1.26322 , 36.80114</t>
  </si>
  <si>
    <t>-1.26347 , 36.80133</t>
  </si>
  <si>
    <t>Limuru Road, Redhill, Kabuku, Ndenderu ward, Kiambaa, Kiambu, Central Kenya, 00217, Kenya</t>
  </si>
  <si>
    <t>Kianjogu, Ndenderu, Ndenderu ward, Kiambaa, Kiambu, Central Kenya, Kenya</t>
  </si>
  <si>
    <t>-1.17878 , 36.72375</t>
  </si>
  <si>
    <t>-1.17892 , 36.72394</t>
  </si>
  <si>
    <t>00:02:30</t>
  </si>
  <si>
    <t>-1.9030, 37.2750</t>
  </si>
  <si>
    <t>-1.9314, 37.2934</t>
  </si>
  <si>
    <t>-1.1808, 36.6446</t>
  </si>
  <si>
    <t>-1.1866, 36.6475</t>
  </si>
  <si>
    <t>00:04:10</t>
  </si>
  <si>
    <t>-0.9035, 36.5123</t>
  </si>
  <si>
    <t>-0.9441, 36.5448</t>
  </si>
  <si>
    <t>00:01:29</t>
  </si>
  <si>
    <t>-1.5055, 37.0902</t>
  </si>
  <si>
    <t>-1.4969, 37.0732</t>
  </si>
  <si>
    <t>-1.5819, 37.1578</t>
  </si>
  <si>
    <t>-1.5919, 37.1626</t>
  </si>
  <si>
    <t>00:01:40</t>
  </si>
  <si>
    <t>-0.3046, 35.1898</t>
  </si>
  <si>
    <t>-0.3082, 35.1690</t>
  </si>
  <si>
    <t>-1.5232, 37.1180</t>
  </si>
  <si>
    <t>-1.5150, 37.1052</t>
  </si>
  <si>
    <t>-1.5801, 37.1568</t>
  </si>
  <si>
    <t>-1.5901, 37.1618</t>
  </si>
  <si>
    <t>00:00:54</t>
  </si>
  <si>
    <t>-3.7881, 39.3732</t>
  </si>
  <si>
    <t>-3.7935, 39.3852</t>
  </si>
  <si>
    <t>-0.1674, 35.6668</t>
  </si>
  <si>
    <t>-0.1681, 35.6545</t>
  </si>
  <si>
    <t>Kakamega-Kitale Road, Milima ward, Tongaren, Bungoma County, Western, KE</t>
  </si>
  <si>
    <t>0.7843, 34.8053</t>
  </si>
  <si>
    <t>0.7829, 34.8011</t>
  </si>
  <si>
    <t>Mombasa Road, Kinanie ward, Mavoko, Machakos County, KE</t>
  </si>
  <si>
    <t>-1.4818, 37.0464</t>
  </si>
  <si>
    <t>-1.4786, 37.0408</t>
  </si>
  <si>
    <t>Mombasa Road, Samburu/Chengoni ward, Kinango, Kwale, KE</t>
  </si>
  <si>
    <t>Mombasa Road, Maungu, Voi, Taita–Taveta, KE</t>
  </si>
  <si>
    <t>-3.7423, 39.0931</t>
  </si>
  <si>
    <t>-3.7433, 39.0778</t>
  </si>
  <si>
    <t>-0.1685, 35.6623</t>
  </si>
  <si>
    <t>-0.1651, 35.6456</t>
  </si>
  <si>
    <t>00:00:45</t>
  </si>
  <si>
    <t>Kisumu Road, Ngeria ward, Kapseret, Uasin Gishu County, KE</t>
  </si>
  <si>
    <t>0.3961, 35.2070</t>
  </si>
  <si>
    <t>0.3933, 35.1965</t>
  </si>
  <si>
    <t>Mombasa Road, South C ward, Mlolongo, Syokimau-Mulolongo ward, Mavoko, Machakos, Eastern, 00603, Kenya</t>
  </si>
  <si>
    <t>-1.40439 , 36.9456</t>
  </si>
  <si>
    <t>-1.40454 , 36.94568</t>
  </si>
  <si>
    <t>01:33:34</t>
  </si>
  <si>
    <t>-1.05284 , 36.6017</t>
  </si>
  <si>
    <t>-0.14941 , 35.49399</t>
  </si>
  <si>
    <t>-0.14942 , 35.49417</t>
  </si>
  <si>
    <t>A2, Mwea West, Kirinyaga, Central Kenya, Kenya</t>
  </si>
  <si>
    <t>-0.74916 , 37.27652</t>
  </si>
  <si>
    <t>-0.74876 , 37.27649</t>
  </si>
  <si>
    <t>00:00:38</t>
  </si>
  <si>
    <t>C71, Kenol, Murang`a South, Murang`a, Central Kenya, Kenya</t>
  </si>
  <si>
    <t>-0.92741 , 37.12603</t>
  </si>
  <si>
    <t>-0.9228 , 37.12674</t>
  </si>
  <si>
    <t>00:41:08</t>
  </si>
  <si>
    <t>Meru-Nairobi Highway, Kenol, Gatanga, Murang`a, Central Kenya, 01000, Kenya</t>
  </si>
  <si>
    <t>-1.01244 , 37.07453</t>
  </si>
  <si>
    <t>-1.21911 , 36.89208</t>
  </si>
  <si>
    <t>00:02:50</t>
  </si>
  <si>
    <t>Tusker Village, Kasarani sublocation, Ruaraka, Nairobi, Kasarani, Nairobi, 00620, Kenya</t>
  </si>
  <si>
    <t>KBL FACTORY</t>
  </si>
  <si>
    <t>-1.22983 , 36.88006</t>
  </si>
  <si>
    <t>-1.23572 , 36.88117</t>
  </si>
  <si>
    <t>C71, Kenol, Kandara, Murang`a, Central Kenya, Kenya</t>
  </si>
  <si>
    <t>-0.91911 , 37.12703</t>
  </si>
  <si>
    <t>Thika Road, Kasarani sublocation, Ruaraka, Nairobi, Kasarani, Nairobi, 00620, Kenya</t>
  </si>
  <si>
    <t>-1.23822 , 36.87086</t>
  </si>
  <si>
    <t>00:38:56</t>
  </si>
  <si>
    <t>-1.00833 , 37.07694</t>
  </si>
  <si>
    <t>-1.21903 , 36.89217</t>
  </si>
  <si>
    <t>-1.77586 , 37.21061</t>
  </si>
  <si>
    <t>-1.7755 , 37.2105</t>
  </si>
  <si>
    <t>Kajiado</t>
  </si>
  <si>
    <t>Mombasa Road, Emali, Kibwezi West, Makueni, Eastern, Kenya</t>
  </si>
  <si>
    <t>-2.08125 , 37.47667</t>
  </si>
  <si>
    <t>-2.08108 , 37.47644</t>
  </si>
  <si>
    <t>Mombasa Road, Thange, Kibwezi West, Makueni, Eastern, Kenya</t>
  </si>
  <si>
    <t>-2.35847 , 37.89083</t>
  </si>
  <si>
    <t>Mombasa Road, Mariakani ward, Kaloleni, Kilifi, Coastal Kenya, Kenya</t>
  </si>
  <si>
    <t>-3.89483 , 39.50142</t>
  </si>
  <si>
    <t>-3.89419 , 39.50133</t>
  </si>
  <si>
    <t>Mombasa Road, Mackinnon Road, Mackinon Road ward, Voi, Kwale, Coastal Kenya, Kenya</t>
  </si>
  <si>
    <t>-3.60567 , 38.83136</t>
  </si>
  <si>
    <t>-3.60503 , 38.83017</t>
  </si>
  <si>
    <t>Mombasa Road, Makindu, Kibwezi West, Makueni, Eastern, Kenya</t>
  </si>
  <si>
    <t>-2.29336 , 37.83161</t>
  </si>
  <si>
    <t>-2.29261 , 37.83094</t>
  </si>
  <si>
    <t>01:09:31</t>
  </si>
  <si>
    <t>DHL KASARANI</t>
  </si>
  <si>
    <t>-1.40167 , 36.94367</t>
  </si>
  <si>
    <t>-1.22325 , 36.91094</t>
  </si>
  <si>
    <t>-0.9514, 36.5506</t>
  </si>
  <si>
    <t>-0.9705, 36.5712</t>
  </si>
  <si>
    <t>00:01:38</t>
  </si>
  <si>
    <t>Kisii-Kisumu Road, East Kadiang'a sublocation, Kabongo Kamuoso, South East Nyakach ward, Nyakach, Kisumu County, Nyanza, KE</t>
  </si>
  <si>
    <t>Kisii-Kisumu Road, Thim, Kandaria sublocation, Dol, Central Nyakach ward, Nyakach, Kisumu County, Nyanza, KE</t>
  </si>
  <si>
    <t>-0.3693, 35.0011</t>
  </si>
  <si>
    <t>-0.3476, 35.0034</t>
  </si>
  <si>
    <t>-1.5793, 37.1565</t>
  </si>
  <si>
    <t>-1.5932, 37.1633</t>
  </si>
  <si>
    <t>-1.5823, 37.1579</t>
  </si>
  <si>
    <t>-1.5923, 37.1628</t>
  </si>
  <si>
    <t>-3.7881, 39.3716</t>
  </si>
  <si>
    <t>-3.7930, 39.3838</t>
  </si>
  <si>
    <t>-1.9026, 37.2747</t>
  </si>
  <si>
    <t>-1.9153, 37.2829</t>
  </si>
  <si>
    <t>00:00:30</t>
  </si>
  <si>
    <t>-1.8217, 37.2389</t>
  </si>
  <si>
    <t>-1.8281, 37.2421</t>
  </si>
  <si>
    <t>-0.3619, 35.0047</t>
  </si>
  <si>
    <t>-0.3489, 35.0032</t>
  </si>
  <si>
    <t>00:01:16</t>
  </si>
  <si>
    <t>Mombasa Road, Kibwezi East, Makueni, KE</t>
  </si>
  <si>
    <t>-2.8889, 38.3543</t>
  </si>
  <si>
    <t>-2.9020, 38.3642</t>
  </si>
  <si>
    <t>00:01:08</t>
  </si>
  <si>
    <t>-1.5151, 37.1054</t>
  </si>
  <si>
    <t>00:12:11</t>
  </si>
  <si>
    <t>Thika Road, Kiwanja, Gatongora ward, Ruiru, Kiambu, Central Kenya, 00608, Kenya</t>
  </si>
  <si>
    <t>-1.17127 , 36.94881</t>
  </si>
  <si>
    <t>-1.21906 , 36.89222</t>
  </si>
  <si>
    <t>-1.15471 , 36.67396</t>
  </si>
  <si>
    <t>-1.07133 , 37.30492</t>
  </si>
  <si>
    <t>-0.92402 , 37.12668</t>
  </si>
  <si>
    <t>-0.92385 , 37.1267</t>
  </si>
  <si>
    <t>-1.68403 , 37.19529</t>
  </si>
  <si>
    <t>-1.68419 , 37.1953</t>
  </si>
  <si>
    <t>Mombasa Road, Emali, Kilome, Makueni, Eastern, Kenya</t>
  </si>
  <si>
    <t>-2.0292 , 37.39011</t>
  </si>
  <si>
    <t>-2.02915 , 37.39006</t>
  </si>
  <si>
    <t>-1.22039 , 36.89052</t>
  </si>
  <si>
    <t>-1.22 , 36.89092</t>
  </si>
  <si>
    <t>-0.48353 , 37.13039</t>
  </si>
  <si>
    <t>-0.48356 , 37.13056</t>
  </si>
  <si>
    <t>Eldoret-Nakuru Road, Ainabkoi/Olare ward, Ainabkoi, Uasin Gishu, Rift Valley, Kenya</t>
  </si>
  <si>
    <t>A8, Ainabkoi/Olare ward, Ainabkoi, Uasin Gishu, Rift Valley, Kenya</t>
  </si>
  <si>
    <t>0.13864 , 35.46709</t>
  </si>
  <si>
    <t>0.14033 , 35.4678</t>
  </si>
  <si>
    <t>-1.4095 , 36.94836</t>
  </si>
  <si>
    <t>-1.41006 , 36.94867</t>
  </si>
  <si>
    <t>Mombasa Road, Matathani ward, Mavoko, Machakos, Eastern, Kenya</t>
  </si>
  <si>
    <t>Athi River ward, Mavoko, Machakos, Eastern, Kenya</t>
  </si>
  <si>
    <t>-1.43517 , 36.97144</t>
  </si>
  <si>
    <t>-1.44072 , 36.98267</t>
  </si>
  <si>
    <t>00:00:36</t>
  </si>
  <si>
    <t>Mombasa Road, Athi River ward, Mavoko, Machakos, Eastern, Kenya</t>
  </si>
  <si>
    <t>-1.44925 , 36.99892</t>
  </si>
  <si>
    <t>-1.45606 , 37.00403</t>
  </si>
  <si>
    <t>A8, Kinanie ward, Mavoko, Machakos, Eastern, Kenya</t>
  </si>
  <si>
    <t>-1.46897 , 37.02372</t>
  </si>
  <si>
    <t>-1.47564 , 37.03597</t>
  </si>
  <si>
    <t>-1.47978 , 37.04367</t>
  </si>
  <si>
    <t>-1.48194 , 37.047</t>
  </si>
  <si>
    <t>-1.42725 , 36.95933</t>
  </si>
  <si>
    <t>-1.42644 , 36.95856</t>
  </si>
  <si>
    <t>Kericho-Kisumu Highway, Londiani Junction, Chepseon, Chepseon ward, Kipkelion East, Kericho, Rift Valley, 20200, Kenya</t>
  </si>
  <si>
    <t>-0.26639 , 35.44806</t>
  </si>
  <si>
    <t>-0.26636 , 35.44848</t>
  </si>
  <si>
    <t>-1.25803 , 36.84953</t>
  </si>
  <si>
    <t>Waiyaki Way, Uthiru ward, Kabete, Kiambu, Central Kenya, 00505, Kenya</t>
  </si>
  <si>
    <t>-1.26022 , 36.71997</t>
  </si>
  <si>
    <t>Nairobi-Nakuru Road, Loresho sublocation, Kitisuru location, Kitisuru ward, Kangemi division, Westlands, Nairobi, Kabete, Nairobi, 00505, Kenya</t>
  </si>
  <si>
    <t>-1.26308 , 36.72861</t>
  </si>
  <si>
    <t>-1.14619 , 36.96344</t>
  </si>
  <si>
    <t>-1.14716 , 36.96305</t>
  </si>
  <si>
    <t>Manaja ward, Masinga, Machakos, Eastern, Kenya</t>
  </si>
  <si>
    <t>-0.84516 , 37.23248</t>
  </si>
  <si>
    <t>-0.8437 , 37.23225</t>
  </si>
  <si>
    <t>-0.30105 , 35.40883</t>
  </si>
  <si>
    <t>-0.3016 , 35.40811</t>
  </si>
  <si>
    <t>-0.16569 , 35.64873</t>
  </si>
  <si>
    <t>-0.16543 , 35.64766</t>
  </si>
  <si>
    <t>Kericho-Kisumu Highway, Soliat ward, Sigowet/Soin, Kericho, Rift Valley, Kenya</t>
  </si>
  <si>
    <t>-0.27699 , 35.16159</t>
  </si>
  <si>
    <t>-0.27659 , 35.16174</t>
  </si>
  <si>
    <t>-1.9626, 37.3155</t>
  </si>
  <si>
    <t>-1.9806, 37.3367</t>
  </si>
  <si>
    <t>-0.2154, 35.1533</t>
  </si>
  <si>
    <t>-0.2093, 35.1523</t>
  </si>
  <si>
    <t>-1.5041, 37.0882</t>
  </si>
  <si>
    <t>-1.4968, 37.0726</t>
  </si>
  <si>
    <t>-0.57434 , 36.3634</t>
  </si>
  <si>
    <t>-0.5744 , 36.36345</t>
  </si>
  <si>
    <t>-0.88935 , 36.50159</t>
  </si>
  <si>
    <t>Geoffery Kamau Avenue, Milimani Estate, Afraha sublocation, Railways Quaters, London ward, Nakuru West, Nakuru, Rift Valley, 20100, Kenya</t>
  </si>
  <si>
    <t>-0.28473 , 36.06548</t>
  </si>
  <si>
    <t>00:00:22</t>
  </si>
  <si>
    <t>-0.20468 , 35.8053</t>
  </si>
  <si>
    <t>-0.20469 , 35.80716</t>
  </si>
  <si>
    <t>-1.1291 , 36.99766</t>
  </si>
  <si>
    <t>-1.12934 , 36.99648</t>
  </si>
  <si>
    <t>Thika Road, Clay City sublocation, Kasarani, Mwiki ward, Ruiru, Kiambu, Central Kenya, 00608, Kenya</t>
  </si>
  <si>
    <t>-1.20766 , 36.91355</t>
  </si>
  <si>
    <t>-1.20802 , 36.91328</t>
  </si>
  <si>
    <t>-1.2003 , 36.92007</t>
  </si>
  <si>
    <t>00:02:23</t>
  </si>
  <si>
    <t>Thika Road, Clay City sublocation, Clay City ward, Kasarani, Nairobi, 00608, Kenya</t>
  </si>
  <si>
    <t>-1.21894 , 36.89212</t>
  </si>
  <si>
    <t>-1.20916 , 36.91167</t>
  </si>
  <si>
    <t>Thika Road, Kihunguro, Biashara ward, Ruiru, Kiambu, Central Kenya, 01001, Kenya</t>
  </si>
  <si>
    <t>-1.16189 , 36.95808</t>
  </si>
  <si>
    <t>-1.16169 , 36.95814</t>
  </si>
  <si>
    <t>Thika Road, Garden sublocation, Babadogo ward, Kasarani, Nairobi, 00620, Kenya</t>
  </si>
  <si>
    <t>-1.23847 , 36.87061</t>
  </si>
  <si>
    <t>-1.23883 , 36.87044</t>
  </si>
  <si>
    <t>Kisumu-Busia Road, Korando B sublocation, Central Kisumu ward, Kisumu, City of Kisumu, Kisumu West, Kisumu, Nyanza, 40100, Kenya</t>
  </si>
  <si>
    <t>-0.07089 , 34.66819</t>
  </si>
  <si>
    <t>-0.07092 , 34.66767</t>
  </si>
  <si>
    <t>Siaya</t>
  </si>
  <si>
    <t>Kisumu-Busia Highway, Umiru Town C, Yala Township ward, Gem, Siaya, Kenya</t>
  </si>
  <si>
    <t>0.09494 , 34.527</t>
  </si>
  <si>
    <t>0.094 , 34.52861</t>
  </si>
  <si>
    <t>00:00:41</t>
  </si>
  <si>
    <t>Kericho-Kisumu Highway, Kochogo North sublocation, Awasi, Soin ward, Sigowet/Soin, Kericho, Rift Valley, Kenya</t>
  </si>
  <si>
    <t>-0.20525 , 35.15153</t>
  </si>
  <si>
    <t>-0.20969 , 35.15231</t>
  </si>
  <si>
    <t>Old Nairobi Road, Lanet, Free Area, Menengai ward, Nakuru, Nakuru East, Nakuru, Rift Valley, 20100, Kenya</t>
  </si>
  <si>
    <t>-0.29892 , 36.13711</t>
  </si>
  <si>
    <t>00:00:12</t>
  </si>
  <si>
    <t>-0.57286 , 36.36208</t>
  </si>
  <si>
    <t>-0.57375 , 36.36289</t>
  </si>
  <si>
    <t>-1.17908 , 36.64369</t>
  </si>
  <si>
    <t>-1.18022 , 36.64425</t>
  </si>
  <si>
    <t>-1.18267 , 36.64544</t>
  </si>
  <si>
    <t>-3.82083 , 39.42658</t>
  </si>
  <si>
    <t>-3.82039 , 39.42628</t>
  </si>
  <si>
    <t>Mombasa Road, Samburu/Chengoni ward, Kinango, Kwale, Coastal Kenya, Kenya</t>
  </si>
  <si>
    <t>-3.76575 , 39.22408</t>
  </si>
  <si>
    <t>-3.76578 , 39.22386</t>
  </si>
  <si>
    <t>-3.76597 , 39.22272</t>
  </si>
  <si>
    <t>-1.56842 , 37.15119</t>
  </si>
  <si>
    <t>-1.56797 , 37.15103</t>
  </si>
  <si>
    <t>-1.86611 , 37.26458</t>
  </si>
  <si>
    <t>-1.134 , 36.65164</t>
  </si>
  <si>
    <t>-1.13372 , 36.65267</t>
  </si>
  <si>
    <t>Mombasa Road, Wundanyi, Taita Taveta, Coastal Kenya, Kenya</t>
  </si>
  <si>
    <t>-2.97253 , 38.44719</t>
  </si>
  <si>
    <t>-2.97278 , 38.44747</t>
  </si>
  <si>
    <t>-1.5800, 37.1568</t>
  </si>
  <si>
    <t>-1.5942, 37.1637</t>
  </si>
  <si>
    <t>Eldoret-Kitale Road, Moi's Bridge ward, Kiminini, Trans-Nzoia County, KE</t>
  </si>
  <si>
    <t>0.9159, 35.0914</t>
  </si>
  <si>
    <t>0.9058, 35.0956</t>
  </si>
  <si>
    <t>-0.9412, 36.5425</t>
  </si>
  <si>
    <t>-0.9528, 36.5515</t>
  </si>
  <si>
    <t>00:01:43</t>
  </si>
  <si>
    <t>-0.2388, 35.9156</t>
  </si>
  <si>
    <t>-0.2279, 35.8935</t>
  </si>
  <si>
    <t>-1.1745, 36.7140</t>
  </si>
  <si>
    <t>-1.1781, 36.7227</t>
  </si>
  <si>
    <t>Kakamega-Kitale Road, Matulo ward, Webuye West, Bungoma County, Western, KE</t>
  </si>
  <si>
    <t>0.6460, 34.7589</t>
  </si>
  <si>
    <t>0.6379, 34.7576</t>
  </si>
  <si>
    <t>00:00:32</t>
  </si>
  <si>
    <t>0.3953, 35.2058</t>
  </si>
  <si>
    <t>0.3936, 35.1977</t>
  </si>
  <si>
    <t>-1.5791, 37.1563</t>
  </si>
  <si>
    <t>-1.5927, 37.1630</t>
  </si>
  <si>
    <t>00:00:29</t>
  </si>
  <si>
    <t>0.0998, 35.4935</t>
  </si>
  <si>
    <t>0.0990, 35.4864</t>
  </si>
  <si>
    <t>-0.8659, 36.4824</t>
  </si>
  <si>
    <t>-0.8621, 36.4813</t>
  </si>
  <si>
    <t>00:24:14</t>
  </si>
  <si>
    <t>Suswa W/B weighing room &amp; Duty manager's office, Kaplong-Narok-Maai Road, Sattelite sublocation, Kitet B, Mai Mahiu ward, Naivasha, Nakuru, Rift Valley, KE</t>
  </si>
  <si>
    <t>Rubis, Limuru-Maimahiu Road, Mai Mahiu sublocation, Mai Mahiu ward, Naivasha, Nakuru, Rift Valley, 00221, KE</t>
  </si>
  <si>
    <t>-1.0119, 36.4936</t>
  </si>
  <si>
    <t>-0.9842, 36.5878</t>
  </si>
  <si>
    <t>-1.46922 , 37.0236</t>
  </si>
  <si>
    <t>-1.46776 , 37.02092</t>
  </si>
  <si>
    <t>00:01:02</t>
  </si>
  <si>
    <t>-1.46596 , 37.01727</t>
  </si>
  <si>
    <t>-1.46039 , 37.00869</t>
  </si>
  <si>
    <t>00:01:01</t>
  </si>
  <si>
    <t>-1.45191 , 37.00065</t>
  </si>
  <si>
    <t>-1.44452 , 36.9944</t>
  </si>
  <si>
    <t>-1.44299 , 36.98817</t>
  </si>
  <si>
    <t>-1.44213 , 36.98448</t>
  </si>
  <si>
    <t>-1.05933 , 37.14192</t>
  </si>
  <si>
    <t>Kenya Breweries Limited; 1. Zone 12 - Loaded Trucks; KBL FACTORY; Zone 12-Loaded Trucks</t>
  </si>
  <si>
    <t>-1.23702 , 36.87629</t>
  </si>
  <si>
    <t>-0.99895 , 37.08243</t>
  </si>
  <si>
    <t>-0.99938 , 37.08217</t>
  </si>
  <si>
    <t>TONY WEST LIMITED</t>
  </si>
  <si>
    <t>-1.29843 , 36.75933</t>
  </si>
  <si>
    <t>-0.84525 , 37.23246</t>
  </si>
  <si>
    <t>-0.84404 , 37.23232</t>
  </si>
  <si>
    <t>-0.82037 , 37.24067</t>
  </si>
  <si>
    <t>-0.81972 , 37.24146</t>
  </si>
  <si>
    <t>-0.57158 , 37.31509</t>
  </si>
  <si>
    <t>-0.57338 , 37.31317</t>
  </si>
  <si>
    <t>-1.33158 , 36.88786</t>
  </si>
  <si>
    <t>-1.33108 , 36.88719</t>
  </si>
  <si>
    <t>-1.28478 , 36.95669</t>
  </si>
  <si>
    <t>-1.28367 , 36.95847</t>
  </si>
  <si>
    <t>-1.65103 , 37.27767</t>
  </si>
  <si>
    <t>-1.65094 , 37.27917</t>
  </si>
  <si>
    <t>-3.68358 , 38.96392</t>
  </si>
  <si>
    <t>-3.68372 , 38.96417</t>
  </si>
  <si>
    <t>-1.31694 , 36.86228</t>
  </si>
  <si>
    <t>-0.17378 , 35.62069</t>
  </si>
  <si>
    <t>-0.17464 , 35.61978</t>
  </si>
  <si>
    <t>-0.17711 , 35.61781</t>
  </si>
  <si>
    <t>-0.17764 , 35.61753</t>
  </si>
  <si>
    <t>-0.35336 , 35.30378</t>
  </si>
  <si>
    <t>-0.35472 , 35.30267</t>
  </si>
  <si>
    <t>Majengo, Central Maragoli ward, Vihiga Subcounty, Vihiga County, Western, KE</t>
  </si>
  <si>
    <t>Kisumu-Vihiga Road, Gambogi, Jepkoyai ward, Hamisi, Vihiga County, Western, KE</t>
  </si>
  <si>
    <t>0.0447,34.7266</t>
  </si>
  <si>
    <t>0.0363,34.7279</t>
  </si>
  <si>
    <t>00:02:44</t>
  </si>
  <si>
    <t>-0.9192,36.5241</t>
  </si>
  <si>
    <t>-0.9467,36.5469</t>
  </si>
  <si>
    <t>C781, Ikolomani, Kisa Central ward, Khwisero, Kakamega County, Western, 50101, KE</t>
  </si>
  <si>
    <t>C781, Marenyo-Shianda ward, Butere, Kakamega County, Western, 50101, KE</t>
  </si>
  <si>
    <t>0.2007,34.5412</t>
  </si>
  <si>
    <t>0.2058,34.5378</t>
  </si>
  <si>
    <t>0.0998,35.4948</t>
  </si>
  <si>
    <t>0.0992,35.4884</t>
  </si>
  <si>
    <t>-1.0761,37.0460</t>
  </si>
  <si>
    <t>-1.0879,37.0368</t>
  </si>
  <si>
    <t>-3.7884,39.3747</t>
  </si>
  <si>
    <t>-3.7925,39.3828</t>
  </si>
  <si>
    <t>-1.5805,37.1570</t>
  </si>
  <si>
    <t>-1.5930,37.1631</t>
  </si>
  <si>
    <t>-1.48436 , 37.04958</t>
  </si>
  <si>
    <t>-1.29463 , 36.88552</t>
  </si>
  <si>
    <t>-1.29444 , 36.88565</t>
  </si>
  <si>
    <t>-0.42967 , 36.95794</t>
  </si>
  <si>
    <t>-0.42975 , 36.95806</t>
  </si>
  <si>
    <t>-1.2635 , 36.83847</t>
  </si>
  <si>
    <t>-0.66525 , 37.21214</t>
  </si>
  <si>
    <t>-0.66556 , 37.21192</t>
  </si>
  <si>
    <t>-1.09649 , 37.02689</t>
  </si>
  <si>
    <t>-1.0964 , 37.02701</t>
  </si>
  <si>
    <t>00:04:16</t>
  </si>
  <si>
    <t>-1.24639 , 36.86883</t>
  </si>
  <si>
    <t>-1.26808 , 36.88036</t>
  </si>
  <si>
    <t>-0.21233 , 35.862</t>
  </si>
  <si>
    <t>-0.21186 , 35.86106</t>
  </si>
  <si>
    <t>-3.39664 , 38.54344</t>
  </si>
  <si>
    <t>-3.39775 , 38.54475</t>
  </si>
  <si>
    <t>-1.06078 , 37.05436</t>
  </si>
  <si>
    <t>-1.06175 , 37.054</t>
  </si>
  <si>
    <t>-1.08186 , 37.04217</t>
  </si>
  <si>
    <t>-1.08833 , 37.03636</t>
  </si>
  <si>
    <t>-1.26094 , 36.79683</t>
  </si>
  <si>
    <t>-1.26136 , 36.79842</t>
  </si>
  <si>
    <t>-1.19947 , 36.92083</t>
  </si>
  <si>
    <t>-1.20053 , 36.91983</t>
  </si>
  <si>
    <t>-0.20467 , 35.80753</t>
  </si>
  <si>
    <t>-1.27442 , 36.8105</t>
  </si>
  <si>
    <t>-0.21973 , 35.73623</t>
  </si>
  <si>
    <t>-0.21987 , 35.73641</t>
  </si>
  <si>
    <t>-0.57711 , 36.36563</t>
  </si>
  <si>
    <t>-0.57734 , 36.36581</t>
  </si>
  <si>
    <t>-2.59986 , 38.06696</t>
  </si>
  <si>
    <t>-2.59938 , 38.06678</t>
  </si>
  <si>
    <t>-0.17001 , 35.48178</t>
  </si>
  <si>
    <t>-0.17022 , 35.48016</t>
  </si>
  <si>
    <t>-1.23567 , 36.87436</t>
  </si>
  <si>
    <t>-1.2357 , 36.87442</t>
  </si>
  <si>
    <t>-0.4761 , 37.4721</t>
  </si>
  <si>
    <t>-0.47609 , 37.47224</t>
  </si>
  <si>
    <t>-1.46594 , 37.01719</t>
  </si>
  <si>
    <t>-0.55147 , 37.18644</t>
  </si>
  <si>
    <t>-0.55242 , 37.18656</t>
  </si>
  <si>
    <t>-0.55344 , 37.18667</t>
  </si>
  <si>
    <t>-0.55361 , 37.18669</t>
  </si>
  <si>
    <t>-0.55947 , 37.18725</t>
  </si>
  <si>
    <t>-0.55994 , 37.18731</t>
  </si>
  <si>
    <t>-0.72861 , 37.27219</t>
  </si>
  <si>
    <t>-0.72958 , 37.27286</t>
  </si>
  <si>
    <t>-1.5784,37.1560</t>
  </si>
  <si>
    <t>-1.5926,37.1630</t>
  </si>
  <si>
    <t>00:01:39</t>
  </si>
  <si>
    <t>A1 Kisii-Keroka-Sotik-Litein-Chemosit-A12 Kericho, Nyansiongo ward, Borabu, Nyamira County, Nyanza, KE</t>
  </si>
  <si>
    <t>A1 Kisii-Keroka-Sotik-Litein-Chemosit-A12 Kericho, Kijauri, Nyansiongo ward, Borabu, Nyamira County, Nyanza, KE</t>
  </si>
  <si>
    <t>-0.7674,34.9925</t>
  </si>
  <si>
    <t>-0.7593,35.0150</t>
  </si>
  <si>
    <t>00:00:58</t>
  </si>
  <si>
    <t>Kaplong-Narok-Maai Road, Ntulele, Mosiro ward, Narok East, Narok, Rift Valley, KE</t>
  </si>
  <si>
    <t>-1.0923,36.1071</t>
  </si>
  <si>
    <t>-1.0934,36.0921</t>
  </si>
  <si>
    <t>-1.8184,37.2373</t>
  </si>
  <si>
    <t>-1.8305,37.2438</t>
  </si>
  <si>
    <t>-1.1757,36.6423</t>
  </si>
  <si>
    <t>-1.1888,36.6484</t>
  </si>
  <si>
    <t>Kakamega Road, Makhokho, Idakho East ward, Ikolomani, Kakamega County, Western, KE</t>
  </si>
  <si>
    <t>0.1682,34.7465</t>
  </si>
  <si>
    <t>0.1643,34.7447</t>
  </si>
  <si>
    <t>-0.0072,35.5901</t>
  </si>
  <si>
    <t>-0.0143,35.5989</t>
  </si>
  <si>
    <t>Limuru Road, Rwenu, Ndenderu, Ndenderu ward, Kiambaa, Kiambu, 11403, KE</t>
  </si>
  <si>
    <t>Limuru Road, Ndenderu, Ndenderu ward, Kiambaa, Kiambu, 11403, KE</t>
  </si>
  <si>
    <t>-1.1950,36.7513</t>
  </si>
  <si>
    <t>-1.2045,36.7753</t>
  </si>
  <si>
    <t>00:00:57</t>
  </si>
  <si>
    <t>Kaplong-Narok-Maai Road, Mai Mahiu sublocation, Pcea, Mai Mahiu ward, Naivasha, Nakuru, Rift Valley, 00221, KE</t>
  </si>
  <si>
    <t>Kaplong-Narok-Maai Road, Sattelite sublocation, Kitet B, Mai Mahiu ward, Naivasha, Nakuru, Rift Valley, KE</t>
  </si>
  <si>
    <t>-1.0055,36.5256</t>
  </si>
  <si>
    <t>-1.0087,36.5135</t>
  </si>
  <si>
    <t>Kakamega-Kitale Road, Kiminini, Trans-Nzoia County, KE</t>
  </si>
  <si>
    <t>0.8663,34.8762</t>
  </si>
  <si>
    <t>0.8714,34.8862</t>
  </si>
  <si>
    <t>-0.20615 , 35.345</t>
  </si>
  <si>
    <t>-0.206 , 35.34541</t>
  </si>
  <si>
    <t>-1.01222 , 36.49113</t>
  </si>
  <si>
    <t>-1.01219 , 36.49148</t>
  </si>
  <si>
    <t>00:01:28</t>
  </si>
  <si>
    <t>-0.81512 , 36.46747</t>
  </si>
  <si>
    <t>-0.8122 , 36.46675</t>
  </si>
  <si>
    <t>-1.23588 , 36.87228</t>
  </si>
  <si>
    <t>-1.12242 , 36.62483</t>
  </si>
  <si>
    <t>-1.12228 , 36.62475</t>
  </si>
  <si>
    <t>-0.3015 , 35.40817</t>
  </si>
  <si>
    <t>-0.302 , 35.4075</t>
  </si>
  <si>
    <t>00:14:25</t>
  </si>
  <si>
    <t>-0.7735 , 36.45136</t>
  </si>
  <si>
    <t>-0.7155 , 36.43097</t>
  </si>
  <si>
    <t>00:12:23</t>
  </si>
  <si>
    <t>-4.02367 , 39.70767</t>
  </si>
  <si>
    <t>-4.03994 , 39.67967</t>
  </si>
  <si>
    <t>00:24:13</t>
  </si>
  <si>
    <t>-0.84317 , 36.47567</t>
  </si>
  <si>
    <t>-0.71533 , 36.43111</t>
  </si>
  <si>
    <t>00:16:54</t>
  </si>
  <si>
    <t>-4.04108 , 39.67811</t>
  </si>
  <si>
    <t>-4.02436 , 39.62364</t>
  </si>
  <si>
    <t>00:09:46</t>
  </si>
  <si>
    <t>-0.29303 , 36.06039</t>
  </si>
  <si>
    <t>-0.28811 , 36.05889</t>
  </si>
  <si>
    <t>00:17:48</t>
  </si>
  <si>
    <t>-4.02503 , 39.62517</t>
  </si>
  <si>
    <t>-4.02536 , 39.63342</t>
  </si>
  <si>
    <t>-1.21225 , 36.90335</t>
  </si>
  <si>
    <t>-1.21139 , 36.90595</t>
  </si>
  <si>
    <t>-1.20061 , 36.91962</t>
  </si>
  <si>
    <t>-1.19837 , 36.92176</t>
  </si>
  <si>
    <t>-1.17637 , 36.94244</t>
  </si>
  <si>
    <t>-1.17539 , 36.94332</t>
  </si>
  <si>
    <t>-1.14988 , 36.96197</t>
  </si>
  <si>
    <t>-1.14454 , 36.96463</t>
  </si>
  <si>
    <t>-0.15903 , 35.07017</t>
  </si>
  <si>
    <t>-0.15919 , 35.07053</t>
  </si>
  <si>
    <t>00:14:26</t>
  </si>
  <si>
    <t>-0.28469 , 36.10336</t>
  </si>
  <si>
    <t>-0.28242 , 36.09317</t>
  </si>
  <si>
    <t>01:02:24</t>
  </si>
  <si>
    <t>-0.23314 , 35.90422</t>
  </si>
  <si>
    <t>-0.31994 , 36.147</t>
  </si>
  <si>
    <t>-1.15472 , 36.67308</t>
  </si>
  <si>
    <t>-1.15469 , 36.67436</t>
  </si>
  <si>
    <t>00:27:15</t>
  </si>
  <si>
    <t>-0.86033 , 36.48083</t>
  </si>
  <si>
    <t>-0.98297 , 36.58628</t>
  </si>
  <si>
    <t>-0.96197 , 37.10403</t>
  </si>
  <si>
    <t>-0.96125 , 37.10575</t>
  </si>
  <si>
    <t>-0.8297,36.4717</t>
  </si>
  <si>
    <t>-0.8116,36.4664</t>
  </si>
  <si>
    <t>00:00:27</t>
  </si>
  <si>
    <t>-0.9599,37.1086</t>
  </si>
  <si>
    <t>-0.9629,37.1027</t>
  </si>
  <si>
    <t>-1.0193,35.6593</t>
  </si>
  <si>
    <t>-1.0188,35.6635</t>
  </si>
  <si>
    <t>-0.5427,36.3396</t>
  </si>
  <si>
    <t>-0.5454,36.3426</t>
  </si>
  <si>
    <t>-0.2794,36.0288</t>
  </si>
  <si>
    <t>-0.2821,36.0347</t>
  </si>
  <si>
    <t>Nakuru-Kisumu Road, Industrial Area, Soilo 2, London ward, Nakuru West, Nakuru, Rift Valley, KE</t>
  </si>
  <si>
    <t>-0.9229,36.5271</t>
  </si>
  <si>
    <t>-0.9350,36.5372</t>
  </si>
  <si>
    <t>-0.9278,36.5311</t>
  </si>
  <si>
    <t>-0.9425,36.5435</t>
  </si>
  <si>
    <t>Kisumu Beer; KISUMU PLANT</t>
  </si>
  <si>
    <t>-0.0822 , 34.76274</t>
  </si>
  <si>
    <t>-1.36009 , 36.90793</t>
  </si>
  <si>
    <t>Kenya Breweries Limited; Check Point 3 - Exit Weigh Bridge; KBL FACTORY</t>
  </si>
  <si>
    <t>-1.23687 , 36.87538</t>
  </si>
  <si>
    <t>00:02:41</t>
  </si>
  <si>
    <t>-0.49968 , 36.31414</t>
  </si>
  <si>
    <t>00:06:53</t>
  </si>
  <si>
    <t>-0.49872 , 36.3132</t>
  </si>
  <si>
    <t>-0.49947 , 36.31417</t>
  </si>
  <si>
    <t>-0.17484 , 35.61946</t>
  </si>
  <si>
    <t>-0.17488 , 35.61941</t>
  </si>
  <si>
    <t>00:23:11</t>
  </si>
  <si>
    <t>MISTERTHREE DISTRIBUTORS LTD</t>
  </si>
  <si>
    <t>-0.73183 , 37.32426</t>
  </si>
  <si>
    <t>-0.66345 , 37.36374</t>
  </si>
  <si>
    <t>00:05:07</t>
  </si>
  <si>
    <t>-0.66835 , 37.36258</t>
  </si>
  <si>
    <t>-0.66311 , 37.36391</t>
  </si>
  <si>
    <t>00:03:45</t>
  </si>
  <si>
    <t>-0.71501 , 36.43089</t>
  </si>
  <si>
    <t>-0.15853 , 35.69334</t>
  </si>
  <si>
    <t>-1.75794 , 37.55892</t>
  </si>
  <si>
    <t>-1.14542 , 37.49888</t>
  </si>
  <si>
    <t>-1.14533 , 37.49807</t>
  </si>
  <si>
    <t>-1.19639 , 36.92363</t>
  </si>
  <si>
    <t>-1.19591 , 36.9241</t>
  </si>
  <si>
    <t>-1.73405 , 37.19824</t>
  </si>
  <si>
    <t>-1.73417 , 37.19825</t>
  </si>
  <si>
    <t>-1.90211 , 37.27443</t>
  </si>
  <si>
    <t>-1.903 , 37.27499</t>
  </si>
  <si>
    <t>-1.96427 , 37.31708</t>
  </si>
  <si>
    <t>-1.96468 , 37.31745</t>
  </si>
  <si>
    <t>-1.97601 , 37.33048</t>
  </si>
  <si>
    <t>-1.9767 , 37.33143</t>
  </si>
  <si>
    <t>-1.19958 , 36.92053</t>
  </si>
  <si>
    <t>-1.19817 , 36.92189</t>
  </si>
  <si>
    <t>-1.12289 , 37.00572</t>
  </si>
  <si>
    <t>-1.12356 , 37.00494</t>
  </si>
  <si>
    <t>-1.17758 , 36.94158</t>
  </si>
  <si>
    <t>-1.18217 , 36.93744</t>
  </si>
  <si>
    <t>-1.18367 , 36.936</t>
  </si>
  <si>
    <t>-1.19569 , 36.92447</t>
  </si>
  <si>
    <t>-1.19989 , 36.92042</t>
  </si>
  <si>
    <t>-1.20875 , 36.91233</t>
  </si>
  <si>
    <t>-0.47264 , 36.28978</t>
  </si>
  <si>
    <t>-0.47283 , 36.28994</t>
  </si>
  <si>
    <t>-3.79192 , 39.3215</t>
  </si>
  <si>
    <t>-3.79186 , 39.32169</t>
  </si>
  <si>
    <t>-0.2105 , 35.15247</t>
  </si>
  <si>
    <t>-0.21067 , 35.1525</t>
  </si>
  <si>
    <t>-1.0935,36.1235</t>
  </si>
  <si>
    <t>-1.5920,37.1627</t>
  </si>
  <si>
    <t xml:space="preserve">Machakos </t>
  </si>
  <si>
    <t>-1.5802,37.1570</t>
  </si>
  <si>
    <t>0.7785,37.5556</t>
  </si>
  <si>
    <t>Samburu</t>
  </si>
  <si>
    <t>0.8054,37.5509</t>
  </si>
  <si>
    <t>-1.4971,37.0741</t>
  </si>
  <si>
    <t>-1.5048,37.0893</t>
  </si>
  <si>
    <t>-1.1571,36.6817</t>
  </si>
  <si>
    <t>Limuru</t>
  </si>
  <si>
    <t>-1.1548,36.6782</t>
  </si>
  <si>
    <t>-1.1045,36.2254</t>
  </si>
  <si>
    <t>00:03:30</t>
  </si>
  <si>
    <t>-1.0968,36.1698</t>
  </si>
  <si>
    <t>-1.5135,37.1030</t>
  </si>
  <si>
    <t>-1.5217,37.1156</t>
  </si>
  <si>
    <t>-3.40208 , 38.55169</t>
  </si>
  <si>
    <t>Kitui</t>
  </si>
  <si>
    <t>-1.11097 , 37.74977</t>
  </si>
  <si>
    <t>-1.15658 , 36.95953</t>
  </si>
  <si>
    <t>-1.15636 , 36.95958</t>
  </si>
  <si>
    <t>-1.67856 , 37.19483</t>
  </si>
  <si>
    <t>0.98304 , 35.01661</t>
  </si>
  <si>
    <t>00:41:59</t>
  </si>
  <si>
    <t>-3.64447 , 38.89669</t>
  </si>
  <si>
    <t>-3.74464 , 39.06792</t>
  </si>
  <si>
    <t>-1.23753 , 36.871</t>
  </si>
  <si>
    <t>-1.23867 , 36.8705</t>
  </si>
  <si>
    <t>-0.16572 , 35.64903</t>
  </si>
  <si>
    <t>-0.16536 , 35.64758</t>
  </si>
  <si>
    <t>-0.16539 , 35.63758</t>
  </si>
  <si>
    <t>-0.16558 , 35.63592</t>
  </si>
  <si>
    <t>-0.16614 , 35.63392</t>
  </si>
  <si>
    <t>-0.16628 , 35.63353</t>
  </si>
  <si>
    <t>-0.16828 , 35.62908</t>
  </si>
  <si>
    <t>-0.16856 , 35.62853</t>
  </si>
  <si>
    <t>-0.20636 , 35.58858</t>
  </si>
  <si>
    <t>-0.20869 , 35.58717</t>
  </si>
  <si>
    <t>-0.213 , 35.57483</t>
  </si>
  <si>
    <t>-0.21336 , 35.57342</t>
  </si>
  <si>
    <t>01:11:05</t>
  </si>
  <si>
    <t>-3.39136 , 38.54103</t>
  </si>
  <si>
    <t>-3.60078 , 38.82239</t>
  </si>
  <si>
    <t>-1.32844 , 36.79831</t>
  </si>
  <si>
    <t>-1.32933 , 36.79942</t>
  </si>
  <si>
    <t>-1.18 , 36.93961</t>
  </si>
  <si>
    <t>-1.18036 , 36.93925</t>
  </si>
  <si>
    <t>-1.18967 , 36.93031</t>
  </si>
  <si>
    <t>-1.19 , 36.93</t>
  </si>
  <si>
    <t>-1.19117 , 36.92889</t>
  </si>
  <si>
    <t>-1.19214 , 36.92797</t>
  </si>
  <si>
    <t>-1.314 , 36.85714</t>
  </si>
  <si>
    <t>-1.31408 , 36.85739</t>
  </si>
  <si>
    <t>2.05267 , 37.90836</t>
  </si>
  <si>
    <t>-2.67175 , 38.13269</t>
  </si>
  <si>
    <t>-2.67236 , 38.13578</t>
  </si>
  <si>
    <t>-2.92875 , 38.40306</t>
  </si>
  <si>
    <t>-2.92861 , 38.40353</t>
  </si>
  <si>
    <t>-1.38217 , 36.93103</t>
  </si>
  <si>
    <t>-1.38313 , 36.93182</t>
  </si>
  <si>
    <t>-1.38465 , 36.93311</t>
  </si>
  <si>
    <t>-1.38545 , 36.93405</t>
  </si>
  <si>
    <t>-1.02678 , 37.06557</t>
  </si>
  <si>
    <t>-0.47454 , 37.50885</t>
  </si>
  <si>
    <t>-0.47478 , 37.50917</t>
  </si>
  <si>
    <t>-0.35561 , 37.61137</t>
  </si>
  <si>
    <t>-0.35494 , 37.61181</t>
  </si>
  <si>
    <t>-1.28048 , 36.63696</t>
  </si>
  <si>
    <t>-1.28042 , 36.63803</t>
  </si>
  <si>
    <t>-1.28161 , 36.64741</t>
  </si>
  <si>
    <t>-1.28164 , 36.64763</t>
  </si>
  <si>
    <t>-1.2281 , 36.88134</t>
  </si>
  <si>
    <t>-1.22662 , 36.88341</t>
  </si>
  <si>
    <t>-1.27474 , 36.81207</t>
  </si>
  <si>
    <t>-1.27495 , 36.8106</t>
  </si>
  <si>
    <t>-1.28772 , 36.76194</t>
  </si>
  <si>
    <t>-1.28578 , 36.76293</t>
  </si>
  <si>
    <t>-1.28144 , 36.76794</t>
  </si>
  <si>
    <t>-1.28051 , 36.76883</t>
  </si>
  <si>
    <t>-1.23116 , 36.87742</t>
  </si>
  <si>
    <t>-1.23087 , 36.8778</t>
  </si>
  <si>
    <t>-1.21383 , 36.89858</t>
  </si>
  <si>
    <t>-1.21219 , 36.90344</t>
  </si>
  <si>
    <t>-0.4762 , 37.47092</t>
  </si>
  <si>
    <t>-1.21208 , 36.90374</t>
  </si>
  <si>
    <t>-1.21195 , 36.90412</t>
  </si>
  <si>
    <t>-1.28633 , 37.18819</t>
  </si>
  <si>
    <t>-1.21583 , 36.89581</t>
  </si>
  <si>
    <t>-0.8231, 36.5453</t>
  </si>
  <si>
    <t>-0.8087, 36.5346</t>
  </si>
  <si>
    <t>-2.8639, 37.5228</t>
  </si>
  <si>
    <t>-2.8369, 37.5237</t>
  </si>
  <si>
    <t>-1.4121, 36.9497</t>
  </si>
  <si>
    <t>-1.4240, 36.9567</t>
  </si>
  <si>
    <t>-3.7881, 39.3738</t>
  </si>
  <si>
    <t>-3.7930, 39.3837</t>
  </si>
  <si>
    <t>-1.8159, 37.2356</t>
  </si>
  <si>
    <t>-1.8285, 37.2423</t>
  </si>
  <si>
    <t>-1.1980, 36.6535</t>
  </si>
  <si>
    <t>-1.2111, 36.6589</t>
  </si>
  <si>
    <t>-0.1786, 35.0896</t>
  </si>
  <si>
    <t>-0.1793, 35.0978</t>
  </si>
  <si>
    <t>-2.17977 , 37.64989</t>
  </si>
  <si>
    <t>-2.17838 , 37.64818</t>
  </si>
  <si>
    <t>-3.68154 , 39.81696</t>
  </si>
  <si>
    <t>-3.6816 , 39.81693</t>
  </si>
  <si>
    <t>-0.31625 , 36.14149</t>
  </si>
  <si>
    <t>-0.22079 , 35.7384</t>
  </si>
  <si>
    <t>00:00:42</t>
  </si>
  <si>
    <t>-0.18487 , 35.24232</t>
  </si>
  <si>
    <t>-0.18458 , 35.24863</t>
  </si>
  <si>
    <t>-0.13828 , 35.67756</t>
  </si>
  <si>
    <t>-0.13678 , 35.67775</t>
  </si>
  <si>
    <t>-0.16827 , 35.66371</t>
  </si>
  <si>
    <t>-0.16831 , 35.66351</t>
  </si>
  <si>
    <t>-1.29586 , 36.8863</t>
  </si>
  <si>
    <t>-1.29447 , 36.88603</t>
  </si>
  <si>
    <t>-1.2165 , 36.66272</t>
  </si>
  <si>
    <t>-0.74428 , 36.44011</t>
  </si>
  <si>
    <t>-0.74394 , 36.44</t>
  </si>
  <si>
    <t>-0.19736 , 35.14303</t>
  </si>
  <si>
    <t>0.1709, 34.7480</t>
  </si>
  <si>
    <t>0.1634, 34.7442</t>
  </si>
  <si>
    <t>00:01:23</t>
  </si>
  <si>
    <t>-0.1679, 35.6648</t>
  </si>
  <si>
    <t>-0.1651, 35.6464</t>
  </si>
  <si>
    <t>-0.3658, 35.0018</t>
  </si>
  <si>
    <t>-0.3488, 35.0032</t>
  </si>
  <si>
    <t>00:02:59</t>
  </si>
  <si>
    <t>-1.1734, 36.6420</t>
  </si>
  <si>
    <t>-1.2118, 36.6592</t>
  </si>
  <si>
    <t>-1.43198 , 36.96542</t>
  </si>
  <si>
    <t>-1.43229 , 36.9659</t>
  </si>
  <si>
    <t>-1.20824 , 36.91285</t>
  </si>
  <si>
    <t>-1.20886 , 36.91223</t>
  </si>
  <si>
    <t>-0.15781 , 35.68139</t>
  </si>
  <si>
    <t>-0.15944 , 35.68842</t>
  </si>
  <si>
    <t>-0.58581 , 36.37164</t>
  </si>
  <si>
    <t>-0.58519 , 36.37125</t>
  </si>
  <si>
    <t>-3.55086 , 38.73758</t>
  </si>
  <si>
    <t>-2.40753 , 37.92983</t>
  </si>
  <si>
    <t>-2.45875 , 37.98272</t>
  </si>
  <si>
    <t>-0.1667, 35.6680</t>
  </si>
  <si>
    <t>-0.1654, 35.6385</t>
  </si>
  <si>
    <t>0.1132, 34.8390</t>
  </si>
  <si>
    <t>0.1162, 34.8422</t>
  </si>
  <si>
    <t>-1.5050, 37.0896</t>
  </si>
  <si>
    <t>-1.4966, 37.0716</t>
  </si>
  <si>
    <t>00:02:40</t>
  </si>
  <si>
    <t>0.0951, 37.3682</t>
  </si>
  <si>
    <t>0.0855, 37.3344</t>
  </si>
  <si>
    <t>-1.0220, 37.0687</t>
  </si>
  <si>
    <t>-1.0291, 37.0649</t>
  </si>
  <si>
    <t>Old Mombasa Road, Mombasa Road Industrial Area, South C ward, Lang'ata, Nairobi, 00501, Kenya</t>
  </si>
  <si>
    <t>-1.33631 , 36.88247</t>
  </si>
  <si>
    <t>-1.33666 , 36.8826</t>
  </si>
  <si>
    <t>Old Mombasa Road, South C ward, Lang'ata, Nairobi, 00603, Kenya</t>
  </si>
  <si>
    <t>-1.34418 , 36.88398</t>
  </si>
  <si>
    <t>-1.34427 , 36.88376</t>
  </si>
  <si>
    <t>SGR service Road, Mlolongo, Syokimau-Mulolongo ward, Mavoko, Machakos, Eastern, 74416, Kenya</t>
  </si>
  <si>
    <t>-1.37313 , 36.91593</t>
  </si>
  <si>
    <t>-1.37156 , 36.91802</t>
  </si>
  <si>
    <t>Mlolongo, Syokimau-Mulolongo ward, Mavoko, Machakos, Eastern, 74416, Kenya</t>
  </si>
  <si>
    <t>-1.36364 , 36.9108</t>
  </si>
  <si>
    <t>-1.364 , 36.91118</t>
  </si>
  <si>
    <t>-1.37171 , 36.92</t>
  </si>
  <si>
    <t>-1.37179 , 36.92009</t>
  </si>
  <si>
    <t>00:01:17</t>
  </si>
  <si>
    <t>Southern Bypass, Muguga, Mai A Ihii, Kikuyu, Kiambu, Central Kenya, 00109, Kenya</t>
  </si>
  <si>
    <t>Thogoto, Kikuyu Township ward, Kikuyu, Kiambu, Central Kenya, 00109, Kenya</t>
  </si>
  <si>
    <t>-1.25999 , 36.66153</t>
  </si>
  <si>
    <t>-1.27119 , 36.66268</t>
  </si>
  <si>
    <t>-0.98233 , 37.09239</t>
  </si>
  <si>
    <t>-0.98284 , 37.09206</t>
  </si>
  <si>
    <t>00:50:44</t>
  </si>
  <si>
    <t>Gitaru ward, Kabete, Kiambu, Central Kenya, 12345, Kenya</t>
  </si>
  <si>
    <t>-1.22384 , 36.70357</t>
  </si>
  <si>
    <t>-1.23289 , 36.87349</t>
  </si>
  <si>
    <t>-1.02275 , 37.06793</t>
  </si>
  <si>
    <t>-1.0229 , 37.0678</t>
  </si>
  <si>
    <t>Gitaru Road, Gitaru, Gitaru ward, Kabete, Kiambu, Central Kenya, 12345, Kenya</t>
  </si>
  <si>
    <t>-1.22915 , 36.69168</t>
  </si>
  <si>
    <t>-1.22519 , 36.70485</t>
  </si>
  <si>
    <t>Gitaru Road, Karura Kanyungu, Nyadhuna ward, Kabete, Kiambu, Central Kenya, 00604, Kenya</t>
  </si>
  <si>
    <t>-1.20675 , 36.71519</t>
  </si>
  <si>
    <t>-1.2053 , 36.71876</t>
  </si>
  <si>
    <t>Gitaru Road, Rwenu, Ndenderu, Ndenderu ward, Kiambaa, Kiambu, Central Kenya, 11403, Kenya</t>
  </si>
  <si>
    <t>-1.19436 , 36.73471</t>
  </si>
  <si>
    <t>-1.19456 , 36.73968</t>
  </si>
  <si>
    <t>-1.23879 , 36.87052</t>
  </si>
  <si>
    <t>-1.23898 , 36.87044</t>
  </si>
  <si>
    <t>Kisumu-Busia Road, Got Nanga, North Ugenya ward, Ugenya, Siaya, Kenya</t>
  </si>
  <si>
    <t>0.23325 , 34.24214</t>
  </si>
  <si>
    <t>0.23481 , 34.24108</t>
  </si>
  <si>
    <t>-1.81831 , 37.23728</t>
  </si>
  <si>
    <t>-1.82556 , 37.24089</t>
  </si>
  <si>
    <t>-2.21928 , 37.73586</t>
  </si>
  <si>
    <t>-2.214 , 37.72708</t>
  </si>
  <si>
    <t>-1.41389 , 36.95069</t>
  </si>
  <si>
    <t>-1.41783 , 36.95283</t>
  </si>
  <si>
    <t>-1.41833 , 36.95308</t>
  </si>
  <si>
    <t>-1.823 , 37.23961</t>
  </si>
  <si>
    <t>-1.82592 , 37.24106</t>
  </si>
  <si>
    <t>-1.90261 , 37.27475</t>
  </si>
  <si>
    <t>-1.90325 , 37.27517</t>
  </si>
  <si>
    <t>-1.96183 , 37.31489</t>
  </si>
  <si>
    <t>-1.96225 , 37.31528</t>
  </si>
  <si>
    <t>Mombasa Road, Mackinon Road ward, Kinango, Kwale, Kenya</t>
  </si>
  <si>
    <t>-3.76342 , 39.17244</t>
  </si>
  <si>
    <t>-3.764 , 39.17428</t>
  </si>
  <si>
    <t>Mombasa Road, Samburu/Chengoni ward, Kinango, Kwale, Kenya</t>
  </si>
  <si>
    <t>-3.79467 , 39.29661</t>
  </si>
  <si>
    <t>-3.7945 , 39.29772</t>
  </si>
  <si>
    <t>-1.52117 , 37.11483</t>
  </si>
  <si>
    <t>-1.52094 , 37.1145</t>
  </si>
  <si>
    <t>00:00:28</t>
  </si>
  <si>
    <t>-1.50411 , 37.08817</t>
  </si>
  <si>
    <t>-1.50114 , 37.08353</t>
  </si>
  <si>
    <t>-1.4805 , 37.04425</t>
  </si>
  <si>
    <t>-1.47978 , 37.04292</t>
  </si>
  <si>
    <t>Eburu sublocation, Mbaruk/Eburu ward, Gilgil, Nakuru, Rift Valley, 20116, KE</t>
  </si>
  <si>
    <t>Nairobi-Nakuru Road, Eburu sublocation, Ol - Mbegi, Gilgil ward, Gilgil, Nakuru, Rift Valley, KE</t>
  </si>
  <si>
    <t>-0.5432, 36.3399</t>
  </si>
  <si>
    <t>-0.5487, 36.3462</t>
  </si>
  <si>
    <t>Nairobi-Nakuru Road, Site 1, Gilgil ward, Gilgil, Nakuru, Rift Valley, 20116, KE</t>
  </si>
  <si>
    <t>Sanata Women's Group, Nairobi-Nakuru Road, Eburu sublocation, Council, Gilgil ward, Gilgil, Nakuru, Rift Valley, 20116, KE</t>
  </si>
  <si>
    <t>-0.5232, 36.3290</t>
  </si>
  <si>
    <t>-0.5267, 36.3312</t>
  </si>
  <si>
    <t>-1.5801, 37.1569</t>
  </si>
  <si>
    <t>-1.5918, 37.1626</t>
  </si>
  <si>
    <t>-1.1765, 36.6426</t>
  </si>
  <si>
    <t>-1.1866, 36.6474</t>
  </si>
  <si>
    <t>-0.1684, 35.6633</t>
  </si>
  <si>
    <t>-0.1679, 35.6539</t>
  </si>
  <si>
    <t>00:01:04</t>
  </si>
  <si>
    <t>Nairobi-Nakuru Road, Uplands, Lari/Kirenya ward, Lari, Kiambu, 00221, KE</t>
  </si>
  <si>
    <t>-1.0429, 36.6284</t>
  </si>
  <si>
    <t>-1.0288, 36.6238</t>
  </si>
  <si>
    <t>-1.5814, 37.1575</t>
  </si>
  <si>
    <t>-1.5933, 37.1633</t>
  </si>
  <si>
    <t>00:24:18</t>
  </si>
  <si>
    <t>Bypass Highway, Salem, Bandari sublocation, Railways ward, Kisumu, City of Kisumu, Kisumu County, Nyanza, 40100, KE</t>
  </si>
  <si>
    <t>-0.0822, 34.7634</t>
  </si>
  <si>
    <t>-0.0821, 34.7631</t>
  </si>
  <si>
    <t>-0.2216 , 35.38284</t>
  </si>
  <si>
    <t>-0.22173 , 35.3824</t>
  </si>
  <si>
    <t>-0.18401 , 35.45797</t>
  </si>
  <si>
    <t>-0.18409 , 35.4578</t>
  </si>
  <si>
    <t>-0.19739 , 35.28816</t>
  </si>
  <si>
    <t>-0.19713 , 35.28767</t>
  </si>
  <si>
    <t>-0.36262 , 36.20852</t>
  </si>
  <si>
    <t>-0.36269 , 36.20859</t>
  </si>
  <si>
    <t>-0.96489 , 36.56461</t>
  </si>
  <si>
    <t>-0.96512 , 36.56488</t>
  </si>
  <si>
    <t>-1.05622 , 37.20257</t>
  </si>
  <si>
    <t>-1.05623 , 37.20266</t>
  </si>
  <si>
    <t>-0.18637 , 35.11915</t>
  </si>
  <si>
    <t>-2.92318 , 38.38596</t>
  </si>
  <si>
    <t>-1.36539 , 36.91172</t>
  </si>
  <si>
    <t>00:00:53</t>
  </si>
  <si>
    <t>Nyandarua</t>
  </si>
  <si>
    <t>-0.04387 , 36.512</t>
  </si>
  <si>
    <t>-0.03691 , 36.50756</t>
  </si>
  <si>
    <t>Tanga</t>
  </si>
  <si>
    <t>-5.23599 , 38.49651</t>
  </si>
  <si>
    <t>-5.12772 , 38.38486</t>
  </si>
  <si>
    <t>-1.4555 , 37.00358</t>
  </si>
  <si>
    <t>-1.45678 , 37.00456</t>
  </si>
  <si>
    <t>-1.45769 , 37.00528</t>
  </si>
  <si>
    <t>-1.4595 , 37.00747</t>
  </si>
  <si>
    <t>-1.45986 , 37.008</t>
  </si>
  <si>
    <t>-1.45533 , 37.00311</t>
  </si>
  <si>
    <t>-1.45472 , 37.00267</t>
  </si>
  <si>
    <t>-0.49189 , 36.30561</t>
  </si>
  <si>
    <t>-0.49158 , 36.30544</t>
  </si>
  <si>
    <t>00:01:45</t>
  </si>
  <si>
    <t>-0.9204, 36.5251</t>
  </si>
  <si>
    <t>-0.9407, 36.5420</t>
  </si>
  <si>
    <t>0.0998, 35.4947</t>
  </si>
  <si>
    <t>0.0988, 35.4843</t>
  </si>
  <si>
    <t>00:02:07</t>
  </si>
  <si>
    <t>0.2886, 35.3844</t>
  </si>
  <si>
    <t>0.3165, 35.3760</t>
  </si>
  <si>
    <t>-0.1540, 35.0590</t>
  </si>
  <si>
    <t>-0.1519, 35.0533</t>
  </si>
  <si>
    <t>-0.16846 , 35.48331</t>
  </si>
  <si>
    <t>-0.1686 , 35.48322</t>
  </si>
  <si>
    <t>-0.57445 , 36.36348</t>
  </si>
  <si>
    <t>-0.57498 , 36.36395</t>
  </si>
  <si>
    <t>-1.06337 , 36.60312</t>
  </si>
  <si>
    <t>-1.06319 , 36.60315</t>
  </si>
  <si>
    <t>-1.03145 , 36.60212</t>
  </si>
  <si>
    <t>-1.02783 , 36.60267</t>
  </si>
  <si>
    <t>00:09:22</t>
  </si>
  <si>
    <t>-0.89053 , 36.50243</t>
  </si>
  <si>
    <t>-0.95443 , 36.55272</t>
  </si>
  <si>
    <t>-0.20161 , 35.81722</t>
  </si>
  <si>
    <t>-0.20152 , 35.81751</t>
  </si>
  <si>
    <t>-1.82502 , 37.24058</t>
  </si>
  <si>
    <t>-1.82594 , 37.24104</t>
  </si>
  <si>
    <t>-1.28958 , 36.76092</t>
  </si>
  <si>
    <t>-1.16718 , 36.95549</t>
  </si>
  <si>
    <t>-1.16796 , 36.95448</t>
  </si>
  <si>
    <t>-1.14358 , 36.66181</t>
  </si>
  <si>
    <t>-1.14392 , 36.66197</t>
  </si>
  <si>
    <t>-0.25219 , 35.51514</t>
  </si>
  <si>
    <t>-0.24975 , 35.51675</t>
  </si>
  <si>
    <t>-0.2495 , 35.51686</t>
  </si>
  <si>
    <t>-0.44319 , 37.04044</t>
  </si>
  <si>
    <t>-0.44331 , 37.04086</t>
  </si>
  <si>
    <t>Meru</t>
  </si>
  <si>
    <t>0.08378 , 37.28114</t>
  </si>
  <si>
    <t>00:24:07</t>
  </si>
  <si>
    <t>-0.33094 , 36.15892</t>
  </si>
  <si>
    <t>-0.28964 , 36.05703</t>
  </si>
  <si>
    <t>-0.55022 , 37.24081</t>
  </si>
  <si>
    <t>-0.55042 , 37.24078</t>
  </si>
  <si>
    <t>00:54:39</t>
  </si>
  <si>
    <t>-3.91406 , 39.76236</t>
  </si>
  <si>
    <t>-4.02556 , 39.63378</t>
  </si>
  <si>
    <t>00:44:46</t>
  </si>
  <si>
    <t>-3.40589 , 38.57011</t>
  </si>
  <si>
    <t>-3.56192 , 38.75606</t>
  </si>
  <si>
    <t>-1.41542 , 36.9515</t>
  </si>
  <si>
    <t>-1.41558 , 36.95161</t>
  </si>
  <si>
    <t>-1.82561 , 37.24086</t>
  </si>
  <si>
    <t>-1.82622 , 37.24117</t>
  </si>
  <si>
    <t>-1.834 , 37.25425</t>
  </si>
  <si>
    <t>-1.83456 , 37.25464</t>
  </si>
  <si>
    <t>-1.88233 , 37.26544</t>
  </si>
  <si>
    <t>-1.88256 , 37.26544</t>
  </si>
  <si>
    <t>-1.885 , 37.26553</t>
  </si>
  <si>
    <t>-1.88608 , 37.26561</t>
  </si>
  <si>
    <t>00:42:26</t>
  </si>
  <si>
    <t>-3.40581 , 38.57039</t>
  </si>
  <si>
    <t>-3.56194 , 38.75603</t>
  </si>
  <si>
    <t>00:14:17</t>
  </si>
  <si>
    <t>-2.711 , 38.18664</t>
  </si>
  <si>
    <t>-2.69186 , 38.16492</t>
  </si>
  <si>
    <t>01:09:55</t>
  </si>
  <si>
    <t>-3.91367 , 39.76267</t>
  </si>
  <si>
    <t>-4.02556 , 39.63361</t>
  </si>
  <si>
    <t>-1.1751, 36.6422</t>
  </si>
  <si>
    <t>-1.1923, 36.6503</t>
  </si>
  <si>
    <t>-0.2068, 35.5884</t>
  </si>
  <si>
    <t>-0.2108, 35.5838</t>
  </si>
  <si>
    <t>-0.2945, 35.1641</t>
  </si>
  <si>
    <t>-0.2903, 35.1636</t>
  </si>
  <si>
    <t>-0.2977, 35.1642</t>
  </si>
  <si>
    <t>-0.2862, 35.1617</t>
  </si>
  <si>
    <t>-1.0797, 37.0437</t>
  </si>
  <si>
    <t>-1.0881, 37.0365</t>
  </si>
  <si>
    <t>-1.32919 , 36.89149</t>
  </si>
  <si>
    <t>-1.32889 , 36.89193</t>
  </si>
  <si>
    <t>-0.02502 , 37.79919</t>
  </si>
  <si>
    <t>-1.40093 , 36.94379</t>
  </si>
  <si>
    <t>-1.40155 , 36.94411</t>
  </si>
  <si>
    <t>-0.31057 , 37.87169</t>
  </si>
  <si>
    <t>-0.30794 , 37.87417</t>
  </si>
  <si>
    <t>-1.05911 , 37.25772</t>
  </si>
  <si>
    <t>00:08:42</t>
  </si>
  <si>
    <t>-0.17686 , 35.08647</t>
  </si>
  <si>
    <t>-0.16128 , 35.07484</t>
  </si>
  <si>
    <t>-1.21 , 36.90999</t>
  </si>
  <si>
    <t>-0.57673 , 36.88209</t>
  </si>
  <si>
    <t>-0.57717 , 36.88353</t>
  </si>
  <si>
    <t>-1.13267 , 36.69858</t>
  </si>
  <si>
    <t>-1.22119 , 36.88961</t>
  </si>
  <si>
    <t>-1.22031 , 36.89044</t>
  </si>
  <si>
    <t>-0.32617 , 36.15442</t>
  </si>
  <si>
    <t>-0.32572 , 36.15394</t>
  </si>
  <si>
    <t>-1.28803 , 36.95156</t>
  </si>
  <si>
    <t>-1.1047, 36.2109</t>
  </si>
  <si>
    <t>-1.1044, 36.2220</t>
  </si>
  <si>
    <t>-1.5793, 37.1564</t>
  </si>
  <si>
    <t>-1.5917, 37.1625</t>
  </si>
  <si>
    <t>A8, Mavoko, Machakos County, KE</t>
  </si>
  <si>
    <t>-1.5224, 37.1168</t>
  </si>
  <si>
    <t>-1.5132, 37.1024</t>
  </si>
  <si>
    <t>00:01:26</t>
  </si>
  <si>
    <t>-0.2387, 35.9153</t>
  </si>
  <si>
    <t>-0.2293, 35.8964</t>
  </si>
  <si>
    <t>-0.2727, 36.0091</t>
  </si>
  <si>
    <t>-0.2739, 36.0129</t>
  </si>
  <si>
    <t>Limuru Road, Redhill, Kabuku, Ngecha Tigoni ward, Limuru, Kiambu, 11403, KE</t>
  </si>
  <si>
    <t>-1.1350, 36.6574</t>
  </si>
  <si>
    <t>-1.1386, 36.6596</t>
  </si>
  <si>
    <t>-0.1548, 35.0607</t>
  </si>
  <si>
    <t>-0.1473, 35.0261</t>
  </si>
  <si>
    <t>-1.1152, 37.0112</t>
  </si>
  <si>
    <t>-1.1111, 37.0125</t>
  </si>
  <si>
    <t>0.2480, 35.4091</t>
  </si>
  <si>
    <t>0.2522, 35.4044</t>
  </si>
  <si>
    <t>Acceler Bonded Warehouse UDV; Acceler Bonded Warehouse Beer</t>
  </si>
  <si>
    <t>-1.38321 , 36.9371</t>
  </si>
  <si>
    <t>-1.09676 , 36.6077</t>
  </si>
  <si>
    <t>-1.10236 , 36.0238</t>
  </si>
  <si>
    <t>-1.1024 , 36.02237</t>
  </si>
  <si>
    <t>-0.86841 , 37.23755</t>
  </si>
  <si>
    <t>-0.13003 , 34.79451</t>
  </si>
  <si>
    <t>-1.29344 , 36.88572</t>
  </si>
  <si>
    <t>-1.29283 , 36.88567</t>
  </si>
  <si>
    <t>-1.27831 , 36.88217</t>
  </si>
  <si>
    <t>-1.28636 , 36.88408</t>
  </si>
  <si>
    <t>-1.32706 , 36.69203</t>
  </si>
  <si>
    <t>-1.32661 , 36.69225</t>
  </si>
  <si>
    <t>-0.32417 , 35.23181</t>
  </si>
  <si>
    <t>-1.22011 , 36.89072</t>
  </si>
  <si>
    <t>00:01:15</t>
  </si>
  <si>
    <t>Isiolo</t>
  </si>
  <si>
    <t>0.36792 , 37.58783</t>
  </si>
  <si>
    <t>0.37467 , 37.58911</t>
  </si>
  <si>
    <t>-2.26028 , 37.79908</t>
  </si>
  <si>
    <t>-3.40442 , 38.57844</t>
  </si>
  <si>
    <t>-3.40442 , 38.579</t>
  </si>
  <si>
    <t>-3.76525 , 39.82378</t>
  </si>
  <si>
    <t>-3.80508 , 39.81336</t>
  </si>
  <si>
    <t>-3.80586 , 39.813</t>
  </si>
  <si>
    <t>-4.02333 , 39.70869</t>
  </si>
  <si>
    <t>-4.02342 , 39.70833</t>
  </si>
  <si>
    <t>-0.52803 , 37.29994</t>
  </si>
  <si>
    <t>-0.52861 , 37.30028</t>
  </si>
  <si>
    <t>-0.59219 , 37.27589</t>
  </si>
  <si>
    <t>-0.59269 , 37.27528</t>
  </si>
  <si>
    <t>-0.64514 , 37.23131</t>
  </si>
  <si>
    <t>-0.64583 , 37.23008</t>
  </si>
  <si>
    <t>-0.66486 , 37.21333</t>
  </si>
  <si>
    <t>-0.66486 , 37.21317</t>
  </si>
  <si>
    <t>-0.93475 , 37.14261</t>
  </si>
  <si>
    <t>-0.93486 , 37.14206</t>
  </si>
  <si>
    <t>-1.12019 , 37.37931</t>
  </si>
  <si>
    <t>-1.25425 , 36.8575</t>
  </si>
  <si>
    <t>-1.25378 , 36.85794</t>
  </si>
  <si>
    <t>-0.9319, 36.5346</t>
  </si>
  <si>
    <t>-0.9435, 36.5443</t>
  </si>
  <si>
    <t>-1.1157, 37.0112</t>
  </si>
  <si>
    <t>-1.1295, 36.9905</t>
  </si>
  <si>
    <t>-1.1414, 36.7902</t>
  </si>
  <si>
    <t>-1.1366, 36.7757</t>
  </si>
  <si>
    <t>Gitaru Road, Rwenu, Ndenderu, Ndenderu ward, Kiambaa, Kiambu, 11403, KE</t>
  </si>
  <si>
    <t>-1.1942, 36.7289</t>
  </si>
  <si>
    <t>-1.1944, 36.7427</t>
  </si>
  <si>
    <t>-1.3313, 36.8628</t>
  </si>
  <si>
    <t>-1.3296, 36.8546</t>
  </si>
  <si>
    <t>-1.2581, 36.8487</t>
  </si>
  <si>
    <t>-1.2579, 36.8527</t>
  </si>
  <si>
    <t>-1.5922, 37.1627</t>
  </si>
  <si>
    <t>-1.10392 , 37.6947</t>
  </si>
  <si>
    <t>-1.10407 , 37.69496</t>
  </si>
  <si>
    <t>-2.05423 , 37.42477</t>
  </si>
  <si>
    <t>-2.05598 , 37.42718</t>
  </si>
  <si>
    <t>-2.22694 , 37.75018</t>
  </si>
  <si>
    <t>-2.22587 , 37.74786</t>
  </si>
  <si>
    <t>-2.15892 , 37.59166</t>
  </si>
  <si>
    <t>-2.15882 , 37.59152</t>
  </si>
  <si>
    <t>-1.22627 , 36.8844</t>
  </si>
  <si>
    <t>-1.22643 , 36.88422</t>
  </si>
  <si>
    <t>-1.11486 , 37.37336</t>
  </si>
  <si>
    <t>Kenya Breweries Limited; Zone 5 - Glass Offloading; KBL FACTORY</t>
  </si>
  <si>
    <t>-1.23672 , 36.87869</t>
  </si>
  <si>
    <t>-0.53204 , 37.34997</t>
  </si>
  <si>
    <t>-0.53259 , 37.34904</t>
  </si>
  <si>
    <t>-1.51535 , 37.10595</t>
  </si>
  <si>
    <t>-1.51493 , 37.10527</t>
  </si>
  <si>
    <t>-1.89533 , 37.27</t>
  </si>
  <si>
    <t>-1.89472 , 37.26961</t>
  </si>
  <si>
    <t>-1.89344 , 37.26878</t>
  </si>
  <si>
    <t>-1.89269 , 37.26831</t>
  </si>
  <si>
    <t>-1.0415 , 36.60323</t>
  </si>
  <si>
    <t>-1.03683 , 36.60126</t>
  </si>
  <si>
    <t>-1.09303 , 35.89279</t>
  </si>
  <si>
    <t>-1.09287 , 35.89215</t>
  </si>
  <si>
    <t>-1.09249 , 35.89066</t>
  </si>
  <si>
    <t>-1.09241 , 35.89039</t>
  </si>
  <si>
    <t>-1.15368 , 36.67032</t>
  </si>
  <si>
    <t>-1.15376 , 36.67044</t>
  </si>
  <si>
    <t>-0.51399 , 37.35371</t>
  </si>
  <si>
    <t>-0.517 , 37.35326</t>
  </si>
  <si>
    <t>-0.51992 , 37.17432</t>
  </si>
  <si>
    <t>-0.52007 , 37.17446</t>
  </si>
  <si>
    <t>-1.02253 , 37.06825</t>
  </si>
  <si>
    <t>-1.02298 , 37.06784</t>
  </si>
  <si>
    <t>-1.29686 , 36.88663</t>
  </si>
  <si>
    <t>-0.75927 , 37.04497</t>
  </si>
  <si>
    <t>-1.574 , 37.15386</t>
  </si>
  <si>
    <t>-1.57419 , 37.15394</t>
  </si>
  <si>
    <t>-0.47183 , 37.64472</t>
  </si>
  <si>
    <t>-0.47206 , 37.64447</t>
  </si>
  <si>
    <t>-0.47731 , 37.46442</t>
  </si>
  <si>
    <t>-0.47742 , 37.46442</t>
  </si>
  <si>
    <t>-0.84472 , 37.23239</t>
  </si>
  <si>
    <t>-0.84383 , 37.23228</t>
  </si>
  <si>
    <t>-0.75561 , 37.29453</t>
  </si>
  <si>
    <t>-0.75569 , 37.29392</t>
  </si>
  <si>
    <t>-0.94467 , 37.12136</t>
  </si>
  <si>
    <t>-0.94594 , 37.11997</t>
  </si>
  <si>
    <t>-1.14008 , 36.96858</t>
  </si>
  <si>
    <t>-1.13958 , 36.96892</t>
  </si>
  <si>
    <t>-0.9594, 36.5583</t>
  </si>
  <si>
    <t>-0.9724, 36.5733</t>
  </si>
  <si>
    <t>-1.4152, 36.9514</t>
  </si>
  <si>
    <t>-1.4205, 36.9543</t>
  </si>
  <si>
    <t>-1.5040, 37.0879</t>
  </si>
  <si>
    <t>-1.4967, 37.0724</t>
  </si>
  <si>
    <t>-0.2395, 35.9167</t>
  </si>
  <si>
    <t>-0.2298, 35.8970</t>
  </si>
  <si>
    <t>-1.5241, 37.1193</t>
  </si>
  <si>
    <t>-1.5169, 37.1079</t>
  </si>
  <si>
    <t>Kaplong-Narok-Maai Road, Narok South, Narok, KE</t>
  </si>
  <si>
    <t>-1.0275, 35.6996</t>
  </si>
  <si>
    <t>-1.0261, 35.6892</t>
  </si>
  <si>
    <t>-1.0586, 37.0552</t>
  </si>
  <si>
    <t>-1.0634, 37.0535</t>
  </si>
  <si>
    <t>-0.15878 , 35.6847</t>
  </si>
  <si>
    <t>-0.1595 , 35.68944</t>
  </si>
  <si>
    <t>00:00:48</t>
  </si>
  <si>
    <t>-1.23362 , 36.87474</t>
  </si>
  <si>
    <t>-1.23954 , 36.87018</t>
  </si>
  <si>
    <t>-0.993 , 36.59751</t>
  </si>
  <si>
    <t>-0.99133 , 36.59589</t>
  </si>
  <si>
    <t>-0.17423 , 35.18472</t>
  </si>
  <si>
    <t>-0.17405 , 35.18477</t>
  </si>
  <si>
    <t>-0.48229 , 36.3007</t>
  </si>
  <si>
    <t>-0.48244 , 36.30081</t>
  </si>
  <si>
    <t>-1.26512 , 36.80243</t>
  </si>
  <si>
    <t>-1.26523 , 36.80254</t>
  </si>
  <si>
    <t>-1.20682 , 36.79338</t>
  </si>
  <si>
    <t>-0.22148 , 35.38372</t>
  </si>
  <si>
    <t>-0.22149 , 35.38365</t>
  </si>
  <si>
    <t>-0.53146 , 37.35087</t>
  </si>
  <si>
    <t>-0.53234 , 37.34947</t>
  </si>
  <si>
    <t>-0.7136 , 37.26043</t>
  </si>
  <si>
    <t>-0.71504 , 37.26129</t>
  </si>
  <si>
    <t>-0.51371 , 36.33398</t>
  </si>
  <si>
    <t>-0.52282 , 36.33649</t>
  </si>
  <si>
    <t>-0.03409 , 35.62519</t>
  </si>
  <si>
    <t>-0.52121 , 37.17548</t>
  </si>
  <si>
    <t>-0.52167 , 37.17587</t>
  </si>
  <si>
    <t>-1.21237 , 36.90296</t>
  </si>
  <si>
    <t>-1.21212 , 36.90372</t>
  </si>
  <si>
    <t>-1.07898 , 37.04424</t>
  </si>
  <si>
    <t>-1.29297 , 36.84558</t>
  </si>
  <si>
    <t>-1.29278 , 36.84469</t>
  </si>
  <si>
    <t>-2.07797 , 37.46428</t>
  </si>
  <si>
    <t>-2.07819 , 37.4655</t>
  </si>
  <si>
    <t>-0.96283 , 37.10258</t>
  </si>
  <si>
    <t>-3.45556 , 38.63997</t>
  </si>
  <si>
    <t>-3.45633 , 38.64092</t>
  </si>
  <si>
    <t>-2.47658 , 37.99247</t>
  </si>
  <si>
    <t>-2.47603 , 37.99217</t>
  </si>
  <si>
    <t>-2.67247 , 38.13631</t>
  </si>
  <si>
    <t>juja</t>
  </si>
  <si>
    <t>-1.09131 , 37.03344</t>
  </si>
  <si>
    <t>-1.08614 , 37.03828</t>
  </si>
  <si>
    <t>-3.79317 , 39.39286</t>
  </si>
  <si>
    <t>-3.79317 , 39.39253</t>
  </si>
  <si>
    <t>-2.67175 , 38.13261</t>
  </si>
  <si>
    <t>-2.67203 , 38.13369</t>
  </si>
  <si>
    <t>-1.25819 , 36.84758</t>
  </si>
  <si>
    <t>-1.25814 , 36.84792</t>
  </si>
  <si>
    <t>-3.65861 , 39.83664</t>
  </si>
  <si>
    <t>-3.65678 , 39.83775</t>
  </si>
  <si>
    <t>-0.93656 , 37.13339</t>
  </si>
  <si>
    <t>-0.93647 , 37.13389</t>
  </si>
  <si>
    <t>-1.04458 , 37.84464</t>
  </si>
  <si>
    <t>-3.41114 , 38.59406</t>
  </si>
  <si>
    <t>-3.41097 , 38.59383</t>
  </si>
  <si>
    <t>Kericho-Kisumu Highway, Kericho, Belgut, Kericho County, 20205, KE</t>
  </si>
  <si>
    <t>-0.3046, 35.1903</t>
  </si>
  <si>
    <t>-0.3082, 35.1696</t>
  </si>
  <si>
    <t>00:02:08</t>
  </si>
  <si>
    <t>-1.0050, 36.5271</t>
  </si>
  <si>
    <t>-1.0115, 36.5012</t>
  </si>
  <si>
    <t>Meru-Nairobi Highway, Kenol, Gatanga, Murang'a County, KE</t>
  </si>
  <si>
    <t>-0.9825, 37.0923</t>
  </si>
  <si>
    <t>-0.9897, 37.0866</t>
  </si>
  <si>
    <t>-0.2404, 35.9185</t>
  </si>
  <si>
    <t>-0.2324, 35.9024</t>
  </si>
  <si>
    <t>-1.0822, 37.0420</t>
  </si>
  <si>
    <t>-1.0887, 37.0361</t>
  </si>
  <si>
    <t>-0.4899, 36.3047</t>
  </si>
  <si>
    <t>-0.4792, 36.2971</t>
  </si>
  <si>
    <t>-1.5797, 37.1566</t>
  </si>
  <si>
    <t>-1.5915, 37.1624</t>
  </si>
  <si>
    <t>-1.0811, 37.0428</t>
  </si>
  <si>
    <t>-1.0896, 37.0353</t>
  </si>
  <si>
    <t>-1.7832, 38.1433</t>
  </si>
  <si>
    <t>-1.7723, 38.1175</t>
  </si>
  <si>
    <t>00:00:46</t>
  </si>
  <si>
    <t>-1.1735, 37.4460</t>
  </si>
  <si>
    <t>-1.1648, 37.4519</t>
  </si>
  <si>
    <t>-0.2956, 35.1643</t>
  </si>
  <si>
    <t>-0.2887, 35.1633</t>
  </si>
  <si>
    <t>-0.9292, 37.1740</t>
  </si>
  <si>
    <t>-0.9188, 37.1969</t>
  </si>
  <si>
    <t>00:03:03</t>
  </si>
  <si>
    <t>-1.2284, 36.8811</t>
  </si>
  <si>
    <t>-1.2051, 36.9156</t>
  </si>
  <si>
    <t>00:02:32</t>
  </si>
  <si>
    <t>-0.8231, 36.4698</t>
  </si>
  <si>
    <t>-0.7918, 36.4600</t>
  </si>
  <si>
    <t>-1.2589, 36.8459</t>
  </si>
  <si>
    <t>-1.2558, 36.8560</t>
  </si>
  <si>
    <t>-1.1795, 36.6438</t>
  </si>
  <si>
    <t>-1.1873, 36.6476</t>
  </si>
  <si>
    <t>-0.3025, 35.1634</t>
  </si>
  <si>
    <t>-0.2893, 35.1635</t>
  </si>
  <si>
    <t>-0.9641, 37.1009</t>
  </si>
  <si>
    <t>-0.9594, 37.1093</t>
  </si>
  <si>
    <t>-0.17235 , 35.18483</t>
  </si>
  <si>
    <t>-0.17228 , 35.18483</t>
  </si>
  <si>
    <t>-0.46181 , 36.28102</t>
  </si>
  <si>
    <t>-0.46172 , 36.28092</t>
  </si>
  <si>
    <t>-0.19446 , 35.71885</t>
  </si>
  <si>
    <t>-0.19527 , 35.71968</t>
  </si>
  <si>
    <t>00:25:14</t>
  </si>
  <si>
    <t>-0.37513 , 36.22627</t>
  </si>
  <si>
    <t>-0.47466 , 36.29177</t>
  </si>
  <si>
    <t>00:31:59</t>
  </si>
  <si>
    <t>-0.39405 , 36.24587</t>
  </si>
  <si>
    <t>-0.42137 , 36.25904</t>
  </si>
  <si>
    <t>00:05:43</t>
  </si>
  <si>
    <t>-0.42302 , 36.25999</t>
  </si>
  <si>
    <t>-0.43912 , 36.26748</t>
  </si>
  <si>
    <t>-0.57424 , 36.36327</t>
  </si>
  <si>
    <t>-0.57459 , 36.36357</t>
  </si>
  <si>
    <t>-0.22309 , 35.88378</t>
  </si>
  <si>
    <t>-0.22318 , 35.88397</t>
  </si>
  <si>
    <t>00:55:49</t>
  </si>
  <si>
    <t>-0.38016 , 36.23168</t>
  </si>
  <si>
    <t>-0.41946 , 36.25775</t>
  </si>
  <si>
    <t>00:05:47</t>
  </si>
  <si>
    <t>-0.87893 , 36.49043</t>
  </si>
  <si>
    <t>-0.88483 , 36.49807</t>
  </si>
  <si>
    <t>-0.54855 , 36.34364</t>
  </si>
  <si>
    <t>-1.55106 , 37.22642</t>
  </si>
  <si>
    <t>00:24:22</t>
  </si>
  <si>
    <t>-0.49936 , 36.31385</t>
  </si>
  <si>
    <t>-0.43191 , 36.26347</t>
  </si>
  <si>
    <t>01:01:30</t>
  </si>
  <si>
    <t>-0.42994 , 36.26285</t>
  </si>
  <si>
    <t>-0.31923 , 36.14535</t>
  </si>
  <si>
    <t>-0.20449 , 35.79793</t>
  </si>
  <si>
    <t>-0.20449 , 35.80089</t>
  </si>
  <si>
    <t>-0.54008 , 37.42921</t>
  </si>
  <si>
    <t>-0.95142 , 37.11578</t>
  </si>
  <si>
    <t>-0.95161 , 37.1157</t>
  </si>
  <si>
    <t>-1.02208 , 37.06859</t>
  </si>
  <si>
    <t>-1.02364 , 37.06721</t>
  </si>
  <si>
    <t>-1.05954 , 37.05482</t>
  </si>
  <si>
    <t>-1.06108 , 37.05427</t>
  </si>
  <si>
    <t>00:32:03</t>
  </si>
  <si>
    <t>-1.39449 , 36.93969</t>
  </si>
  <si>
    <t>-1.28108 , 36.82845</t>
  </si>
  <si>
    <t>-1.16586 , 36.95669</t>
  </si>
  <si>
    <t>-1.16617 , 36.9565</t>
  </si>
  <si>
    <t>00:11:33</t>
  </si>
  <si>
    <t>-0.26858 , 36.00483</t>
  </si>
  <si>
    <t>-0.28961 , 36.05719</t>
  </si>
  <si>
    <t>-2.93661 , 38.41469</t>
  </si>
  <si>
    <t>-2.93681 , 38.41486</t>
  </si>
  <si>
    <t>-2.52736 , 38.01994</t>
  </si>
  <si>
    <t>-2.52703 , 38.01983</t>
  </si>
  <si>
    <t>-2.93911 , 38.41642</t>
  </si>
  <si>
    <t>-3.405 , 38.57486</t>
  </si>
  <si>
    <t>-3.40514 , 38.57417</t>
  </si>
  <si>
    <t>-1.46219 , 37.01092</t>
  </si>
  <si>
    <t>-1.46194 , 37.01064</t>
  </si>
  <si>
    <t>00:37:05</t>
  </si>
  <si>
    <t>-0.39244 , 36.24469</t>
  </si>
  <si>
    <t>-0.31694 , 36.14194</t>
  </si>
  <si>
    <t>00:23:59</t>
  </si>
  <si>
    <t>-0.31547 , 36.14103</t>
  </si>
  <si>
    <t>-0.28931 , 36.05089</t>
  </si>
  <si>
    <t>00:14:05</t>
  </si>
  <si>
    <t>-0.28864 , 36.04914</t>
  </si>
  <si>
    <t>-0.29211 , 36.05783</t>
  </si>
  <si>
    <t>00:19:29</t>
  </si>
  <si>
    <t>-0.30906 , 35.16217</t>
  </si>
  <si>
    <t>-0.31858 , 35.21761</t>
  </si>
  <si>
    <t>-4.01175 , 39.62922</t>
  </si>
  <si>
    <t>-4.01158 , 39.62894</t>
  </si>
  <si>
    <t>-0.15914 , 35.69361</t>
  </si>
  <si>
    <t>-0.15919 , 35.69367</t>
  </si>
  <si>
    <t>-1.24825 , 36.8635</t>
  </si>
  <si>
    <t>-1.24694 , 36.86475</t>
  </si>
  <si>
    <t>00:14:33</t>
  </si>
  <si>
    <t>-0.30808 , 35.16847</t>
  </si>
  <si>
    <t>-0.31872 , 35.21792</t>
  </si>
  <si>
    <t>-3.74664 , 39.11178</t>
  </si>
  <si>
    <t>-3.74697 , 39.11336</t>
  </si>
  <si>
    <t>-3.50297 , 38.69067</t>
  </si>
  <si>
    <t>-2.22728 , 37.75094</t>
  </si>
  <si>
    <t>-2.22708 , 37.7505</t>
  </si>
  <si>
    <t>-2.03703 , 37.401</t>
  </si>
  <si>
    <t>-2.03528 , 37.39858</t>
  </si>
  <si>
    <t>-1.23497 , 36.87278</t>
  </si>
  <si>
    <t>01:03:20</t>
  </si>
  <si>
    <t>-0.38744 , 36.24019</t>
  </si>
  <si>
    <t>-0.29236 , 36.05781</t>
  </si>
  <si>
    <t>0.63283 , 37.67336</t>
  </si>
  <si>
    <t>1.21936 , 37.65908</t>
  </si>
  <si>
    <t>1.2195 , 37.65925</t>
  </si>
  <si>
    <t>-0.80403 , 37.26317</t>
  </si>
  <si>
    <t>Kericho-Kisumu Highway, Londiani Junction, Chepseon, Kipkelion East, Kericho County, 20200, KE</t>
  </si>
  <si>
    <t>-0.2665, 35.4458</t>
  </si>
  <si>
    <t>-0.2656, 35.4549</t>
  </si>
  <si>
    <t>-0.1379, 36.7073</t>
  </si>
  <si>
    <t>-0.1342, 36.7010</t>
  </si>
  <si>
    <t>-0.9497, 34.5180</t>
  </si>
  <si>
    <t>-0.9388, 34.5200</t>
  </si>
  <si>
    <t>00:01:05</t>
  </si>
  <si>
    <t>-1.4123, 36.9498</t>
  </si>
  <si>
    <t>-1.4251, 36.9577</t>
  </si>
  <si>
    <t>-1.8282, 37.2422</t>
  </si>
  <si>
    <t>-1.8164, 37.2360</t>
  </si>
  <si>
    <t>-1.8310, 37.2445</t>
  </si>
  <si>
    <t>-1.5059, 37.0910</t>
  </si>
  <si>
    <t>-1.4963, 37.0702</t>
  </si>
  <si>
    <t>00:01:24</t>
  </si>
  <si>
    <t>0.7882, 34.8170</t>
  </si>
  <si>
    <t>0.7824, 34.7996</t>
  </si>
  <si>
    <t>00:02:12</t>
  </si>
  <si>
    <t>-1.4829, 37.0479</t>
  </si>
  <si>
    <t>-1.4674, 37.0200</t>
  </si>
  <si>
    <t>-0.2428, 35.9235</t>
  </si>
  <si>
    <t>-0.2317, 35.9010</t>
  </si>
  <si>
    <t>0.0998, 35.4930</t>
  </si>
  <si>
    <t>0.0990, 35.4859</t>
  </si>
  <si>
    <t>-0.9906, 37.0860</t>
  </si>
  <si>
    <t>-1.0023, 37.0807</t>
  </si>
  <si>
    <t>-0.2372, 35.9122</t>
  </si>
  <si>
    <t>-0.2276, 35.8929</t>
  </si>
  <si>
    <t>-0.9291, 37.1745</t>
  </si>
  <si>
    <t>-0.9176, 37.1983</t>
  </si>
  <si>
    <t>-0.5185, 37.1732</t>
  </si>
  <si>
    <t>-0.5243, 37.1782</t>
  </si>
  <si>
    <t>-0.9319, 36.5345</t>
  </si>
  <si>
    <t>-0.9465, 36.5468</t>
  </si>
  <si>
    <t>-0.1656, 35.6363</t>
  </si>
  <si>
    <t>-0.1724, 35.6222</t>
  </si>
  <si>
    <t>00:10:43</t>
  </si>
  <si>
    <t>-0.21144 , 35.41427</t>
  </si>
  <si>
    <t>-0.21409 , 35.40343</t>
  </si>
  <si>
    <t>01:07:19</t>
  </si>
  <si>
    <t>-1.23468 , 36.87335</t>
  </si>
  <si>
    <t>-1.13422 , 36.65615</t>
  </si>
  <si>
    <t>-1.23505 , 36.87296</t>
  </si>
  <si>
    <t>-1.23989 , 36.86998</t>
  </si>
  <si>
    <t>-1.24788 , 36.84687</t>
  </si>
  <si>
    <t>-2.4104 , 37.94405</t>
  </si>
  <si>
    <t>-2.41046 , 37.94456</t>
  </si>
  <si>
    <t>0.02079 , 37.69019</t>
  </si>
  <si>
    <t>0.02077 , 37.69028</t>
  </si>
  <si>
    <t>-0.24464 , 35.92992</t>
  </si>
  <si>
    <t>-0.24461 , 35.92966</t>
  </si>
  <si>
    <t>-0.98834 , 36.59287</t>
  </si>
  <si>
    <t>-0.98809 , 36.5924</t>
  </si>
  <si>
    <t>01:07:27</t>
  </si>
  <si>
    <t>-1.23474 , 36.87338</t>
  </si>
  <si>
    <t>-1.13459 , 36.65679</t>
  </si>
  <si>
    <t>-0.16887 , 35.66093</t>
  </si>
  <si>
    <t>-0.16893 , 35.66034</t>
  </si>
  <si>
    <t>02:16:28</t>
  </si>
  <si>
    <t>-0.61399 , 37.36243</t>
  </si>
  <si>
    <t>-1.22992 , 36.87946</t>
  </si>
  <si>
    <t>-0.96065 , 37.10744</t>
  </si>
  <si>
    <t>-0.96074 , 37.10727</t>
  </si>
  <si>
    <t>-0.28937 , 36.0513</t>
  </si>
  <si>
    <t>-0.28943 , 36.05147</t>
  </si>
  <si>
    <t>-1.15949 , 36.63971</t>
  </si>
  <si>
    <t>00:44:10</t>
  </si>
  <si>
    <t>-1.03726 , 36.60138</t>
  </si>
  <si>
    <t>-0.88455 , 36.49768</t>
  </si>
  <si>
    <t>00:11:53</t>
  </si>
  <si>
    <t>-0.29491 , 36.12753</t>
  </si>
  <si>
    <t>-0.32949 , 36.15779</t>
  </si>
  <si>
    <t>-1.11966 , 36.62323</t>
  </si>
  <si>
    <t>-1.11943 , 36.62288</t>
  </si>
  <si>
    <t>-0.87802 , 36.48924</t>
  </si>
  <si>
    <t>00:11:34</t>
  </si>
  <si>
    <t>-0.19933 , 35.82775</t>
  </si>
  <si>
    <t>-0.20684 , 35.851</t>
  </si>
  <si>
    <t>-1.23761 , 36.87061</t>
  </si>
  <si>
    <t>-0.84702 , 37.23262</t>
  </si>
  <si>
    <t>-1.2998 , 36.88589</t>
  </si>
  <si>
    <t>-1.29958 , 36.88596</t>
  </si>
  <si>
    <t>-1.19332 , 36.92662</t>
  </si>
  <si>
    <t>-1.00494 , 37.07953</t>
  </si>
  <si>
    <t>-1.00511 , 37.07944</t>
  </si>
  <si>
    <t>-1.22694 , 36.88292</t>
  </si>
  <si>
    <t>-1.22611 , 36.88411</t>
  </si>
  <si>
    <t>-1.22542 , 36.88508</t>
  </si>
  <si>
    <t>-0.26617 , 35.452</t>
  </si>
  <si>
    <t>-0.26608 , 35.45242</t>
  </si>
  <si>
    <t>-0.30725 , 35.17725</t>
  </si>
  <si>
    <t>-0.30719 , 35.17675</t>
  </si>
  <si>
    <t>00:54:32</t>
  </si>
  <si>
    <t>-0.93572 , 37.13825</t>
  </si>
  <si>
    <t>-1.22983 , 36.87947</t>
  </si>
  <si>
    <t>-0.01392 , 37.72853</t>
  </si>
  <si>
    <t>-0.01342 , 37.72847</t>
  </si>
  <si>
    <t>-1.23175 , 36.87725</t>
  </si>
  <si>
    <t>-1.23192 , 36.87703</t>
  </si>
  <si>
    <t>-0.82517 , 36.47033</t>
  </si>
  <si>
    <t>-0.82494 , 36.47025</t>
  </si>
  <si>
    <t>-0.57239 , 36.36153</t>
  </si>
  <si>
    <t>-1.21175 , 36.90467</t>
  </si>
  <si>
    <t>-1.17636 , 36.94236</t>
  </si>
  <si>
    <t>-1.17603 , 36.94264</t>
  </si>
  <si>
    <t>-1.11189 , 36.61536</t>
  </si>
  <si>
    <t>-1.11008 , 36.61328</t>
  </si>
  <si>
    <t>-1.07817 , 36.60236</t>
  </si>
  <si>
    <t>-1.07789 , 36.60236</t>
  </si>
  <si>
    <t>-1.018 , 36.60203</t>
  </si>
  <si>
    <t>-1.01786 , 36.60192</t>
  </si>
  <si>
    <t>-1.01717 , 36.60142</t>
  </si>
  <si>
    <t>-1.00619 , 36.60222</t>
  </si>
  <si>
    <t>-1.00519 , 36.60194</t>
  </si>
  <si>
    <t>-2.67361 , 38.14311</t>
  </si>
  <si>
    <t>-2.67372 , 38.14344</t>
  </si>
  <si>
    <t>-3.39983 , 38.54886</t>
  </si>
  <si>
    <t>-3.39883 , 38.54681</t>
  </si>
  <si>
    <t>-2.60119 , 38.06722</t>
  </si>
  <si>
    <t>-2.601 , 38.06717</t>
  </si>
  <si>
    <t>-2.38153 , 37.90308</t>
  </si>
  <si>
    <t>-2.19028 , 37.66492</t>
  </si>
  <si>
    <t>-2.16408 , 37.60936</t>
  </si>
  <si>
    <t>-1.57019 , 37.15194</t>
  </si>
  <si>
    <t>-1.56994 , 37.15183</t>
  </si>
  <si>
    <t>-1.38053 , 36.92878</t>
  </si>
  <si>
    <t>-1.34469 , 36.90067</t>
  </si>
  <si>
    <t>-1.31878 , 36.90844</t>
  </si>
  <si>
    <t>-1.25575 , 36.96819</t>
  </si>
  <si>
    <t>-3.09297 , 38.49303</t>
  </si>
  <si>
    <t>-3.09325 , 38.49308</t>
  </si>
  <si>
    <t>-0.36853 , 35.26047</t>
  </si>
  <si>
    <t>-0.36881 , 35.26075</t>
  </si>
  <si>
    <t>-0.9282, 37.1836</t>
  </si>
  <si>
    <t>-0.9182, 37.1976</t>
  </si>
  <si>
    <t>00:01:41</t>
  </si>
  <si>
    <t>A2, Mwea West, Kirinyaga County, KE</t>
  </si>
  <si>
    <t>-0.7222, 37.2673</t>
  </si>
  <si>
    <t>-0.7418, 37.2764</t>
  </si>
  <si>
    <t>B7, Mathunyani, Kitui West, Kitui County, KE</t>
  </si>
  <si>
    <t>-1.2536, 37.9174</t>
  </si>
  <si>
    <t>-1.2475, 37.9143</t>
  </si>
  <si>
    <t>-0.2675, 35.4427</t>
  </si>
  <si>
    <t>-0.2657, 35.4540</t>
  </si>
  <si>
    <t>-1.8216, 37.2389</t>
  </si>
  <si>
    <t>-1.8279, 37.2420</t>
  </si>
  <si>
    <t>Mayweather Suites, Limuru Road, Ruaka, Kiambaa, Kiambu, 11403, KE</t>
  </si>
  <si>
    <t>-1.1932, 36.7485</t>
  </si>
  <si>
    <t>-1.2051, 36.7772</t>
  </si>
  <si>
    <t>00:01:49</t>
  </si>
  <si>
    <t>-1.5069, 37.0925</t>
  </si>
  <si>
    <t>-1.4962, 37.0694</t>
  </si>
  <si>
    <t>Meru-Nairobi Highway, Keria, Mwimbi, Tharaka-Nithi, KE</t>
  </si>
  <si>
    <t>-0.2254, 37.6559</t>
  </si>
  <si>
    <t>-0.2212, 37.6565</t>
  </si>
  <si>
    <t>-0.9288, 37.1767</t>
  </si>
  <si>
    <t>-0.9194, 37.1962</t>
  </si>
  <si>
    <t>Thika Road, Kihunguro, Ruiru, Ruiru, Kiambu, 01001, KE</t>
  </si>
  <si>
    <t>-1.1442, 36.9653</t>
  </si>
  <si>
    <t>-1.1495, 36.9622</t>
  </si>
  <si>
    <t>A23, Ziwani, Taveta, Taita–Taveta, Coastal Kenya, KE</t>
  </si>
  <si>
    <t>-3.3944, 37.8321</t>
  </si>
  <si>
    <t>-3.3948, 37.8157</t>
  </si>
  <si>
    <t>00:05:09</t>
  </si>
  <si>
    <t>C102, Loitoktok, Loitokitok, Kajiado County, KE</t>
  </si>
  <si>
    <t>-2.9128, 37.5129</t>
  </si>
  <si>
    <t>-2.8408, 37.5225</t>
  </si>
  <si>
    <t>-1.0018, 35.6292</t>
  </si>
  <si>
    <t>-1.0017, 35.6180</t>
  </si>
  <si>
    <t>-0.3047, 35.1892</t>
  </si>
  <si>
    <t>-0.3082, 35.1703</t>
  </si>
  <si>
    <t>Kisii-Kisumu Road, Chabera, Kabondo Kasipul, Homa Bay County, Nyanza, KE</t>
  </si>
  <si>
    <t>-0.4254, 34.9762</t>
  </si>
  <si>
    <t>-0.4258, 34.9904</t>
  </si>
  <si>
    <t>Eldoret Bypass, Kapseret, Uasin Gishu County, KE</t>
  </si>
  <si>
    <t>0.4981, 35.1944</t>
  </si>
  <si>
    <t>0.5099, 35.1873</t>
  </si>
  <si>
    <t>-0.9619, 37.1043</t>
  </si>
  <si>
    <t>-0.9601, 37.1082</t>
  </si>
  <si>
    <t>00:01:31</t>
  </si>
  <si>
    <t>Naivasha-Mai Mahiu-Limuru Rd., Junction Maili Mbili, Naivasha, Nakuru, KE</t>
  </si>
  <si>
    <t>-0.7647, 36.4472</t>
  </si>
  <si>
    <t>-0.7461, 36.4408</t>
  </si>
  <si>
    <t>Kitui, Kitui Central, Kitui County, KE</t>
  </si>
  <si>
    <t>-1.3633, 37.9961</t>
  </si>
  <si>
    <t>-1.3724, 37.9974</t>
  </si>
  <si>
    <t>-1.1337, 36.6536</t>
  </si>
  <si>
    <t>-1.1440, 36.6620</t>
  </si>
  <si>
    <t>-0.1693 , 35.59788</t>
  </si>
  <si>
    <t>-0.16926 , 35.59827</t>
  </si>
  <si>
    <t>-0.58838 , 36.37321</t>
  </si>
  <si>
    <t>-0.58845 , 36.37325</t>
  </si>
  <si>
    <t>-1.26445 , 36.83676</t>
  </si>
  <si>
    <t>-1.264 , 36.83744</t>
  </si>
  <si>
    <t>-1.26158 , 36.87889</t>
  </si>
  <si>
    <t>-1.26075 , 36.87886</t>
  </si>
  <si>
    <t>0.1167 , 35.46843</t>
  </si>
  <si>
    <t>0.11696 , 35.46829</t>
  </si>
  <si>
    <t>-0.97311 , 37.09653</t>
  </si>
  <si>
    <t>-0.97128 , 37.09686</t>
  </si>
  <si>
    <t>-0.96164 , 37.10494</t>
  </si>
  <si>
    <t>-0.96142 , 37.1055</t>
  </si>
  <si>
    <t>-0.82401 , 37.1392</t>
  </si>
  <si>
    <t>-0.82358 , 37.13935</t>
  </si>
  <si>
    <t>-0.7616 , 37.02922</t>
  </si>
  <si>
    <t>-0.76133 , 37.03837</t>
  </si>
  <si>
    <t>-0.75579 , 37.06076</t>
  </si>
  <si>
    <t>-1.11944 , 36.62294</t>
  </si>
  <si>
    <t>-1.11931 , 36.62267</t>
  </si>
  <si>
    <t>-0.14642 , 35.03769</t>
  </si>
  <si>
    <t>-0.14642 , 35.03436</t>
  </si>
  <si>
    <t>01:05:55</t>
  </si>
  <si>
    <t>-2.2055 , 37.68778</t>
  </si>
  <si>
    <t>-2.41933 , 37.96156</t>
  </si>
  <si>
    <t>00:53:43</t>
  </si>
  <si>
    <t>-2.42108 , 37.96217</t>
  </si>
  <si>
    <t>-2.67197 , 38.13358</t>
  </si>
  <si>
    <t>00:17:24</t>
  </si>
  <si>
    <t>-2.67222 , 38.13525</t>
  </si>
  <si>
    <t>-2.69453 , 38.168</t>
  </si>
  <si>
    <t>00:00:52</t>
  </si>
  <si>
    <t>-0.73922 , 37.15617</t>
  </si>
  <si>
    <t>-0.74017 , 37.16108</t>
  </si>
  <si>
    <t>-0.74083 , 37.16192</t>
  </si>
  <si>
    <t>-0.74183 , 37.16275</t>
  </si>
  <si>
    <t>02:21:28</t>
  </si>
  <si>
    <t>-2.15967 , 37.59269</t>
  </si>
  <si>
    <t>-2.69478 , 38.16833</t>
  </si>
  <si>
    <t>-0.18506 , 35.11619</t>
  </si>
  <si>
    <t>-0.18492 , 35.11592</t>
  </si>
  <si>
    <t>0.90061 , 37.56053</t>
  </si>
  <si>
    <t>0.90161 , 37.56075</t>
  </si>
  <si>
    <t>-1.55028 , 37.144</t>
  </si>
  <si>
    <t>00:15:26</t>
  </si>
  <si>
    <t>-3.83525 , 39.43864</t>
  </si>
  <si>
    <t>-3.83444 , 39.43767</t>
  </si>
  <si>
    <t>00:46:09</t>
  </si>
  <si>
    <t>-3.83597 , 39.4385</t>
  </si>
  <si>
    <t>-3.88317 , 39.48992</t>
  </si>
  <si>
    <t>-0.77622 , 37.26864</t>
  </si>
  <si>
    <t>-0.77725 , 37.26825</t>
  </si>
  <si>
    <t>-1.13886 , 36.96936</t>
  </si>
  <si>
    <t>-1.13811 , 36.96978</t>
  </si>
  <si>
    <t>-1.1546, 36.6724</t>
  </si>
  <si>
    <t>-1.1703, 36.7045</t>
  </si>
  <si>
    <t>-0.8920, 37.2285</t>
  </si>
  <si>
    <t>-0.8835, 37.2328</t>
  </si>
  <si>
    <t>-1.1027, 36.0378</t>
  </si>
  <si>
    <t>-1.1106, 36.0431</t>
  </si>
  <si>
    <t>-1.0938, 36.1246</t>
  </si>
  <si>
    <t>-1.0954, 36.1309</t>
  </si>
  <si>
    <t>-1.0793, 37.0440</t>
  </si>
  <si>
    <t>-1.0893, 37.0355</t>
  </si>
  <si>
    <t>-0.9625, 37.1032</t>
  </si>
  <si>
    <t>-0.9606, 37.1073</t>
  </si>
  <si>
    <t>-0.0361, 35.6332</t>
  </si>
  <si>
    <t>-0.0470, 35.6396</t>
  </si>
  <si>
    <t>-1.2473, 36.8730</t>
  </si>
  <si>
    <t>-1.2498, 36.8783</t>
  </si>
  <si>
    <t>-0.8502, 34.5695</t>
  </si>
  <si>
    <t>-0.8439, 34.5748</t>
  </si>
  <si>
    <t>-0.8224, 37.2382</t>
  </si>
  <si>
    <t>-0.8181, 37.2434</t>
  </si>
  <si>
    <t>-2.3733, 37.9871</t>
  </si>
  <si>
    <t>-2.3893, 37.9833</t>
  </si>
  <si>
    <t>00:23:24</t>
  </si>
  <si>
    <t>-1.2110, 36.8748</t>
  </si>
  <si>
    <t>-1.2804, 36.8342</t>
  </si>
  <si>
    <t>Naivasha-Mai Mahiu-Limuru Rd., Lower Unity, Lake View ward, Naivasha, Nakuru, Rift Valley, Kenya</t>
  </si>
  <si>
    <t>-0.76993 , 36.44941</t>
  </si>
  <si>
    <t>-0.76988 , 36.44935</t>
  </si>
  <si>
    <t>-0.91322 , 36.5197</t>
  </si>
  <si>
    <t>-0.91461 , 36.52075</t>
  </si>
  <si>
    <t>00:21:53</t>
  </si>
  <si>
    <t>Waiyaki Way, Loresho sublocation, Kitisuru location, Uthiru ward, Kangemi division, Kabete, Kiambu, Central Kenya, 00505, Kenya</t>
  </si>
  <si>
    <t>A8;R2, Zambezi, Sigona ward, Kikuyu, Kiambu, Central Kenya, 12345, Kenya</t>
  </si>
  <si>
    <t>-1.26028 , 36.72157</t>
  </si>
  <si>
    <t>-1.22638 , 36.66376</t>
  </si>
  <si>
    <t>00:05:59</t>
  </si>
  <si>
    <t>Longonot sublocation, Longonot, Mai Mahiu ward, Naivasha, Nakuru, Rift Valley, Kenya</t>
  </si>
  <si>
    <t>-0.88464 , 36.49782</t>
  </si>
  <si>
    <t>-0.88409 , 36.49711</t>
  </si>
  <si>
    <t>-1.17841 , 36.72311</t>
  </si>
  <si>
    <t>-1.17884 , 36.72377</t>
  </si>
  <si>
    <t>00:07:04</t>
  </si>
  <si>
    <t>Muhoroni-Fort Ternan-Londiani Rd., Fort Ternan, Chilchila ward, Kipkelion West, Kericho, Rift Valley, Kenya</t>
  </si>
  <si>
    <t>-0.22505 , 35.36026</t>
  </si>
  <si>
    <t>-0.22471 , 35.36361</t>
  </si>
  <si>
    <t>-1.83266 , 37.25264</t>
  </si>
  <si>
    <t>Kericho-Kisumu Highway, Londiani Junction, Chepseon, Kedowa/Kimugul ward, Kipkelion East, Kericho, Rift Valley, 20200, Kenya</t>
  </si>
  <si>
    <t>-0.20604 , 35.5887</t>
  </si>
  <si>
    <t>-0.2076 , 35.58796</t>
  </si>
  <si>
    <t>-0.29001 , 35.16362</t>
  </si>
  <si>
    <t>-0.28982 , 35.16359</t>
  </si>
  <si>
    <t>-1.22386 , 36.88706</t>
  </si>
  <si>
    <t>-1.22361 , 36.88733</t>
  </si>
  <si>
    <t>-0.74089 , 37.32594</t>
  </si>
  <si>
    <t>-0.74145 , 37.3256</t>
  </si>
  <si>
    <t>-0.26634 , 35.448</t>
  </si>
  <si>
    <t>-0.2663 , 35.44863</t>
  </si>
  <si>
    <t>Kimachia Road, Rwenu, Ndenderu, Ndenderu ward, Kiambaa, Kiambu, 11403, KE</t>
  </si>
  <si>
    <t>-1.1942, 36.7328</t>
  </si>
  <si>
    <t>-1.1946, 36.7421</t>
  </si>
  <si>
    <t>-1.5790, 37.1563</t>
  </si>
  <si>
    <t>-1.5913, 37.1623</t>
  </si>
  <si>
    <t>00:00:55</t>
  </si>
  <si>
    <t>-1.0797, 37.0438</t>
  </si>
  <si>
    <t>-1.0892, 37.0357</t>
  </si>
  <si>
    <t>Equator sign, Nakuru - Eldoret Road, Tendeno/Sorget ward, Kipkelion East, Kericho County, Rift Valley, KE</t>
  </si>
  <si>
    <t>0.0026, 35.5324</t>
  </si>
  <si>
    <t>-0.0054, 35.5404</t>
  </si>
  <si>
    <t>-1.1341, 36.6560</t>
  </si>
  <si>
    <t>-1.1412, 36.6607</t>
  </si>
  <si>
    <t>-1.4724, 37.0293</t>
  </si>
  <si>
    <t>-1.4683, 37.0219</t>
  </si>
  <si>
    <t>-1.1385, 36.6596</t>
  </si>
  <si>
    <t>-1.1423, 36.6612</t>
  </si>
  <si>
    <t>Biashara ward, Ruiru, Kiambu, KE</t>
  </si>
  <si>
    <t>Eastern Bypass, Biashara ward, Ruiru, Kiambu, KE</t>
  </si>
  <si>
    <t>-1.1628, 36.9503</t>
  </si>
  <si>
    <t>-1.1595, 36.9400</t>
  </si>
  <si>
    <t>Thika Road, Zimmerman, Zimmerman ward, Kasarani, Nairobi County, 00608, KE</t>
  </si>
  <si>
    <t>-1.2123, 36.9032</t>
  </si>
  <si>
    <t>-1.2110, 36.9072</t>
  </si>
  <si>
    <t>-0.16532 , 35.64729</t>
  </si>
  <si>
    <t>-0.16592 , 35.6496</t>
  </si>
  <si>
    <t>-0.16917 , 35.48288</t>
  </si>
  <si>
    <t>-0.16956 , 35.48254</t>
  </si>
  <si>
    <t>-0.07531 , 34.71098</t>
  </si>
  <si>
    <t>-0.07526 , 34.71065</t>
  </si>
  <si>
    <t>-1.24106 , 36.98967</t>
  </si>
  <si>
    <t>-0.84533 , 37.23244</t>
  </si>
  <si>
    <t>-0.84411 , 37.23228</t>
  </si>
  <si>
    <t>-0.82006 , 37.241</t>
  </si>
  <si>
    <t>-0.81981 , 37.24131</t>
  </si>
  <si>
    <t>-0.94506 , 37.121</t>
  </si>
  <si>
    <t>-0.94625 , 37.11958</t>
  </si>
  <si>
    <t>-0.96249 , 37.10312</t>
  </si>
  <si>
    <t>-0.96217 , 37.10374</t>
  </si>
  <si>
    <t>-0.9998 , 37.08192</t>
  </si>
  <si>
    <t>-1.00079 , 37.08137</t>
  </si>
  <si>
    <t>-1.29774 , 36.87045</t>
  </si>
  <si>
    <t>-0.1689, 35.6582</t>
  </si>
  <si>
    <t>Kenya Breweries Limited; ISANDA AREA; KBL FACTORY</t>
  </si>
  <si>
    <t>-1.23703 , 36.87461</t>
  </si>
  <si>
    <t>-1.31044 , 36.85647</t>
  </si>
  <si>
    <t>-1.11003 , 37.75583</t>
  </si>
  <si>
    <t>-1.10969 , 37.75803</t>
  </si>
  <si>
    <t>-0.76906 , 37.27153</t>
  </si>
  <si>
    <t>-0.76933 , 37.27142</t>
  </si>
  <si>
    <t>-3.33042 , 38.52453</t>
  </si>
  <si>
    <t>-3.33072 , 38.52458</t>
  </si>
  <si>
    <t>-3.79186 , 39.35919</t>
  </si>
  <si>
    <t>-3.79189 , 39.35939</t>
  </si>
  <si>
    <t>-2.70103 , 38.17475</t>
  </si>
  <si>
    <t>-2.70083 , 38.17453</t>
  </si>
  <si>
    <t>-2.65633 , 38.11028</t>
  </si>
  <si>
    <t>-0.20378 , 35.84467</t>
  </si>
  <si>
    <t>-0.20472 , 35.84658</t>
  </si>
  <si>
    <t>-0.28978 , 36.05347</t>
  </si>
  <si>
    <t>-1.08108 , 37.31506</t>
  </si>
  <si>
    <t>-1.07961 , 37.31361</t>
  </si>
  <si>
    <t>-0.78478 , 37.26889</t>
  </si>
  <si>
    <t>-0.1680, 35.6648</t>
  </si>
  <si>
    <t>-1.5243, 37.1195</t>
  </si>
  <si>
    <t>-1.5139, 37.1034</t>
  </si>
  <si>
    <t>00:01:06</t>
  </si>
  <si>
    <t>-1.1601, 36.6855</t>
  </si>
  <si>
    <t>-1.1686, 36.6974</t>
  </si>
  <si>
    <t>-0.6923, 37.2478</t>
  </si>
  <si>
    <t>-0.7018, 37.2534</t>
  </si>
  <si>
    <t>-1.2564, 36.8552</t>
  </si>
  <si>
    <t>-1.2520, 36.8599</t>
  </si>
  <si>
    <t>-1.0810, 37.0428</t>
  </si>
  <si>
    <t>-1.0917, 37.0332</t>
  </si>
  <si>
    <t>00:03:59</t>
  </si>
  <si>
    <t>-1.5247, 37.1202</t>
  </si>
  <si>
    <t>-1.4961, 37.0688</t>
  </si>
  <si>
    <t>-1.8970, 36.7788</t>
  </si>
  <si>
    <t>-1.9107, 36.7795</t>
  </si>
  <si>
    <t>-3.1393, 36.6933</t>
  </si>
  <si>
    <t>-3.1216, 36.6962</t>
  </si>
  <si>
    <t>-0.16057 , 35.58307</t>
  </si>
  <si>
    <t>-0.16268 , 35.58409</t>
  </si>
  <si>
    <t>-1.00073 , 36.60234</t>
  </si>
  <si>
    <t>-1.00057 , 36.60231</t>
  </si>
  <si>
    <t>-0.20536 , 35.78747</t>
  </si>
  <si>
    <t>-0.2054 , 35.78759</t>
  </si>
  <si>
    <t>-0.15915 , 35.69291</t>
  </si>
  <si>
    <t>-0.15924 , 35.6926</t>
  </si>
  <si>
    <t>-0.28937 , 36.05131</t>
  </si>
  <si>
    <t>-0.28946 , 36.05156</t>
  </si>
  <si>
    <t>-0.28543 , 36.37473</t>
  </si>
  <si>
    <t>-0.28562 , 36.37472</t>
  </si>
  <si>
    <t>-0.99929 , 36.60145</t>
  </si>
  <si>
    <t>-0.99921 , 36.60142</t>
  </si>
  <si>
    <t>-0.58542 , 36.37141</t>
  </si>
  <si>
    <t>-0.58472 , 36.37096</t>
  </si>
  <si>
    <t>-1.39561 , 36.94086</t>
  </si>
  <si>
    <t>-0.96115 , 37.10647</t>
  </si>
  <si>
    <t>-0.9614 , 37.10593</t>
  </si>
  <si>
    <t>-1.32537 , 36.84767</t>
  </si>
  <si>
    <t>-1.32524 , 36.84745</t>
  </si>
  <si>
    <t>-0.79972 , 37.13668</t>
  </si>
  <si>
    <t>-0.80049 , 37.13704</t>
  </si>
  <si>
    <t>Kenya Breweries Limited; Zone 4 - Keg Road; KBL FACTORY</t>
  </si>
  <si>
    <t>-1.238 , 36.87901</t>
  </si>
  <si>
    <t>-1.23824 , 36.8767</t>
  </si>
  <si>
    <t>-0.22463 , 35.88359</t>
  </si>
  <si>
    <t>-0.22427 , 35.88376</t>
  </si>
  <si>
    <t>00:11:24</t>
  </si>
  <si>
    <t>-0.22331 , 35.88266</t>
  </si>
  <si>
    <t>-0.13715 , 35.6777</t>
  </si>
  <si>
    <t>-0.13696 , 35.67774</t>
  </si>
  <si>
    <t>0.09964 , 35.49184</t>
  </si>
  <si>
    <t>0.0993 , 35.48877</t>
  </si>
  <si>
    <t>0.24971 , 35.40718</t>
  </si>
  <si>
    <t>0.25037 , 35.40642</t>
  </si>
  <si>
    <t>-1.21582 , 36.89218</t>
  </si>
  <si>
    <t>-1.21372 , 36.89283</t>
  </si>
  <si>
    <t>-0.87306 , 37.14177</t>
  </si>
  <si>
    <t>-0.87321 , 37.14178</t>
  </si>
  <si>
    <t>0.04025 , 35.5372</t>
  </si>
  <si>
    <t>0.15936 , 34.31817</t>
  </si>
  <si>
    <t>0.1595 , 34.31792</t>
  </si>
  <si>
    <t>-1.22069 , 36.89017</t>
  </si>
  <si>
    <t>0.03144 , 35.53053</t>
  </si>
  <si>
    <t>0.03203 , 35.53078</t>
  </si>
  <si>
    <t>-0.30844 , 35.16575</t>
  </si>
  <si>
    <t>-0.89486 , 37.22575</t>
  </si>
  <si>
    <t>-0.89433 , 37.22647</t>
  </si>
  <si>
    <t>0.52333 , 35.253</t>
  </si>
  <si>
    <t>0.5235 , 35.25289</t>
  </si>
  <si>
    <t>Turkana</t>
  </si>
  <si>
    <t>3.07053 , 35.61839</t>
  </si>
  <si>
    <t>3.06978 , 35.61844</t>
  </si>
  <si>
    <t>3.06617 , 35.61881</t>
  </si>
  <si>
    <t>2.93358 , 35.61258</t>
  </si>
  <si>
    <t>2.93336 , 35.61261</t>
  </si>
  <si>
    <t>West Pokot</t>
  </si>
  <si>
    <t>1.45325 , 35.36556</t>
  </si>
  <si>
    <t>1.45289 , 35.36525</t>
  </si>
  <si>
    <t>1.25961 , 35.09794</t>
  </si>
  <si>
    <t>1.2595 , 35.09775</t>
  </si>
  <si>
    <t>0.98225 , 35.02683</t>
  </si>
  <si>
    <t>0.98217 , 35.03122</t>
  </si>
  <si>
    <t>0.97256 , 35.04944</t>
  </si>
  <si>
    <t>-2.67211 , 38.13406</t>
  </si>
  <si>
    <t>-2.67225 , 38.13494</t>
  </si>
  <si>
    <t>-2.43025 , 37.96511</t>
  </si>
  <si>
    <t>-2.42925 , 37.96492</t>
  </si>
  <si>
    <t>-2.12794 , 37.54494</t>
  </si>
  <si>
    <t>-2.12775 , 37.54467</t>
  </si>
  <si>
    <t>-0.9285, 36.5317</t>
  </si>
  <si>
    <t>-0.9445, 36.5450</t>
  </si>
  <si>
    <t>-0.2400, 35.9178</t>
  </si>
  <si>
    <t>-0.2288, 35.8951</t>
  </si>
  <si>
    <t>-1.1945, 36.6518</t>
  </si>
  <si>
    <t>-1.2020, 36.6551</t>
  </si>
  <si>
    <t>-0.0077, 35.5912</t>
  </si>
  <si>
    <t>-0.0140, 35.5981</t>
  </si>
  <si>
    <t>00:02:39</t>
  </si>
  <si>
    <t>-0.8016, 36.4634</t>
  </si>
  <si>
    <t>-0.7708, 36.4503</t>
  </si>
  <si>
    <t>-1.8188, 37.2375</t>
  </si>
  <si>
    <t>-1.8307, 37.2440</t>
  </si>
  <si>
    <t>-1.0801, 37.0435</t>
  </si>
  <si>
    <t>-1.2140, 36.8981</t>
  </si>
  <si>
    <t>-1.2069, 36.9140</t>
  </si>
  <si>
    <t>-1.1054, 36.1931</t>
  </si>
  <si>
    <t>-1.1050, 36.2067</t>
  </si>
  <si>
    <t>0.4577, 34.8585</t>
  </si>
  <si>
    <t>0.4720, 34.8519</t>
  </si>
  <si>
    <t>-0.73136 , 36.96608</t>
  </si>
  <si>
    <t>-0.16467 , 36.74742</t>
  </si>
  <si>
    <t>-0.16194 , 36.74617</t>
  </si>
  <si>
    <t>-0.15242 , 36.72058</t>
  </si>
  <si>
    <t>-0.15219 , 36.72025</t>
  </si>
  <si>
    <t>-0.13744 , 36.70656</t>
  </si>
  <si>
    <t>-0.13575 , 36.70353</t>
  </si>
  <si>
    <t>-0.074 , 36.60322</t>
  </si>
  <si>
    <t>-0.07383 , 36.60222</t>
  </si>
  <si>
    <t>-0.13751 , 35.6777</t>
  </si>
  <si>
    <t>-0.13707 , 35.67777</t>
  </si>
  <si>
    <t>0.09949 , 35.49048</t>
  </si>
  <si>
    <t>0.09939 , 35.48959</t>
  </si>
  <si>
    <t>-0.23663 , 35.91106</t>
  </si>
  <si>
    <t>-0.23563 , 35.90899</t>
  </si>
  <si>
    <t>-1.10519 , 37.76792</t>
  </si>
  <si>
    <t>-1.33372 , 36.89017</t>
  </si>
  <si>
    <t>-1.33236 , 36.88869</t>
  </si>
  <si>
    <t>-2.52625 , 38.01958</t>
  </si>
  <si>
    <t>-0.14489 , 37.81311</t>
  </si>
  <si>
    <t>-0.8225, 37.2382</t>
  </si>
  <si>
    <t>, -0.8225, 37.2382</t>
  </si>
  <si>
    <t>-1.5086, 37.0951</t>
  </si>
  <si>
    <t>, -1.5086, 37.0951</t>
  </si>
  <si>
    <t>-1.0014, 35.6277</t>
  </si>
  <si>
    <t>, -1.0014, 35.6277</t>
  </si>
  <si>
    <t>-2.1765, 37.6458</t>
  </si>
  <si>
    <t>, -2.1765, 37.6458</t>
  </si>
  <si>
    <t>-1.5042, 37.0883</t>
  </si>
  <si>
    <t>, -1.5042, 37.0883</t>
  </si>
  <si>
    <t>-0.8217, 37.2392</t>
  </si>
  <si>
    <t>, -0.8217, 37.2392</t>
  </si>
  <si>
    <t>-1.2012, 36.7633</t>
  </si>
  <si>
    <t>, -1.2012, 36.7633</t>
  </si>
  <si>
    <t>, -0.9319, 36.5346</t>
  </si>
  <si>
    <t>-1.5087, 37.0952</t>
  </si>
  <si>
    <t>, -1.5087, 37.0952</t>
  </si>
  <si>
    <t>-0.0185, 37.7445</t>
  </si>
  <si>
    <t>, -0.0185, 37.7445</t>
  </si>
  <si>
    <t>-0.15638 , 35.06436</t>
  </si>
  <si>
    <t>Mombasa Road, South C ward, Lang'ata, Nairobi, 00507, Kenya</t>
  </si>
  <si>
    <t>-1.32636 , 36.8494</t>
  </si>
  <si>
    <t>-1.3262 , 36.84913</t>
  </si>
  <si>
    <t>-1.32257 , 36.84832</t>
  </si>
  <si>
    <t>-1.32192 , 36.84866</t>
  </si>
  <si>
    <t>-1.23358 , 36.87497</t>
  </si>
  <si>
    <t>-1.23367 , 36.87485</t>
  </si>
  <si>
    <t>-1.17154 , 36.94796</t>
  </si>
  <si>
    <t>-1.17138 , 36.94823</t>
  </si>
  <si>
    <t>-1.16123 , 36.95828</t>
  </si>
  <si>
    <t>-1.16092 , 36.95837</t>
  </si>
  <si>
    <t>-0.90127 , 37.12003</t>
  </si>
  <si>
    <t>-0.90085 , 37.11987</t>
  </si>
  <si>
    <t>Eldoret-Malaba Road, Bokoli ward, Webuye West, Bungoma, Western, 50205, Kenya</t>
  </si>
  <si>
    <t>0.62171 , 34.68499</t>
  </si>
  <si>
    <t>00:40:30</t>
  </si>
  <si>
    <t>-1.93203 , 37.2938</t>
  </si>
  <si>
    <t>-2.07834 , 37.46537</t>
  </si>
  <si>
    <t>00:17:06</t>
  </si>
  <si>
    <t>Mombasa Road, Kipevu ward, Mombasa, Mikindani ward, Jomvu, Mombasa, Coastal Kenya, 80100, Kenya</t>
  </si>
  <si>
    <t>Mombasa Road, Mataa ya Ndege, Miritini, Jomvu Kuu ward, Jomvu, Mombasa, Coastal Kenya, Kenya</t>
  </si>
  <si>
    <t>-4.03117 , 39.64192</t>
  </si>
  <si>
    <t>-4.00834 , 39.59511</t>
  </si>
  <si>
    <t>-1.09417 , 37.03014</t>
  </si>
  <si>
    <t>-1.09425 , 37.03003</t>
  </si>
  <si>
    <t>Thika Road, Kiwanja, Nairobi, Kasarani, Nairobi, 00608, Kenya</t>
  </si>
  <si>
    <t>-1.185 , 36.93461</t>
  </si>
  <si>
    <t>-1.18608 , 36.93358</t>
  </si>
  <si>
    <t>-1.19522 , 36.92492</t>
  </si>
  <si>
    <t>-1.19553 , 36.92464</t>
  </si>
  <si>
    <t>-1.15914 , 36.95911</t>
  </si>
  <si>
    <t>-1.15931 , 36.95906</t>
  </si>
  <si>
    <t>Thika Road, Biashara ward, Ruiru, Kiambu, Central Kenya, Kenya</t>
  </si>
  <si>
    <t>-1.16572 , 36.95678</t>
  </si>
  <si>
    <t>-1.16642 , 36.95628</t>
  </si>
  <si>
    <t>01:06:02</t>
  </si>
  <si>
    <t>Malindi Road, Mtwapa, Shimo La Tewa ward, Kilifi South, Kilifi, Coastal Kenya, Kenya</t>
  </si>
  <si>
    <t>Mombasa Road, Kipevu ward, Mombasa, Mikindani ward, Jomvu, Mombasa, Coast, 80100, Kenya</t>
  </si>
  <si>
    <t>-3.94092 , 39.74472</t>
  </si>
  <si>
    <t>-4.02556 , 39.63375</t>
  </si>
  <si>
    <t>00:58:56</t>
  </si>
  <si>
    <t>Nairobi, Njiru, Nairobi, 00520, Kenya</t>
  </si>
  <si>
    <t>-1.47378 , 37.03192</t>
  </si>
  <si>
    <t>-1.28022 , 36.96456</t>
  </si>
  <si>
    <t>00:28:05</t>
  </si>
  <si>
    <t>-1.27931 , 36.96664</t>
  </si>
  <si>
    <t>-1.22328 , 36.91092</t>
  </si>
  <si>
    <t>WINAM LIMITED</t>
  </si>
  <si>
    <t>1.01914 , 35.00444</t>
  </si>
  <si>
    <t>00:36:24</t>
  </si>
  <si>
    <t>Nyali Bridge, Tononoka ward, Mombasa, Junda ward, Kisauni, Mombasa, Coastal Kenya, 80100, Kenya</t>
  </si>
  <si>
    <t>Total Changamwe Service Station, Refinery Road, Changamwe ward, Mombasa, Changamwe, Mikindani ward, Changamwe, Mombasa, Coast, Kenya</t>
  </si>
  <si>
    <t>-4.04297 , 39.67153</t>
  </si>
  <si>
    <t>-4.0255 , 39.63358</t>
  </si>
  <si>
    <t>Embu-Nairobi Highway, Kenol, Murang`a South, Murang`a, Central Kenya, Kenya</t>
  </si>
  <si>
    <t>-0.937 , 37.13119</t>
  </si>
  <si>
    <t>-1.1397 , 36.66005</t>
  </si>
  <si>
    <t>-1.14072 , 36.6605</t>
  </si>
  <si>
    <t>-1.17599 , 36.71714</t>
  </si>
  <si>
    <t>-1.17721 , 36.72102</t>
  </si>
  <si>
    <t>Kiongwani Grs Access Road, Kilome, Makueni, Eastern, Kenya</t>
  </si>
  <si>
    <t>-1.90308 , 37.27511</t>
  </si>
  <si>
    <t>-1.90492 , 37.2763</t>
  </si>
  <si>
    <t>Mombasa Road, Simba, Kenyawa-Poka ward, Kajiado East, Rift Valley, Kenya</t>
  </si>
  <si>
    <t>-2.16451 , 37.613</t>
  </si>
  <si>
    <t>-2.16477 , 37.6149</t>
  </si>
  <si>
    <t>-3.76396 , 39.17389</t>
  </si>
  <si>
    <t>-3.76409 , 39.17429</t>
  </si>
  <si>
    <t>-3.66256 , 38.92829</t>
  </si>
  <si>
    <t>-3.66179 , 38.92696</t>
  </si>
  <si>
    <t>-2.42623 , 37.96399</t>
  </si>
  <si>
    <t>-2.42541 , 37.9637</t>
  </si>
  <si>
    <t>-1.21309 , 36.90051</t>
  </si>
  <si>
    <t>-1.21267 , 36.90179</t>
  </si>
  <si>
    <t>-0.84506 , 37.2324</t>
  </si>
  <si>
    <t>-0.84422 , 37.2323</t>
  </si>
  <si>
    <t>Mombasa Road, Maji ya Chumvi, Mwavumbo ward, Kinango, Kwale, Coastal Kenya, Kenya</t>
  </si>
  <si>
    <t>Mombasa Road, Maji ya Chumvi, Mariakani ward, Kaloleni, Kilifi, Coastal Kenya, Kenya</t>
  </si>
  <si>
    <t>-3.78808 , 39.37274</t>
  </si>
  <si>
    <t>-3.78958 , 39.3776</t>
  </si>
  <si>
    <t>-2.2377 , 37.76402</t>
  </si>
  <si>
    <t>-2.23715 , 37.76336</t>
  </si>
  <si>
    <t>-1.2132 , 36.90041</t>
  </si>
  <si>
    <t>-1.21098 , 36.90712</t>
  </si>
  <si>
    <t>-1.20877 , 36.91212</t>
  </si>
  <si>
    <t>-1.20833 , 36.91255</t>
  </si>
  <si>
    <t>-1.5938, 37.1635</t>
  </si>
  <si>
    <t>Fish Safi Restaurant, Thika Road, Zimmerman, Nairobi, Kasarani, Nairobi County, 00608, KE</t>
  </si>
  <si>
    <t>Thika Road, Githurai, Kasarani, Nairobi County, 00608, KE</t>
  </si>
  <si>
    <t>-1.2129, 36.9011</t>
  </si>
  <si>
    <t>-1.2060, 36.9148</t>
  </si>
  <si>
    <t>00:01:12</t>
  </si>
  <si>
    <t>Kirinyaga West, Kirinyaga County, KE</t>
  </si>
  <si>
    <t>Fruit Market, A2, Sagana, Kirinyaga West, Kirinyaga County, 10101, KE</t>
  </si>
  <si>
    <t>-0.5901, 37.1932</t>
  </si>
  <si>
    <t>-0.6044, 37.2011</t>
  </si>
  <si>
    <t>-3.7883, 39.3744</t>
  </si>
  <si>
    <t>-3.7933, 39.3844</t>
  </si>
  <si>
    <t>-0.8520, 37.2334</t>
  </si>
  <si>
    <t>-0.8410, 37.2319</t>
  </si>
  <si>
    <t>-0.2662, 35.4575</t>
  </si>
  <si>
    <t>-0.2665, 35.4465</t>
  </si>
  <si>
    <t>-1.5798, 37.1567</t>
  </si>
  <si>
    <t>-1.5228, 37.1174</t>
  </si>
  <si>
    <t>-1.5156, 37.1061</t>
  </si>
  <si>
    <t>-0.9600, 37.1083</t>
  </si>
  <si>
    <t>-0.9628, 37.1026</t>
  </si>
  <si>
    <t>-1.5051, 37.0897</t>
  </si>
  <si>
    <t>-1.4967, 37.0720</t>
  </si>
  <si>
    <t>-0.3011, 35.1633</t>
  </si>
  <si>
    <t>-0.2880, 35.1631</t>
  </si>
  <si>
    <t>Embu-Nairobi Highway, Embu, Manyatta, Embu, Eastern, 60100, Kenya</t>
  </si>
  <si>
    <t>-0.47672 , 37.521</t>
  </si>
  <si>
    <t>-0.47673 , 37.52107</t>
  </si>
  <si>
    <t>Mumia Highway, Kitale, Kwanza, Trans Nzoia, Rift Valley, 30200, Kenya</t>
  </si>
  <si>
    <t>1.02719 , 35.00136</t>
  </si>
  <si>
    <t>1.02744 , 35.00119</t>
  </si>
  <si>
    <t>-1.17167 , 36.71075</t>
  </si>
  <si>
    <t>-1.17239 , 36.71158</t>
  </si>
  <si>
    <t>0.09958 , 35.49125</t>
  </si>
  <si>
    <t>0.09917 , 35.48742</t>
  </si>
  <si>
    <t>Kakamega-Kitale Road, Kiminini, Trans Nzoia, Rift Valley, Kenya</t>
  </si>
  <si>
    <t>0.86694 , 34.8775</t>
  </si>
  <si>
    <t>0.86836 , 34.88025</t>
  </si>
  <si>
    <t>-1.16322 , 36.64031</t>
  </si>
  <si>
    <t>-1.16345 , 36.64035</t>
  </si>
  <si>
    <t>-0.13811 , 35.67759</t>
  </si>
  <si>
    <t>-0.13623 , 35.67791</t>
  </si>
  <si>
    <t>0.09954 , 35.49086</t>
  </si>
  <si>
    <t>0.09933 , 35.48897</t>
  </si>
  <si>
    <t>-1.17184 , 36.94744</t>
  </si>
  <si>
    <t>-1.17172 , 36.94764</t>
  </si>
  <si>
    <t>00:05:56</t>
  </si>
  <si>
    <t>Mwiki ward, Ruiru, Kiambu, Central Kenya, 00608, Kenya</t>
  </si>
  <si>
    <t>Thika Road, Clay City sublocation, Kasarani, Nairobi, Kasarani, Nairobi, 00608, Kenya</t>
  </si>
  <si>
    <t>-1.20592 , 36.91609</t>
  </si>
  <si>
    <t>-1.21908 , 36.89227</t>
  </si>
  <si>
    <t>-2.64861 , 38.08953</t>
  </si>
  <si>
    <t>-2.64158 , 38.08369</t>
  </si>
  <si>
    <t>-1.09092 , 36.60592</t>
  </si>
  <si>
    <t>-1.09017 , 36.60569</t>
  </si>
  <si>
    <t>A8;R2, Rungiri, Gitaru, Kinoo ward, Kikuyu, Kiambu, Central Kenya, 12345, Kenya</t>
  </si>
  <si>
    <t>-1.24542 , 36.67917</t>
  </si>
  <si>
    <t>01:53:06</t>
  </si>
  <si>
    <t>Naivasha-Mai Mahiu-Limuru Road, Mai Mahiu sublocation, Jikaze, Mai Mahiu ward, Naivasha, Nakuru, Rift Valley, 00221, Kenya</t>
  </si>
  <si>
    <t>-0.93505 , 36.53722</t>
  </si>
  <si>
    <t>-1.2343 , 36.87319</t>
  </si>
  <si>
    <t>-0.26634 , 35.44771</t>
  </si>
  <si>
    <t>-0.26625 , 35.44971</t>
  </si>
  <si>
    <t>-0.24482 , 35.52019</t>
  </si>
  <si>
    <t>-0.24168 , 35.52333</t>
  </si>
  <si>
    <t>-0.23673 , 35.52517</t>
  </si>
  <si>
    <t>-0.23585 , 35.52582</t>
  </si>
  <si>
    <t>-0.23357 , 35.53241</t>
  </si>
  <si>
    <t>-0.23377 , 35.53302</t>
  </si>
  <si>
    <t>-0.23511 , 35.54016</t>
  </si>
  <si>
    <t>-0.23442 , 35.54465</t>
  </si>
  <si>
    <t>Nakuru - Eldoret Road, Twin Peak, Kamara ward, Kuresoi North, Nakuru, Rift Valley, Kenya</t>
  </si>
  <si>
    <t>-0.17752 , 35.70992</t>
  </si>
  <si>
    <t>-0.1797 , 35.71156</t>
  </si>
  <si>
    <t>Tabain, Kamara ward, Kuresoi North, Nakuru, Rift Valley, Kenya</t>
  </si>
  <si>
    <t>-0.19004 , 35.71449</t>
  </si>
  <si>
    <t>-0.19098 , 35.71539</t>
  </si>
  <si>
    <t>-0.19643 , 35.72104</t>
  </si>
  <si>
    <t>-0.90673 , 36.51469</t>
  </si>
  <si>
    <t>-0.90918 , 36.51655</t>
  </si>
  <si>
    <t>-0.91961 , 36.52448</t>
  </si>
  <si>
    <t>-0.92154 , 36.52594</t>
  </si>
  <si>
    <t>-0.92318 , 36.5273</t>
  </si>
  <si>
    <t>-0.92367 , 36.52771</t>
  </si>
  <si>
    <t>-0.92596 , 36.52962</t>
  </si>
  <si>
    <t>-0.92662 , 36.53018</t>
  </si>
  <si>
    <t>-0.92826 , 36.53155</t>
  </si>
  <si>
    <t>-0.93048 , 36.53341</t>
  </si>
  <si>
    <t>-0.96785 , 36.5681</t>
  </si>
  <si>
    <t>-0.96798 , 36.56826</t>
  </si>
  <si>
    <t>-0.97149 , 37.09681</t>
  </si>
  <si>
    <t>-0.97128 , 37.09685</t>
  </si>
  <si>
    <t>-0.92781 , 37.18524</t>
  </si>
  <si>
    <t>-0.92702 , 37.18698</t>
  </si>
  <si>
    <t>-0.84476 , 37.23242</t>
  </si>
  <si>
    <t>-0.84308 , 37.23214</t>
  </si>
  <si>
    <t>-1.0228 , 37.06796</t>
  </si>
  <si>
    <t>-1.02398 , 37.06699</t>
  </si>
  <si>
    <t>-1.8181, 37.2372</t>
  </si>
  <si>
    <t>-1.8301, 37.2434</t>
  </si>
  <si>
    <t>00:01:25</t>
  </si>
  <si>
    <t>Thika Road, Githurai ward, Kasarani, Nairobi County, 00608, KE</t>
  </si>
  <si>
    <t>-1.2138, 36.8985</t>
  </si>
  <si>
    <t>-1.2054, 36.9153</t>
  </si>
  <si>
    <t>Suswa W/B OCS office, Kaplong-Narok-Maai Road, Sattelite sublocation, Kitet B, Mai Mahiu ward, Naivasha, Nakuru, Rift Valley, KE</t>
  </si>
  <si>
    <t>-1.0049, 36.5271</t>
  </si>
  <si>
    <t>-1.0121, 36.4933</t>
  </si>
  <si>
    <t>00:04:50</t>
  </si>
  <si>
    <t>-0.8491, 36.4774</t>
  </si>
  <si>
    <t>-0.7921, 36.4601</t>
  </si>
  <si>
    <t>-1.5070, 37.0926</t>
  </si>
  <si>
    <t>-1.4984, 37.0791</t>
  </si>
  <si>
    <t>-1.9021, 37.2744</t>
  </si>
  <si>
    <t>-1.9175, 37.2843</t>
  </si>
  <si>
    <t>Kaplong-Narok-Maai Road, Ololulung'a ward, Narok South, Rift Valley, KE</t>
  </si>
  <si>
    <t>-1.0232, 35.6823</t>
  </si>
  <si>
    <t>-1.0263, 35.6952</t>
  </si>
  <si>
    <t>C70, Kandara, Kandara, Murang'a County, KE</t>
  </si>
  <si>
    <t>-0.8691, 36.9705</t>
  </si>
  <si>
    <t>-0.8812, 36.9771</t>
  </si>
  <si>
    <t>Thika Road, Clay City, Kasarani, Clay City ward, Kasarani, Nairobi County, 00608, KE</t>
  </si>
  <si>
    <t>-1.2129, 36.9016</t>
  </si>
  <si>
    <t>-1.2115, 36.9055</t>
  </si>
  <si>
    <t>-1.8189, 37.2376</t>
  </si>
  <si>
    <t>-1.8292, 37.2427</t>
  </si>
  <si>
    <t>-1.5226, 37.1171</t>
  </si>
  <si>
    <t>-1.5132, 37.1025</t>
  </si>
  <si>
    <t>May</t>
  </si>
  <si>
    <t>Jan</t>
  </si>
  <si>
    <t>Feb</t>
  </si>
  <si>
    <t>Mar</t>
  </si>
  <si>
    <t>Apr</t>
  </si>
  <si>
    <t>Jul</t>
  </si>
  <si>
    <t>Aug</t>
  </si>
  <si>
    <t>Sep</t>
  </si>
  <si>
    <t>Oct</t>
  </si>
  <si>
    <t>Nov</t>
  </si>
  <si>
    <t>Dec</t>
  </si>
  <si>
    <t>WK_1</t>
  </si>
  <si>
    <t>WK_10</t>
  </si>
  <si>
    <t>WK_11</t>
  </si>
  <si>
    <t>WK_12</t>
  </si>
  <si>
    <t>WK_13</t>
  </si>
  <si>
    <t>WK_14</t>
  </si>
  <si>
    <t>WK_15</t>
  </si>
  <si>
    <t>WK_16</t>
  </si>
  <si>
    <t>WK_17</t>
  </si>
  <si>
    <t>WK_18</t>
  </si>
  <si>
    <t>WK_19</t>
  </si>
  <si>
    <t>WK_2</t>
  </si>
  <si>
    <t>WK_20</t>
  </si>
  <si>
    <t>WK_21</t>
  </si>
  <si>
    <t>WK_27</t>
  </si>
  <si>
    <t>WK_28</t>
  </si>
  <si>
    <t>WK_29</t>
  </si>
  <si>
    <t>WK_3</t>
  </si>
  <si>
    <t>WK_30</t>
  </si>
  <si>
    <t>WK_31</t>
  </si>
  <si>
    <t>WK_32</t>
  </si>
  <si>
    <t>WK_33</t>
  </si>
  <si>
    <t>WK_34</t>
  </si>
  <si>
    <t>WK_35</t>
  </si>
  <si>
    <t>WK_36</t>
  </si>
  <si>
    <t>WK_37</t>
  </si>
  <si>
    <t>WK_38</t>
  </si>
  <si>
    <t>WK_39</t>
  </si>
  <si>
    <t>WK_4</t>
  </si>
  <si>
    <t>WK_40</t>
  </si>
  <si>
    <t>WK_41</t>
  </si>
  <si>
    <t>WK_42</t>
  </si>
  <si>
    <t>WK_43</t>
  </si>
  <si>
    <t>WK_44</t>
  </si>
  <si>
    <t>WK_45</t>
  </si>
  <si>
    <t>WK_46</t>
  </si>
  <si>
    <t>WK_47</t>
  </si>
  <si>
    <t>WK_48</t>
  </si>
  <si>
    <t>WK_49</t>
  </si>
  <si>
    <t>WK_5</t>
  </si>
  <si>
    <t>WK_50</t>
  </si>
  <si>
    <t>WK_51</t>
  </si>
  <si>
    <t>WK_52</t>
  </si>
  <si>
    <t>WK_53</t>
  </si>
  <si>
    <t>WK_6</t>
  </si>
  <si>
    <t>WK_7</t>
  </si>
  <si>
    <t>WK_8</t>
  </si>
  <si>
    <t>WK_9</t>
  </si>
  <si>
    <t>Total Violations</t>
  </si>
  <si>
    <t>Total Hauliers</t>
  </si>
  <si>
    <t>Total Drivers</t>
  </si>
  <si>
    <t>Sum</t>
  </si>
  <si>
    <t>Total Trucks</t>
  </si>
  <si>
    <t>29-02-2025  8:54:22 PM</t>
  </si>
  <si>
    <t>-0.19568 , 35.72025</t>
  </si>
  <si>
    <t>Count of Violation Distance (km)</t>
  </si>
  <si>
    <t>Start GPS Cordinates</t>
  </si>
  <si>
    <t>Final GPS Cordinates</t>
  </si>
  <si>
    <t>Months</t>
  </si>
  <si>
    <t>Event Type</t>
  </si>
  <si>
    <t>Reg.Numbers</t>
  </si>
  <si>
    <t>Drivers</t>
  </si>
  <si>
    <t>Driver-001</t>
  </si>
  <si>
    <t>Driver-002</t>
  </si>
  <si>
    <t>Driver-003</t>
  </si>
  <si>
    <t>Driver-004</t>
  </si>
  <si>
    <t>Driver-005</t>
  </si>
  <si>
    <t>Driver-006</t>
  </si>
  <si>
    <t>Driver-007</t>
  </si>
  <si>
    <t>Driver-008</t>
  </si>
  <si>
    <t>Driver-009</t>
  </si>
  <si>
    <t>Driver-010</t>
  </si>
  <si>
    <t>Driver-011</t>
  </si>
  <si>
    <t>Driver-012</t>
  </si>
  <si>
    <t>Driver-013</t>
  </si>
  <si>
    <t>Driver-014</t>
  </si>
  <si>
    <t>Driver-015</t>
  </si>
  <si>
    <t>Driver-016</t>
  </si>
  <si>
    <t>Driver-017</t>
  </si>
  <si>
    <t>Driver-018</t>
  </si>
  <si>
    <t>Driver-019</t>
  </si>
  <si>
    <t>Driver-020</t>
  </si>
  <si>
    <t>Driver-021</t>
  </si>
  <si>
    <t>Driver-022</t>
  </si>
  <si>
    <t>Driver-023</t>
  </si>
  <si>
    <t>Driver-024</t>
  </si>
  <si>
    <t>Driver-025</t>
  </si>
  <si>
    <t>Driver-026</t>
  </si>
  <si>
    <t>Driver-027</t>
  </si>
  <si>
    <t>Driver-028</t>
  </si>
  <si>
    <t>Driver-029</t>
  </si>
  <si>
    <t>Driver-030</t>
  </si>
  <si>
    <t>Driver-031</t>
  </si>
  <si>
    <t>Driver-032</t>
  </si>
  <si>
    <t>Driver-033</t>
  </si>
  <si>
    <t>Driver-034</t>
  </si>
  <si>
    <t>Driver-035</t>
  </si>
  <si>
    <t>Driver-036</t>
  </si>
  <si>
    <t>Driver-037</t>
  </si>
  <si>
    <t>Driver-038</t>
  </si>
  <si>
    <t>Driver-039</t>
  </si>
  <si>
    <t>Driver-040</t>
  </si>
  <si>
    <t>Driver-041</t>
  </si>
  <si>
    <t>Driver-042</t>
  </si>
  <si>
    <t>Driver-043</t>
  </si>
  <si>
    <t>Driver-044</t>
  </si>
  <si>
    <t>Driver-045</t>
  </si>
  <si>
    <t>Driver-046</t>
  </si>
  <si>
    <t>Driver-047</t>
  </si>
  <si>
    <t>Driver-048</t>
  </si>
  <si>
    <t>Driver-049</t>
  </si>
  <si>
    <t>Driver-050</t>
  </si>
  <si>
    <t>Driver-051</t>
  </si>
  <si>
    <t>Driver-052</t>
  </si>
  <si>
    <t>Driver-053</t>
  </si>
  <si>
    <t>Driver-054</t>
  </si>
  <si>
    <t>Driver-055</t>
  </si>
  <si>
    <t>Driver-056</t>
  </si>
  <si>
    <t>Driver-057</t>
  </si>
  <si>
    <t>Driver-058</t>
  </si>
  <si>
    <t>Driver-059</t>
  </si>
  <si>
    <t>Driver-060</t>
  </si>
  <si>
    <t>Driver-061</t>
  </si>
  <si>
    <t>Driver-062</t>
  </si>
  <si>
    <t>Driver-063</t>
  </si>
  <si>
    <t>Driver-064</t>
  </si>
  <si>
    <t>Driver-065</t>
  </si>
  <si>
    <t>Driver-066</t>
  </si>
  <si>
    <t>Driver-067</t>
  </si>
  <si>
    <t>Driver-068</t>
  </si>
  <si>
    <t>Driver-069</t>
  </si>
  <si>
    <t>Driver-070</t>
  </si>
  <si>
    <t>Driver-071</t>
  </si>
  <si>
    <t>Driver-072</t>
  </si>
  <si>
    <t>Driver-073</t>
  </si>
  <si>
    <t>Driver-074</t>
  </si>
  <si>
    <t>Driver-075</t>
  </si>
  <si>
    <t>Driver-076</t>
  </si>
  <si>
    <t>Driver-077</t>
  </si>
  <si>
    <t>Driver-078</t>
  </si>
  <si>
    <t>Driver-079</t>
  </si>
  <si>
    <t>Driver-080</t>
  </si>
  <si>
    <t>Driver-081</t>
  </si>
  <si>
    <t>Driver-082</t>
  </si>
  <si>
    <t>Driver-083</t>
  </si>
  <si>
    <t>Driver-084</t>
  </si>
  <si>
    <t>Driver-085</t>
  </si>
  <si>
    <t>Driver-086</t>
  </si>
  <si>
    <t>Driver-087</t>
  </si>
  <si>
    <t>Driver-088</t>
  </si>
  <si>
    <t>Driver-089</t>
  </si>
  <si>
    <t>Driver-090</t>
  </si>
  <si>
    <t>Driver-091</t>
  </si>
  <si>
    <t>Driver-092</t>
  </si>
  <si>
    <t>Driver-093</t>
  </si>
  <si>
    <t>Driver-094</t>
  </si>
  <si>
    <t>Driver-095</t>
  </si>
  <si>
    <t>Driver-096</t>
  </si>
  <si>
    <t>Driver-097</t>
  </si>
  <si>
    <t>Driver-098</t>
  </si>
  <si>
    <t>Driver-099</t>
  </si>
  <si>
    <t>Driver-100</t>
  </si>
  <si>
    <t>Driver-101</t>
  </si>
  <si>
    <t>Driver-102</t>
  </si>
  <si>
    <t>Driver-103</t>
  </si>
  <si>
    <t>Driver-104</t>
  </si>
  <si>
    <t>Driver-105</t>
  </si>
  <si>
    <t>Driver-106</t>
  </si>
  <si>
    <t>Driver-107</t>
  </si>
  <si>
    <t>Driver-108</t>
  </si>
  <si>
    <t>Driver-109</t>
  </si>
  <si>
    <t>Driver-110</t>
  </si>
  <si>
    <t>Driver-111</t>
  </si>
  <si>
    <t>Driver-112</t>
  </si>
  <si>
    <t>Driver-113</t>
  </si>
  <si>
    <t>Driver-114</t>
  </si>
  <si>
    <t>Driver-115</t>
  </si>
  <si>
    <t>Driver-116</t>
  </si>
  <si>
    <t>Driver-117</t>
  </si>
  <si>
    <t>Driver-118</t>
  </si>
  <si>
    <t>Driver-119</t>
  </si>
  <si>
    <t>Driver-120</t>
  </si>
  <si>
    <t>Driver-121</t>
  </si>
  <si>
    <t>Driver-122</t>
  </si>
  <si>
    <t>Driver-123</t>
  </si>
  <si>
    <t>Driver-124</t>
  </si>
  <si>
    <t>Driver-125</t>
  </si>
  <si>
    <t>Driver-126</t>
  </si>
  <si>
    <t>Driver-127</t>
  </si>
  <si>
    <t>Driver-128</t>
  </si>
  <si>
    <t>Driver-129</t>
  </si>
  <si>
    <t>Driver-130</t>
  </si>
  <si>
    <t>Driver-131</t>
  </si>
  <si>
    <t>Driver-132</t>
  </si>
  <si>
    <t>Driver-133</t>
  </si>
  <si>
    <t>Driver-134</t>
  </si>
  <si>
    <t>Driver-135</t>
  </si>
  <si>
    <t>Driver-136</t>
  </si>
  <si>
    <t>Driver-137</t>
  </si>
  <si>
    <t>Driver-138</t>
  </si>
  <si>
    <t>Driver-139</t>
  </si>
  <si>
    <t>Driver-140</t>
  </si>
  <si>
    <t>Driver-141</t>
  </si>
  <si>
    <t>Driver-142</t>
  </si>
  <si>
    <t>Driver-143</t>
  </si>
  <si>
    <t>Driver-144</t>
  </si>
  <si>
    <t>Driver-145</t>
  </si>
  <si>
    <t>Driver-146</t>
  </si>
  <si>
    <t>Driver-147</t>
  </si>
  <si>
    <t>Driver-148</t>
  </si>
  <si>
    <t>Driver-149</t>
  </si>
  <si>
    <t>Driver-150</t>
  </si>
  <si>
    <t>Driver-151</t>
  </si>
  <si>
    <t>Driver-152</t>
  </si>
  <si>
    <t>Driver-153</t>
  </si>
  <si>
    <t>Driver-154</t>
  </si>
  <si>
    <t>Driver-155</t>
  </si>
  <si>
    <t>Driver-156</t>
  </si>
  <si>
    <t>Driver-157</t>
  </si>
  <si>
    <t>Driver-158</t>
  </si>
  <si>
    <t>Driver-159</t>
  </si>
  <si>
    <t>Driver-160</t>
  </si>
  <si>
    <t>Driver-161</t>
  </si>
  <si>
    <t>Driver-162</t>
  </si>
  <si>
    <t>Driver-163</t>
  </si>
  <si>
    <t>Driver-164</t>
  </si>
  <si>
    <t>Driver-165</t>
  </si>
  <si>
    <t>Driver-166</t>
  </si>
  <si>
    <t>Driver-167</t>
  </si>
  <si>
    <t>Driver-168</t>
  </si>
  <si>
    <t>Driver-169</t>
  </si>
  <si>
    <t>Driver-170</t>
  </si>
  <si>
    <t>Driver-171</t>
  </si>
  <si>
    <t>Driver-172</t>
  </si>
  <si>
    <t>Driver-173</t>
  </si>
  <si>
    <t>Driver-174</t>
  </si>
  <si>
    <t>Driver-175</t>
  </si>
  <si>
    <t>Driver-176</t>
  </si>
  <si>
    <t>Driver-177</t>
  </si>
  <si>
    <t>Driver-178</t>
  </si>
  <si>
    <t>Driver-179</t>
  </si>
  <si>
    <t>Driver-180</t>
  </si>
  <si>
    <t>Driver-181</t>
  </si>
  <si>
    <t>Driver-182</t>
  </si>
  <si>
    <t>Driver-183</t>
  </si>
  <si>
    <t>Driver-184</t>
  </si>
  <si>
    <t>Driver-185</t>
  </si>
  <si>
    <t>Driver-186</t>
  </si>
  <si>
    <t>Driver-187</t>
  </si>
  <si>
    <t>Driver-188</t>
  </si>
  <si>
    <t>Driver-189</t>
  </si>
  <si>
    <t>Driver-190</t>
  </si>
  <si>
    <t>Driver-191</t>
  </si>
  <si>
    <t>Driver-192</t>
  </si>
  <si>
    <t>Driver-193</t>
  </si>
  <si>
    <t>Driver-194</t>
  </si>
  <si>
    <t>Driver-195</t>
  </si>
  <si>
    <t>Driver-196</t>
  </si>
  <si>
    <t>Driver-197</t>
  </si>
  <si>
    <t>Driver-198</t>
  </si>
  <si>
    <t>Driver-199</t>
  </si>
  <si>
    <t>Driver-200</t>
  </si>
  <si>
    <t>Driver-201</t>
  </si>
  <si>
    <t>Driver-202</t>
  </si>
  <si>
    <t>Driver-203</t>
  </si>
  <si>
    <t>Driver-204</t>
  </si>
  <si>
    <t>Driver-205</t>
  </si>
  <si>
    <t>Driver-206</t>
  </si>
  <si>
    <t>Driver-207</t>
  </si>
  <si>
    <t>Driver-208</t>
  </si>
  <si>
    <t>Driver-209</t>
  </si>
  <si>
    <t>Driver-210</t>
  </si>
  <si>
    <t>Driver-211</t>
  </si>
  <si>
    <t>Driver-212</t>
  </si>
  <si>
    <t>Driver-213</t>
  </si>
  <si>
    <t>Driver-214</t>
  </si>
  <si>
    <t>Driver-215</t>
  </si>
  <si>
    <t>Driver-216</t>
  </si>
  <si>
    <t>Driver-217</t>
  </si>
  <si>
    <t>Driver-218</t>
  </si>
  <si>
    <t>Driver-219</t>
  </si>
  <si>
    <t>Driver-220</t>
  </si>
  <si>
    <t>Driver-221</t>
  </si>
  <si>
    <t>Driver-222</t>
  </si>
  <si>
    <t>Driver-223</t>
  </si>
  <si>
    <t>Driver-224</t>
  </si>
  <si>
    <t>Driver-225</t>
  </si>
  <si>
    <t>Driver-226</t>
  </si>
  <si>
    <t>Driver-227</t>
  </si>
  <si>
    <t>Driver-228</t>
  </si>
  <si>
    <t>Driver-229</t>
  </si>
  <si>
    <t>Driver-230</t>
  </si>
  <si>
    <t>Driver-231</t>
  </si>
  <si>
    <t>Driver-232</t>
  </si>
  <si>
    <t>Driver-233</t>
  </si>
  <si>
    <t>Driver-234</t>
  </si>
  <si>
    <t>Truck-001</t>
  </si>
  <si>
    <t>Truck-002</t>
  </si>
  <si>
    <t>Truck-003</t>
  </si>
  <si>
    <t>Truck-004</t>
  </si>
  <si>
    <t>Truck-005</t>
  </si>
  <si>
    <t>Truck-006</t>
  </si>
  <si>
    <t>Truck-007</t>
  </si>
  <si>
    <t>Truck-008</t>
  </si>
  <si>
    <t>Truck-009</t>
  </si>
  <si>
    <t>Truck-010</t>
  </si>
  <si>
    <t>Truck-011</t>
  </si>
  <si>
    <t>Truck-012</t>
  </si>
  <si>
    <t>Truck-013</t>
  </si>
  <si>
    <t>Truck-014</t>
  </si>
  <si>
    <t>Truck-015</t>
  </si>
  <si>
    <t>Truck-016</t>
  </si>
  <si>
    <t>Truck-017</t>
  </si>
  <si>
    <t>Truck-018</t>
  </si>
  <si>
    <t>Truck-019</t>
  </si>
  <si>
    <t>Truck-020</t>
  </si>
  <si>
    <t>Truck-021</t>
  </si>
  <si>
    <t>Truck-022</t>
  </si>
  <si>
    <t>Truck-023</t>
  </si>
  <si>
    <t>Truck-024</t>
  </si>
  <si>
    <t>Truck-025</t>
  </si>
  <si>
    <t>Truck-026</t>
  </si>
  <si>
    <t>Truck-027</t>
  </si>
  <si>
    <t>Truck-028</t>
  </si>
  <si>
    <t>Truck-029</t>
  </si>
  <si>
    <t>Truck-030</t>
  </si>
  <si>
    <t>Truck-031</t>
  </si>
  <si>
    <t>Truck-032</t>
  </si>
  <si>
    <t>Truck-033</t>
  </si>
  <si>
    <t>Truck-034</t>
  </si>
  <si>
    <t>Truck-035</t>
  </si>
  <si>
    <t>Truck-036</t>
  </si>
  <si>
    <t>Truck-037</t>
  </si>
  <si>
    <t>Truck-038</t>
  </si>
  <si>
    <t>Truck-039</t>
  </si>
  <si>
    <t>Truck-040</t>
  </si>
  <si>
    <t>Truck-041</t>
  </si>
  <si>
    <t>Truck-042</t>
  </si>
  <si>
    <t>Truck-043</t>
  </si>
  <si>
    <t>Truck-044</t>
  </si>
  <si>
    <t>Truck-045</t>
  </si>
  <si>
    <t>Truck-046</t>
  </si>
  <si>
    <t>Truck-047</t>
  </si>
  <si>
    <t>Truck-048</t>
  </si>
  <si>
    <t>Truck-049</t>
  </si>
  <si>
    <t>Truck-050</t>
  </si>
  <si>
    <t>Truck-051</t>
  </si>
  <si>
    <t>Truck-052</t>
  </si>
  <si>
    <t>Truck-053</t>
  </si>
  <si>
    <t>Truck-054</t>
  </si>
  <si>
    <t>Truck-055</t>
  </si>
  <si>
    <t>Truck-056</t>
  </si>
  <si>
    <t>Truck-057</t>
  </si>
  <si>
    <t>Truck-058</t>
  </si>
  <si>
    <t>Truck-059</t>
  </si>
  <si>
    <t>Truck-060</t>
  </si>
  <si>
    <t>Truck-061</t>
  </si>
  <si>
    <t>Truck-062</t>
  </si>
  <si>
    <t>Truck-063</t>
  </si>
  <si>
    <t>Truck-064</t>
  </si>
  <si>
    <t>Truck-065</t>
  </si>
  <si>
    <t>Truck-066</t>
  </si>
  <si>
    <t>Truck-067</t>
  </si>
  <si>
    <t>Truck-068</t>
  </si>
  <si>
    <t>Truck-069</t>
  </si>
  <si>
    <t>Truck-070</t>
  </si>
  <si>
    <t>Truck-071</t>
  </si>
  <si>
    <t>Truck-072</t>
  </si>
  <si>
    <t>Truck-073</t>
  </si>
  <si>
    <t>Truck-074</t>
  </si>
  <si>
    <t>Truck-075</t>
  </si>
  <si>
    <t>Truck-076</t>
  </si>
  <si>
    <t>Truck-077</t>
  </si>
  <si>
    <t>Truck-078</t>
  </si>
  <si>
    <t>Truck-079</t>
  </si>
  <si>
    <t>Truck-080</t>
  </si>
  <si>
    <t>Truck-081</t>
  </si>
  <si>
    <t>Truck-082</t>
  </si>
  <si>
    <t>Truck-083</t>
  </si>
  <si>
    <t>Truck-084</t>
  </si>
  <si>
    <t>Truck-085</t>
  </si>
  <si>
    <t>Truck-086</t>
  </si>
  <si>
    <t>Truck-087</t>
  </si>
  <si>
    <t>Truck-088</t>
  </si>
  <si>
    <t>Truck-089</t>
  </si>
  <si>
    <t>Truck-090</t>
  </si>
  <si>
    <t>Truck-091</t>
  </si>
  <si>
    <t>Truck-092</t>
  </si>
  <si>
    <t>Truck-093</t>
  </si>
  <si>
    <t>Truck-094</t>
  </si>
  <si>
    <t>Truck-095</t>
  </si>
  <si>
    <t>Truck-096</t>
  </si>
  <si>
    <t>Truck-097</t>
  </si>
  <si>
    <t>Truck-098</t>
  </si>
  <si>
    <t>Truck-099</t>
  </si>
  <si>
    <t>Truck-100</t>
  </si>
  <si>
    <t>Truck-101</t>
  </si>
  <si>
    <t>Truck-102</t>
  </si>
  <si>
    <t>Truck-103</t>
  </si>
  <si>
    <t>Truck-104</t>
  </si>
  <si>
    <t>Truck-105</t>
  </si>
  <si>
    <t>Truck-106</t>
  </si>
  <si>
    <t>Truck-107</t>
  </si>
  <si>
    <t>Truck-108</t>
  </si>
  <si>
    <t>Truck-109</t>
  </si>
  <si>
    <t>Truck-110</t>
  </si>
  <si>
    <t>Truck-111</t>
  </si>
  <si>
    <t>Truck-112</t>
  </si>
  <si>
    <t>Truck-113</t>
  </si>
  <si>
    <t>Truck-114</t>
  </si>
  <si>
    <t>Truck-115</t>
  </si>
  <si>
    <t>Truck-116</t>
  </si>
  <si>
    <t>Truck-117</t>
  </si>
  <si>
    <t>Truck-118</t>
  </si>
  <si>
    <t>Truck-119</t>
  </si>
  <si>
    <t>Truck-120</t>
  </si>
  <si>
    <t>Truck-121</t>
  </si>
  <si>
    <t>Truck-122</t>
  </si>
  <si>
    <t>Truck-123</t>
  </si>
  <si>
    <t>Truck-124</t>
  </si>
  <si>
    <t>Truck-125</t>
  </si>
  <si>
    <t>Truck-126</t>
  </si>
  <si>
    <t>Truck-127</t>
  </si>
  <si>
    <t>Truck-128</t>
  </si>
  <si>
    <t>Truck-129</t>
  </si>
  <si>
    <t>Truck-130</t>
  </si>
  <si>
    <t>Truck-131</t>
  </si>
  <si>
    <t>Truck-132</t>
  </si>
  <si>
    <t>Truck-133</t>
  </si>
  <si>
    <t>Truck-134</t>
  </si>
  <si>
    <t>Truck-135</t>
  </si>
  <si>
    <t>Truck-136</t>
  </si>
  <si>
    <t>Truck-137</t>
  </si>
  <si>
    <t>Truck-138</t>
  </si>
  <si>
    <t>Truck-139</t>
  </si>
  <si>
    <t>Truck-140</t>
  </si>
  <si>
    <t>Truck-141</t>
  </si>
  <si>
    <t>Truck-142</t>
  </si>
  <si>
    <t>Truck-143</t>
  </si>
  <si>
    <t>Truck-144</t>
  </si>
  <si>
    <t>Truck-145</t>
  </si>
  <si>
    <t>Truck-146</t>
  </si>
  <si>
    <t>Truck-147</t>
  </si>
  <si>
    <t>Truck-148</t>
  </si>
  <si>
    <t>Truck-149</t>
  </si>
  <si>
    <t>Truck-150</t>
  </si>
  <si>
    <t>Truck-151</t>
  </si>
  <si>
    <t>Truck-152</t>
  </si>
  <si>
    <t>Truck-153</t>
  </si>
  <si>
    <t>Truck-154</t>
  </si>
  <si>
    <t>Truck-155</t>
  </si>
  <si>
    <t>Truck-156</t>
  </si>
  <si>
    <t>Truck-157</t>
  </si>
  <si>
    <t>Truck-158</t>
  </si>
  <si>
    <t>Truck-159</t>
  </si>
  <si>
    <t>Truck-160</t>
  </si>
  <si>
    <t>Truck-161</t>
  </si>
  <si>
    <t>Truck-162</t>
  </si>
  <si>
    <t>Truck-163</t>
  </si>
  <si>
    <t>Truck-164</t>
  </si>
  <si>
    <t>Truck-165</t>
  </si>
  <si>
    <t>Truck-166</t>
  </si>
  <si>
    <t>Truck-167</t>
  </si>
  <si>
    <t>Truck-168</t>
  </si>
  <si>
    <t>Truck-169</t>
  </si>
  <si>
    <t>Truck-170</t>
  </si>
  <si>
    <t>Truck-171</t>
  </si>
  <si>
    <t>Truck-172</t>
  </si>
  <si>
    <t>Truck-173</t>
  </si>
  <si>
    <t>Truck-174</t>
  </si>
  <si>
    <t>Truck-175</t>
  </si>
  <si>
    <t>Truck-176</t>
  </si>
  <si>
    <t>Truck-177</t>
  </si>
  <si>
    <t>Truck-178</t>
  </si>
  <si>
    <t>Truck-179</t>
  </si>
  <si>
    <t>Truck-180</t>
  </si>
  <si>
    <t>Truck-181</t>
  </si>
  <si>
    <t>Truck-182</t>
  </si>
  <si>
    <t>Truck-183</t>
  </si>
  <si>
    <t>Truck-184</t>
  </si>
  <si>
    <t>Truck-185</t>
  </si>
  <si>
    <t>Truck-186</t>
  </si>
  <si>
    <t>Truck-187</t>
  </si>
  <si>
    <t>Truck-188</t>
  </si>
  <si>
    <t>Truck-189</t>
  </si>
  <si>
    <t>Truck-190</t>
  </si>
  <si>
    <t>Truck-191</t>
  </si>
  <si>
    <t>Truck-192</t>
  </si>
  <si>
    <t>Truck-193</t>
  </si>
  <si>
    <t>Truck-194</t>
  </si>
  <si>
    <t>Truck-195</t>
  </si>
  <si>
    <t>Truck-196</t>
  </si>
  <si>
    <t>Truck-197</t>
  </si>
  <si>
    <t>Truck-198</t>
  </si>
  <si>
    <t>Truck-199</t>
  </si>
  <si>
    <t>Truck-200</t>
  </si>
  <si>
    <t>Truck-201</t>
  </si>
  <si>
    <t>Truck-202</t>
  </si>
  <si>
    <t>Truck-203</t>
  </si>
  <si>
    <t>Truck-204</t>
  </si>
  <si>
    <t>Truck-205</t>
  </si>
  <si>
    <t>Truck-206</t>
  </si>
  <si>
    <t>Truck-207</t>
  </si>
  <si>
    <t>Truck-208</t>
  </si>
  <si>
    <t>Truck-209</t>
  </si>
  <si>
    <t>Truck-210</t>
  </si>
  <si>
    <t>Truck-211</t>
  </si>
  <si>
    <t>Truck-212</t>
  </si>
  <si>
    <t>Truck-213</t>
  </si>
  <si>
    <t>Truck-214</t>
  </si>
  <si>
    <t>Truck-215</t>
  </si>
  <si>
    <t>Truck-216</t>
  </si>
  <si>
    <t>Truck-217</t>
  </si>
  <si>
    <t>Truck-218</t>
  </si>
  <si>
    <t>Truck-219</t>
  </si>
  <si>
    <t>Truck-220</t>
  </si>
  <si>
    <t>Truck-221</t>
  </si>
  <si>
    <t>Truck-222</t>
  </si>
  <si>
    <t>Truck-223</t>
  </si>
  <si>
    <t>Truck-224</t>
  </si>
  <si>
    <t>Truck-225</t>
  </si>
  <si>
    <t>Truck-226</t>
  </si>
  <si>
    <t>Truck-227</t>
  </si>
  <si>
    <t>Truck-228</t>
  </si>
  <si>
    <t>Truck-229</t>
  </si>
  <si>
    <t>Truck-230</t>
  </si>
  <si>
    <t>Truck-231</t>
  </si>
  <si>
    <t>Truck-232</t>
  </si>
  <si>
    <t>Truck-233</t>
  </si>
  <si>
    <t>Truck-234</t>
  </si>
  <si>
    <t>Driver-235</t>
  </si>
  <si>
    <t>Driver-236</t>
  </si>
  <si>
    <t>Driver-237</t>
  </si>
  <si>
    <t>Driver-238</t>
  </si>
  <si>
    <t>Driver-239</t>
  </si>
  <si>
    <t>Driver-240</t>
  </si>
  <si>
    <t>Driver-241</t>
  </si>
  <si>
    <t>Driver-242</t>
  </si>
  <si>
    <t>Driver-243</t>
  </si>
  <si>
    <t>Driver-244</t>
  </si>
  <si>
    <t>Driver-245</t>
  </si>
  <si>
    <t>Driver-246</t>
  </si>
  <si>
    <t>Driver-247</t>
  </si>
  <si>
    <t>Driver-248</t>
  </si>
  <si>
    <t>Driver-249</t>
  </si>
  <si>
    <t>Driver-250</t>
  </si>
  <si>
    <t>Driver-251</t>
  </si>
  <si>
    <t>Driver-252</t>
  </si>
  <si>
    <t>Driver-253</t>
  </si>
  <si>
    <t>Driver-254</t>
  </si>
  <si>
    <t>Driver-255</t>
  </si>
  <si>
    <t>Driver-256</t>
  </si>
  <si>
    <t>Driver-257</t>
  </si>
  <si>
    <t>Driver-258</t>
  </si>
  <si>
    <t>Driver-259</t>
  </si>
  <si>
    <t>Driver-260</t>
  </si>
  <si>
    <t>Driver-261</t>
  </si>
  <si>
    <t>Driver-262</t>
  </si>
  <si>
    <t>Driver-263</t>
  </si>
  <si>
    <t>Driver-264</t>
  </si>
  <si>
    <t>Driver-265</t>
  </si>
  <si>
    <t>Driver-266</t>
  </si>
  <si>
    <t>Driver-267</t>
  </si>
  <si>
    <t>Driver-268</t>
  </si>
  <si>
    <t>Driver-269</t>
  </si>
  <si>
    <t>Driver-270</t>
  </si>
  <si>
    <t>Driver-271</t>
  </si>
  <si>
    <t>Driver-272</t>
  </si>
  <si>
    <t>Driver-273</t>
  </si>
  <si>
    <t>Driver-274</t>
  </si>
  <si>
    <t>Driver-275</t>
  </si>
  <si>
    <t>Driver-276</t>
  </si>
  <si>
    <t>Summary</t>
  </si>
  <si>
    <t>Fleet Safety Performance Dashboard(2025)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</si>
</sst>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
    <numFmt numFmtId="166" formatCode="0.000"/>
  </numFmts>
  <fonts count="6" x14ac:knownFonts="1">
    <font>
      <sz val="11"/>
      <color theme="1"/>
      <name val="Calibri"/>
      <family val="2"/>
      <scheme val="minor"/>
    </font>
    <font>
      <b/>
      <sz val="11"/>
      <name val="Calibri"/>
      <family val="2"/>
    </font>
    <font>
      <b/>
      <u/>
      <sz val="14"/>
      <color theme="0"/>
      <name val="Calibri"/>
      <family val="2"/>
      <scheme val="minor"/>
    </font>
    <font>
      <sz val="8"/>
      <name val="Calibri"/>
      <family val="2"/>
      <scheme val="minor"/>
    </font>
    <font>
      <sz val="11"/>
      <name val="Calibri"/>
      <family val="2"/>
    </font>
    <font>
      <b/>
      <sz val="11"/>
      <color theme="1"/>
      <name val="Calibri"/>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1"/>
        <bgColor indexed="64"/>
      </patternFill>
    </fill>
    <fill>
      <patternFill patternType="solid">
        <fgColor rgb="FF00B050"/>
        <bgColor indexed="64"/>
      </patternFill>
    </fill>
    <fill>
      <patternFill patternType="solid">
        <fgColor rgb="FF92D050"/>
        <bgColor indexed="64"/>
      </patternFill>
    </fill>
  </fills>
  <borders count="12">
    <border>
      <left/>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medium">
        <color indexed="64"/>
      </top>
      <bottom style="medium">
        <color indexed="64"/>
      </bottom>
      <diagonal/>
    </border>
  </borders>
  <cellStyleXfs count="1">
    <xf numFmtId="0" fontId="0" fillId="0" borderId="0"/>
  </cellStyleXfs>
  <cellXfs count="46">
    <xf numFmtId="0" fontId="0" fillId="0" borderId="0" xfId="0"/>
    <xf numFmtId="0" fontId="0" fillId="0" borderId="0" xfId="0" applyAlignment="1">
      <alignment horizontal="center"/>
    </xf>
    <xf numFmtId="0" fontId="0" fillId="0" borderId="0" xfId="0" applyAlignment="1">
      <alignment horizontal="left" indent="1"/>
    </xf>
    <xf numFmtId="0" fontId="0" fillId="2" borderId="0" xfId="0" applyFill="1"/>
    <xf numFmtId="0" fontId="2" fillId="2" borderId="0" xfId="0" applyFont="1" applyFill="1" applyAlignment="1">
      <alignment vertical="center"/>
    </xf>
    <xf numFmtId="166" fontId="0" fillId="0" borderId="0" xfId="0" applyNumberFormat="1" applyAlignment="1">
      <alignment horizontal="center"/>
    </xf>
    <xf numFmtId="2" fontId="0" fillId="0" borderId="0" xfId="0" applyNumberFormat="1" applyAlignment="1">
      <alignment horizontal="center"/>
    </xf>
    <xf numFmtId="0" fontId="0" fillId="0" borderId="2" xfId="0" applyBorder="1"/>
    <xf numFmtId="0" fontId="0" fillId="0" borderId="4" xfId="0" applyBorder="1"/>
    <xf numFmtId="0" fontId="0" fillId="0" borderId="6" xfId="0" applyBorder="1"/>
    <xf numFmtId="0" fontId="0" fillId="0" borderId="10" xfId="0" applyBorder="1" applyAlignment="1">
      <alignment horizontal="center"/>
    </xf>
    <xf numFmtId="0" fontId="0" fillId="0" borderId="10" xfId="0" applyBorder="1" applyAlignment="1">
      <alignment horizontal="left" indent="1"/>
    </xf>
    <xf numFmtId="164" fontId="0" fillId="0" borderId="10" xfId="0" applyNumberFormat="1" applyBorder="1" applyAlignment="1">
      <alignment horizontal="center"/>
    </xf>
    <xf numFmtId="2" fontId="0" fillId="0" borderId="10" xfId="0" applyNumberFormat="1" applyBorder="1" applyAlignment="1">
      <alignment horizontal="center"/>
    </xf>
    <xf numFmtId="0" fontId="0" fillId="0" borderId="10" xfId="0" applyBorder="1"/>
    <xf numFmtId="166" fontId="0" fillId="0" borderId="10" xfId="0" applyNumberFormat="1" applyBorder="1" applyAlignment="1">
      <alignment horizontal="center"/>
    </xf>
    <xf numFmtId="165" fontId="0" fillId="0" borderId="10" xfId="0" applyNumberFormat="1" applyBorder="1" applyAlignment="1">
      <alignment horizontal="center"/>
    </xf>
    <xf numFmtId="0" fontId="4" fillId="0" borderId="10" xfId="0" applyFont="1" applyBorder="1" applyAlignment="1">
      <alignment horizontal="center" vertical="top"/>
    </xf>
    <xf numFmtId="0" fontId="0" fillId="0" borderId="10" xfId="0" applyBorder="1" applyAlignment="1">
      <alignment horizontal="left"/>
    </xf>
    <xf numFmtId="22" fontId="0" fillId="0" borderId="10" xfId="0" applyNumberFormat="1" applyBorder="1" applyAlignment="1">
      <alignment horizontal="center"/>
    </xf>
    <xf numFmtId="0" fontId="4" fillId="0" borderId="10" xfId="0" applyFont="1" applyBorder="1" applyAlignment="1">
      <alignment horizontal="center"/>
    </xf>
    <xf numFmtId="0" fontId="4" fillId="0" borderId="10" xfId="0" applyFont="1" applyBorder="1" applyAlignment="1">
      <alignment horizontal="left"/>
    </xf>
    <xf numFmtId="0" fontId="4" fillId="0" borderId="10" xfId="0" applyFont="1" applyBorder="1" applyAlignment="1">
      <alignment horizontal="left" vertical="top"/>
    </xf>
    <xf numFmtId="164" fontId="4" fillId="0" borderId="10" xfId="0" applyNumberFormat="1" applyFont="1" applyBorder="1" applyAlignment="1">
      <alignment horizontal="center"/>
    </xf>
    <xf numFmtId="2" fontId="4" fillId="0" borderId="10" xfId="0" applyNumberFormat="1" applyFont="1" applyBorder="1" applyAlignment="1">
      <alignment horizontal="center"/>
    </xf>
    <xf numFmtId="0" fontId="4" fillId="0" borderId="10" xfId="0" applyFont="1" applyBorder="1" applyAlignment="1">
      <alignment horizontal="left" vertical="top" indent="1"/>
    </xf>
    <xf numFmtId="0" fontId="0" fillId="0" borderId="1" xfId="0" applyBorder="1" applyAlignment="1">
      <alignment horizontal="center"/>
    </xf>
    <xf numFmtId="0" fontId="0" fillId="0" borderId="1" xfId="0" applyBorder="1" applyAlignment="1">
      <alignment horizontal="left" indent="1"/>
    </xf>
    <xf numFmtId="164" fontId="0" fillId="0" borderId="1" xfId="0" applyNumberFormat="1" applyBorder="1" applyAlignment="1">
      <alignment horizontal="center"/>
    </xf>
    <xf numFmtId="2" fontId="0" fillId="0" borderId="1" xfId="0" applyNumberFormat="1" applyBorder="1" applyAlignment="1">
      <alignment horizontal="center"/>
    </xf>
    <xf numFmtId="0" fontId="0" fillId="0" borderId="1" xfId="0" applyBorder="1"/>
    <xf numFmtId="166" fontId="0" fillId="0" borderId="1" xfId="0" applyNumberFormat="1" applyBorder="1" applyAlignment="1">
      <alignment horizontal="center"/>
    </xf>
    <xf numFmtId="0" fontId="1" fillId="5" borderId="8" xfId="0" applyFont="1" applyFill="1" applyBorder="1" applyAlignment="1">
      <alignment horizontal="center" vertical="top"/>
    </xf>
    <xf numFmtId="0" fontId="1" fillId="5" borderId="11" xfId="0" applyFont="1" applyFill="1" applyBorder="1" applyAlignment="1">
      <alignment horizontal="center" vertical="top"/>
    </xf>
    <xf numFmtId="0" fontId="1" fillId="5" borderId="11" xfId="0" applyFont="1" applyFill="1" applyBorder="1" applyAlignment="1">
      <alignment vertical="top"/>
    </xf>
    <xf numFmtId="0" fontId="1" fillId="5" borderId="11" xfId="0" applyFont="1" applyFill="1" applyBorder="1" applyAlignment="1">
      <alignment horizontal="left" vertical="top" indent="1"/>
    </xf>
    <xf numFmtId="2" fontId="1" fillId="5" borderId="11" xfId="0" applyNumberFormat="1" applyFont="1" applyFill="1" applyBorder="1" applyAlignment="1">
      <alignment horizontal="center" vertical="top"/>
    </xf>
    <xf numFmtId="166" fontId="1" fillId="5" borderId="11" xfId="0" applyNumberFormat="1" applyFont="1" applyFill="1" applyBorder="1" applyAlignment="1">
      <alignment horizontal="center" vertical="top" wrapText="1"/>
    </xf>
    <xf numFmtId="0" fontId="1" fillId="5" borderId="9" xfId="0" applyFont="1" applyFill="1" applyBorder="1" applyAlignment="1">
      <alignment horizontal="center" vertical="top"/>
    </xf>
    <xf numFmtId="0" fontId="0" fillId="0" borderId="10" xfId="0" pivotButton="1" applyBorder="1"/>
    <xf numFmtId="0" fontId="5" fillId="0" borderId="5" xfId="0" applyFont="1" applyBorder="1" applyAlignment="1">
      <alignment horizontal="center"/>
    </xf>
    <xf numFmtId="0" fontId="5" fillId="0" borderId="3" xfId="0" applyFont="1" applyBorder="1" applyAlignment="1">
      <alignment horizontal="center"/>
    </xf>
    <xf numFmtId="0" fontId="5" fillId="0" borderId="7" xfId="0" applyFont="1" applyBorder="1" applyAlignment="1">
      <alignment horizontal="center"/>
    </xf>
    <xf numFmtId="0" fontId="5" fillId="4" borderId="8" xfId="0" applyFont="1" applyFill="1" applyBorder="1"/>
    <xf numFmtId="0" fontId="5" fillId="4" borderId="9" xfId="0" applyFont="1" applyFill="1" applyBorder="1" applyAlignment="1">
      <alignment horizontal="center"/>
    </xf>
    <xf numFmtId="0" fontId="2" fillId="3" borderId="0" xfId="0" applyFont="1" applyFill="1" applyAlignment="1">
      <alignment horizontal="center" vertical="center"/>
    </xf>
  </cellXfs>
  <cellStyles count="1">
    <cellStyle name="Normal" xfId="0" builtinId="0"/>
  </cellStyles>
  <dxfs count="90">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hh:mm:ss"/>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hh:mm:ss"/>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textRotation="0" wrapText="0"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92D050"/>
        </patternFill>
      </fill>
      <alignment horizontal="center" vertical="top" textRotation="0" wrapText="0" indent="0" justifyLastLine="0" shrinkToFit="0" readingOrder="0"/>
      <border diagonalUp="0" diagonalDown="0">
        <left style="thin">
          <color auto="1"/>
        </left>
        <right style="thin">
          <color auto="1"/>
        </right>
        <top/>
        <bottom/>
        <vertical style="thin">
          <color auto="1"/>
        </vertical>
        <horizontal/>
      </border>
    </dxf>
    <dxf>
      <font>
        <b/>
      </font>
      <alignment horizontal="center" vertical="bottom" textRotation="0" wrapText="0" indent="0" justifyLastLine="0" shrinkToFit="0" readingOrder="0"/>
      <border diagonalUp="0" diagonalDown="0" outline="0">
        <left style="thin">
          <color auto="1"/>
        </left>
        <right/>
        <top style="thin">
          <color auto="1"/>
        </top>
        <bottom style="thin">
          <color auto="1"/>
        </bottom>
      </border>
    </dxf>
    <dxf>
      <border diagonalUp="0" diagonalDown="0" outline="0">
        <left/>
        <right/>
        <top style="thin">
          <color auto="1"/>
        </top>
        <bottom style="thin">
          <color auto="1"/>
        </bottom>
      </border>
    </dxf>
    <dxf>
      <border>
        <top style="thin">
          <color auto="1"/>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1"/>
        <color theme="1"/>
        <name val="Calibri"/>
        <family val="2"/>
        <scheme val="minor"/>
      </font>
      <fill>
        <patternFill patternType="solid">
          <fgColor indexed="64"/>
          <bgColor rgb="FF00B050"/>
        </patternFill>
      </fill>
      <border diagonalUp="0" diagonalDown="0" outline="0">
        <left style="thin">
          <color auto="1"/>
        </left>
        <right style="thin">
          <color auto="1"/>
        </right>
        <top/>
        <bottom/>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colors>
    <mruColors>
      <color rgb="FF2612BE"/>
      <color rgb="FF00B050"/>
      <color rgb="FFCC99FF"/>
      <color rgb="FFFF66CC"/>
      <color rgb="FF66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[Annual Fleet Safety Performance Dashboard.xlsx]Pivot_Tables!months</c:name>
    <c:fmtId val="8"/>
  </c:pivotSource>
  <c:chart>
    <c:title>
      <c:tx>
        <c:rich>
          <a:bodyPr rot="0" spcFirstLastPara="1" vertOverflow="ellipsis" vert="horz" wrap="square" anchor="ctr" anchorCtr="1"/>
          <a:lstStyle/>
          <a:p>
            <a:pPr>
              <a:defRPr sz="1400" b="1" i="0" u="none" strike="noStrike" kern="1200" spc="0" baseline="0">
                <a:solidFill>
                  <a:schemeClr val="tx2"/>
                </a:solidFill>
                <a:latin typeface="+mj-lt"/>
                <a:ea typeface="+mn-ea"/>
                <a:cs typeface="+mn-cs"/>
              </a:defRPr>
            </a:pPr>
            <a:r>
              <a:rPr lang="en-US" b="1">
                <a:solidFill>
                  <a:srgbClr val="00B050"/>
                </a:solidFill>
                <a:latin typeface="+mj-lt"/>
              </a:rPr>
              <a:t>Monthly Fleet Violations</a:t>
            </a:r>
            <a:r>
              <a:rPr lang="en-US" b="1" baseline="0">
                <a:solidFill>
                  <a:srgbClr val="00B050"/>
                </a:solidFill>
                <a:latin typeface="+mj-lt"/>
              </a:rPr>
              <a:t> Trend</a:t>
            </a:r>
            <a:endParaRPr lang="en-US" b="1">
              <a:solidFill>
                <a:srgbClr val="00B050"/>
              </a:solidFill>
              <a:latin typeface="+mj-lt"/>
            </a:endParaRPr>
          </a:p>
        </c:rich>
      </c:tx>
      <c:layout>
        <c:manualLayout>
          <c:xMode val="edge"/>
          <c:yMode val="edge"/>
          <c:x val="0.22464041994750655"/>
          <c:y val="1.811314296309150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66CC"/>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1716806810394"/>
          <c:y val="0.12781888758679213"/>
          <c:w val="0.80112401808985279"/>
          <c:h val="0.6762121186910045"/>
        </c:manualLayout>
      </c:layout>
      <c:lineChart>
        <c:grouping val="standard"/>
        <c:varyColors val="0"/>
        <c:ser>
          <c:idx val="0"/>
          <c:order val="0"/>
          <c:tx>
            <c:strRef>
              <c:f>Pivot_Tables!$F$2</c:f>
              <c:strCache>
                <c:ptCount val="1"/>
                <c:pt idx="0">
                  <c:v>Total</c:v>
                </c:pt>
              </c:strCache>
            </c:strRef>
          </c:tx>
          <c:spPr>
            <a:ln w="28575" cap="rnd">
              <a:solidFill>
                <a:srgbClr val="FF66CC"/>
              </a:solidFill>
              <a:prstDash val="solid"/>
              <a:round/>
            </a:ln>
            <a:effectLst/>
          </c:spPr>
          <c:marker>
            <c:symbol val="none"/>
          </c:marker>
          <c:cat>
            <c:strRef>
              <c:f>Pivot_Tables!$E$3:$E$14</c:f>
              <c:strCache>
                <c:ptCount val="11"/>
                <c:pt idx="0">
                  <c:v>Jan</c:v>
                </c:pt>
                <c:pt idx="1">
                  <c:v>Feb</c:v>
                </c:pt>
                <c:pt idx="2">
                  <c:v>Mar</c:v>
                </c:pt>
                <c:pt idx="3">
                  <c:v>Apr</c:v>
                </c:pt>
                <c:pt idx="4">
                  <c:v>May</c:v>
                </c:pt>
                <c:pt idx="5">
                  <c:v>Jul</c:v>
                </c:pt>
                <c:pt idx="6">
                  <c:v>Aug</c:v>
                </c:pt>
                <c:pt idx="7">
                  <c:v>Sep</c:v>
                </c:pt>
                <c:pt idx="8">
                  <c:v>Oct</c:v>
                </c:pt>
                <c:pt idx="9">
                  <c:v>Nov</c:v>
                </c:pt>
                <c:pt idx="10">
                  <c:v>Dec</c:v>
                </c:pt>
              </c:strCache>
            </c:strRef>
          </c:cat>
          <c:val>
            <c:numRef>
              <c:f>Pivot_Tables!$F$3:$F$14</c:f>
              <c:numCache>
                <c:formatCode>General</c:formatCode>
                <c:ptCount val="11"/>
                <c:pt idx="0">
                  <c:v>152</c:v>
                </c:pt>
                <c:pt idx="1">
                  <c:v>64</c:v>
                </c:pt>
                <c:pt idx="2">
                  <c:v>68</c:v>
                </c:pt>
                <c:pt idx="3">
                  <c:v>48</c:v>
                </c:pt>
                <c:pt idx="4">
                  <c:v>51</c:v>
                </c:pt>
                <c:pt idx="5">
                  <c:v>146</c:v>
                </c:pt>
                <c:pt idx="6">
                  <c:v>203</c:v>
                </c:pt>
                <c:pt idx="7">
                  <c:v>105</c:v>
                </c:pt>
                <c:pt idx="8">
                  <c:v>88</c:v>
                </c:pt>
                <c:pt idx="9">
                  <c:v>96</c:v>
                </c:pt>
                <c:pt idx="10">
                  <c:v>154</c:v>
                </c:pt>
              </c:numCache>
            </c:numRef>
          </c:val>
          <c:smooth val="0"/>
          <c:extLst>
            <c:ext xmlns:c16="http://schemas.microsoft.com/office/drawing/2014/chart" uri="{C3380CC4-5D6E-409C-BE32-E72D297353CC}">
              <c16:uniqueId val="{00000000-89A0-4B3B-8AEE-189FF170415B}"/>
            </c:ext>
          </c:extLst>
        </c:ser>
        <c:dLbls>
          <c:showLegendKey val="0"/>
          <c:showVal val="0"/>
          <c:showCatName val="0"/>
          <c:showSerName val="0"/>
          <c:showPercent val="0"/>
          <c:showBubbleSize val="0"/>
        </c:dLbls>
        <c:smooth val="0"/>
        <c:axId val="353351679"/>
        <c:axId val="353333439"/>
      </c:lineChart>
      <c:catAx>
        <c:axId val="35335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333439"/>
        <c:crosses val="autoZero"/>
        <c:auto val="1"/>
        <c:lblAlgn val="ctr"/>
        <c:lblOffset val="100"/>
        <c:noMultiLvlLbl val="0"/>
      </c:catAx>
      <c:valAx>
        <c:axId val="35333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7030A0"/>
                </a:solidFill>
                <a:latin typeface="+mn-lt"/>
                <a:ea typeface="+mn-ea"/>
                <a:cs typeface="+mn-cs"/>
              </a:defRPr>
            </a:pPr>
            <a:endParaRPr lang="en-US"/>
          </a:p>
        </c:txPr>
        <c:crossAx val="353351679"/>
        <c:crosses val="autoZero"/>
        <c:crossBetween val="between"/>
      </c:valAx>
      <c:dTable>
        <c:showHorzBorder val="1"/>
        <c:showVertBorder val="1"/>
        <c:showOutline val="1"/>
        <c:showKeys val="1"/>
        <c:spPr>
          <a:noFill/>
          <a:ln w="9525" cap="flat" cmpd="sng" algn="ctr">
            <a:solidFill>
              <a:srgbClr val="92D050"/>
            </a:solidFill>
            <a:round/>
          </a:ln>
          <a:effectLst/>
        </c:spPr>
        <c:txPr>
          <a:bodyPr rot="0" spcFirstLastPara="1" vertOverflow="ellipsis" vert="horz" wrap="square" anchor="ctr" anchorCtr="1"/>
          <a:lstStyle/>
          <a:p>
            <a:pPr rtl="0">
              <a:defRPr sz="900" b="1" i="0" u="none" strike="noStrike" kern="1200" baseline="0">
                <a:solidFill>
                  <a:srgbClr val="2612BE"/>
                </a:solidFill>
                <a:latin typeface="+mn-lt"/>
                <a:ea typeface="+mn-ea"/>
                <a:cs typeface="+mn-cs"/>
              </a:defRPr>
            </a:pPr>
            <a:endParaRPr lang="en-US"/>
          </a:p>
        </c:txPr>
      </c:dTable>
      <c:spPr>
        <a:solidFill>
          <a:srgbClr val="EEECE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064A2">
        <a:lumMod val="20000"/>
        <a:lumOff val="80000"/>
      </a:srgbClr>
    </a:solidFill>
    <a:ln w="9525" cap="flat" cmpd="sng" algn="ctr">
      <a:solidFill>
        <a:sysClr val="windowText" lastClr="000000"/>
      </a:solidFill>
      <a:miter lim="800000"/>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[Annual Fleet Safety Performance Dashboard.xlsx]Pivot_Tables!haulier</c:name>
    <c:fmtId val="14"/>
  </c:pivotSource>
  <c:chart>
    <c:title>
      <c:tx>
        <c:rich>
          <a:bodyPr rot="0" spcFirstLastPara="1" vertOverflow="ellipsis" vert="horz" wrap="square" anchor="ctr" anchorCtr="1"/>
          <a:lstStyle/>
          <a:p>
            <a:pPr>
              <a:defRPr sz="1400" b="1" i="0" u="none" strike="noStrike" kern="1200" spc="0" baseline="0">
                <a:solidFill>
                  <a:srgbClr val="7030A0"/>
                </a:solidFill>
                <a:latin typeface="+mj-lt"/>
                <a:ea typeface="+mn-ea"/>
                <a:cs typeface="+mn-cs"/>
              </a:defRPr>
            </a:pPr>
            <a:r>
              <a:rPr lang="en-US" b="1">
                <a:solidFill>
                  <a:srgbClr val="7030A0"/>
                </a:solidFill>
                <a:latin typeface="+mj-lt"/>
              </a:rPr>
              <a:t>Total Violations Per Haulier</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030A0"/>
              </a:solidFill>
              <a:latin typeface="+mj-lt"/>
              <a:ea typeface="+mn-ea"/>
              <a:cs typeface="+mn-cs"/>
            </a:defRPr>
          </a:pPr>
          <a:endParaRPr lang="en-US"/>
        </a:p>
      </c:txPr>
    </c:title>
    <c:autoTitleDeleted val="0"/>
    <c:pivotFmts>
      <c:pivotFmt>
        <c:idx val="0"/>
        <c:spPr>
          <a:solidFill>
            <a:srgbClr val="0070C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612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Pivot_Tables!$F$16</c:f>
              <c:strCache>
                <c:ptCount val="1"/>
                <c:pt idx="0">
                  <c:v>Total</c:v>
                </c:pt>
              </c:strCache>
            </c:strRef>
          </c:tx>
          <c:spPr>
            <a:solidFill>
              <a:srgbClr val="2612B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Pivot_Tables!$E$17:$E$21</c:f>
              <c:strCache>
                <c:ptCount val="4"/>
                <c:pt idx="0">
                  <c:v>Haulier A</c:v>
                </c:pt>
                <c:pt idx="1">
                  <c:v>Haulier B</c:v>
                </c:pt>
                <c:pt idx="2">
                  <c:v>Haulier D</c:v>
                </c:pt>
                <c:pt idx="3">
                  <c:v>Haulier C</c:v>
                </c:pt>
              </c:strCache>
            </c:strRef>
          </c:cat>
          <c:val>
            <c:numRef>
              <c:f>Pivot_Tables!$F$17:$F$21</c:f>
              <c:numCache>
                <c:formatCode>General</c:formatCode>
                <c:ptCount val="4"/>
                <c:pt idx="0">
                  <c:v>187</c:v>
                </c:pt>
                <c:pt idx="1">
                  <c:v>241</c:v>
                </c:pt>
                <c:pt idx="2">
                  <c:v>320</c:v>
                </c:pt>
                <c:pt idx="3">
                  <c:v>427</c:v>
                </c:pt>
              </c:numCache>
            </c:numRef>
          </c:val>
          <c:extLst>
            <c:ext xmlns:c16="http://schemas.microsoft.com/office/drawing/2014/chart" uri="{C3380CC4-5D6E-409C-BE32-E72D297353CC}">
              <c16:uniqueId val="{00000000-AF05-48A3-9F41-1027FA8ACD6B}"/>
            </c:ext>
          </c:extLst>
        </c:ser>
        <c:dLbls>
          <c:showLegendKey val="0"/>
          <c:showVal val="1"/>
          <c:showCatName val="0"/>
          <c:showSerName val="0"/>
          <c:showPercent val="0"/>
          <c:showBubbleSize val="0"/>
        </c:dLbls>
        <c:gapWidth val="70"/>
        <c:axId val="353351199"/>
        <c:axId val="353355999"/>
      </c:barChart>
      <c:catAx>
        <c:axId val="35335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353355999"/>
        <c:crosses val="autoZero"/>
        <c:auto val="1"/>
        <c:lblAlgn val="ctr"/>
        <c:lblOffset val="100"/>
        <c:noMultiLvlLbl val="0"/>
      </c:catAx>
      <c:valAx>
        <c:axId val="353355999"/>
        <c:scaling>
          <c:orientation val="minMax"/>
        </c:scaling>
        <c:delete val="1"/>
        <c:axPos val="b"/>
        <c:numFmt formatCode="General" sourceLinked="1"/>
        <c:majorTickMark val="none"/>
        <c:minorTickMark val="none"/>
        <c:tickLblPos val="nextTo"/>
        <c:crossAx val="353351199"/>
        <c:crosses val="autoZero"/>
        <c:crossBetween val="between"/>
      </c:valAx>
      <c:spPr>
        <a:solidFill>
          <a:srgbClr val="C0504D">
            <a:lumMod val="20000"/>
            <a:lumOff val="80000"/>
          </a:srgb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504D">
        <a:lumMod val="20000"/>
        <a:lumOff val="80000"/>
      </a:srgb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[Annual Fleet Safety Performance Dashboard.xlsx]Pivot_Tables!eventytype</c:name>
    <c:fmtId val="4"/>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j-lt"/>
                <a:ea typeface="+mn-ea"/>
                <a:cs typeface="+mn-cs"/>
              </a:defRPr>
            </a:pPr>
            <a:r>
              <a:rPr lang="en-US" sz="1200" b="1" i="0" u="none" strike="noStrike" baseline="0">
                <a:solidFill>
                  <a:sysClr val="windowText" lastClr="000000"/>
                </a:solidFill>
                <a:latin typeface="+mj-lt"/>
              </a:rPr>
              <a:t>Fleet Safety Violations by Event Type (%)</a:t>
            </a:r>
            <a:endParaRPr lang="en-US" sz="1200">
              <a:solidFill>
                <a:sysClr val="windowText" lastClr="000000"/>
              </a:solidFill>
              <a:latin typeface="+mj-lt"/>
            </a:endParaRPr>
          </a:p>
        </c:rich>
      </c:tx>
      <c:overlay val="0"/>
      <c:spPr>
        <a:solidFill>
          <a:srgbClr val="C0504D">
            <a:lumMod val="20000"/>
            <a:lumOff val="80000"/>
          </a:srgbClr>
        </a:solid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j-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79646">
              <a:lumMod val="75000"/>
            </a:srgbClr>
          </a:solidFill>
          <a:ln>
            <a:noFill/>
          </a:ln>
          <a:effectLst>
            <a:outerShdw blurRad="317500" algn="ctr" rotWithShape="0">
              <a:prstClr val="black">
                <a:alpha val="25000"/>
              </a:prstClr>
            </a:outerShdw>
          </a:effectLst>
        </c:spPr>
      </c:pivotFmt>
      <c:pivotFmt>
        <c:idx val="9"/>
        <c:spPr>
          <a:solidFill>
            <a:srgbClr val="C00000"/>
          </a:solidFill>
          <a:ln>
            <a:noFill/>
          </a:ln>
          <a:effectLst>
            <a:outerShdw blurRad="317500" algn="ctr" rotWithShape="0">
              <a:prstClr val="black">
                <a:alpha val="25000"/>
              </a:prstClr>
            </a:outerShdw>
          </a:effectLst>
        </c:spPr>
      </c:pivotFmt>
      <c:pivotFmt>
        <c:idx val="10"/>
        <c:spPr>
          <a:solidFill>
            <a:srgbClr val="00B0F0"/>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rgbClr val="00B050"/>
          </a:solidFill>
          <a:ln>
            <a:noFill/>
          </a:ln>
          <a:effectLst>
            <a:outerShdw blurRad="317500" algn="ctr" rotWithShape="0">
              <a:prstClr val="black">
                <a:alpha val="25000"/>
              </a:prstClr>
            </a:outerShdw>
          </a:effectLst>
        </c:spPr>
      </c:pivotFmt>
    </c:pivotFmts>
    <c:plotArea>
      <c:layout>
        <c:manualLayout>
          <c:layoutTarget val="inner"/>
          <c:xMode val="edge"/>
          <c:yMode val="edge"/>
          <c:x val="2.2871290795872148E-2"/>
          <c:y val="0.23802539925653918"/>
          <c:w val="0.58120541040473683"/>
          <c:h val="0.66545748780322467"/>
        </c:manualLayout>
      </c:layout>
      <c:doughnutChart>
        <c:varyColors val="1"/>
        <c:ser>
          <c:idx val="0"/>
          <c:order val="0"/>
          <c:tx>
            <c:strRef>
              <c:f>Pivot_Tables!$F$23</c:f>
              <c:strCache>
                <c:ptCount val="1"/>
                <c:pt idx="0">
                  <c:v>Total</c:v>
                </c:pt>
              </c:strCache>
            </c:strRef>
          </c:tx>
          <c:dPt>
            <c:idx val="0"/>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974-4DD5-99D7-D21B712B17DD}"/>
              </c:ext>
            </c:extLst>
          </c:dPt>
          <c:dPt>
            <c:idx val="1"/>
            <c:bubble3D val="0"/>
            <c:spPr>
              <a:solidFill>
                <a:srgbClr val="00B0F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974-4DD5-99D7-D21B712B17D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974-4DD5-99D7-D21B712B17DD}"/>
              </c:ext>
            </c:extLst>
          </c:dPt>
          <c:dPt>
            <c:idx val="3"/>
            <c:bubble3D val="0"/>
            <c:spPr>
              <a:solidFill>
                <a:srgbClr val="F79646">
                  <a:lumMod val="75000"/>
                </a:srgb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974-4DD5-99D7-D21B712B17DD}"/>
              </c:ext>
            </c:extLst>
          </c:dPt>
          <c:dPt>
            <c:idx val="4"/>
            <c:bubble3D val="0"/>
            <c:spPr>
              <a:solidFill>
                <a:srgbClr val="00B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974-4DD5-99D7-D21B712B17D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Pivot_Tables!$E$24:$E$29</c:f>
              <c:strCache>
                <c:ptCount val="5"/>
                <c:pt idx="0">
                  <c:v>Harsh acceleration</c:v>
                </c:pt>
                <c:pt idx="1">
                  <c:v>Harsh braking</c:v>
                </c:pt>
                <c:pt idx="2">
                  <c:v>Night Driving 11pm- 4am</c:v>
                </c:pt>
                <c:pt idx="3">
                  <c:v>FreeWheeling</c:v>
                </c:pt>
                <c:pt idx="4">
                  <c:v>Over speeding&gt;80km/h</c:v>
                </c:pt>
              </c:strCache>
            </c:strRef>
          </c:cat>
          <c:val>
            <c:numRef>
              <c:f>Pivot_Tables!$F$24:$F$29</c:f>
              <c:numCache>
                <c:formatCode>General</c:formatCode>
                <c:ptCount val="5"/>
                <c:pt idx="0">
                  <c:v>35</c:v>
                </c:pt>
                <c:pt idx="1">
                  <c:v>74</c:v>
                </c:pt>
                <c:pt idx="2">
                  <c:v>112</c:v>
                </c:pt>
                <c:pt idx="3">
                  <c:v>407</c:v>
                </c:pt>
                <c:pt idx="4">
                  <c:v>547</c:v>
                </c:pt>
              </c:numCache>
            </c:numRef>
          </c:val>
          <c:extLst>
            <c:ext xmlns:c16="http://schemas.microsoft.com/office/drawing/2014/chart" uri="{C3380CC4-5D6E-409C-BE32-E72D297353CC}">
              <c16:uniqueId val="{0000000A-3974-4DD5-99D7-D21B712B17DD}"/>
            </c:ext>
          </c:extLst>
        </c:ser>
        <c:dLbls>
          <c:showLegendKey val="0"/>
          <c:showVal val="0"/>
          <c:showCatName val="0"/>
          <c:showSerName val="0"/>
          <c:showPercent val="1"/>
          <c:showBubbleSize val="0"/>
          <c:showLeaderLines val="1"/>
        </c:dLbls>
        <c:firstSliceAng val="0"/>
        <c:holeSize val="50"/>
      </c:doughnutChart>
      <c:spPr>
        <a:solidFill>
          <a:srgbClr val="C0504D">
            <a:lumMod val="20000"/>
            <a:lumOff val="80000"/>
          </a:srgbClr>
        </a:solidFill>
        <a:ln>
          <a:noFill/>
        </a:ln>
        <a:effectLst/>
      </c:spPr>
    </c:plotArea>
    <c:legend>
      <c:legendPos val="r"/>
      <c:layout>
        <c:manualLayout>
          <c:xMode val="edge"/>
          <c:yMode val="edge"/>
          <c:x val="0.60842797591477538"/>
          <c:y val="0.27483967984567415"/>
          <c:w val="0.38082491612985903"/>
          <c:h val="0.69710023039299296"/>
        </c:manualLayout>
      </c:layout>
      <c:overlay val="0"/>
      <c:spPr>
        <a:solidFill>
          <a:srgbClr val="C0504D">
            <a:lumMod val="20000"/>
            <a:lumOff val="80000"/>
          </a:srgbClr>
        </a:solid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504D">
        <a:lumMod val="20000"/>
        <a:lumOff val="80000"/>
      </a:srgb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[Annual Fleet Safety Performance Dashboard.xlsx]Pivot_Tables!PivotTable1</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mj-lt"/>
              </a:rPr>
              <a:t>Violation Distance (Km) By Transporter</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3189814814814816"/>
          <c:w val="0.93888888888888888"/>
          <c:h val="0.58662839020122481"/>
        </c:manualLayout>
      </c:layout>
      <c:barChart>
        <c:barDir val="col"/>
        <c:grouping val="clustered"/>
        <c:varyColors val="0"/>
        <c:ser>
          <c:idx val="0"/>
          <c:order val="0"/>
          <c:tx>
            <c:strRef>
              <c:f>Pivot_Tables!$F$31</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Pivot_Tables!$E$32:$E$36</c:f>
              <c:strCache>
                <c:ptCount val="4"/>
                <c:pt idx="0">
                  <c:v>Haulier A</c:v>
                </c:pt>
                <c:pt idx="1">
                  <c:v>Haulier B</c:v>
                </c:pt>
                <c:pt idx="2">
                  <c:v>Haulier D</c:v>
                </c:pt>
                <c:pt idx="3">
                  <c:v>Haulier C</c:v>
                </c:pt>
              </c:strCache>
            </c:strRef>
          </c:cat>
          <c:val>
            <c:numRef>
              <c:f>Pivot_Tables!$F$32:$F$36</c:f>
              <c:numCache>
                <c:formatCode>General</c:formatCode>
                <c:ptCount val="4"/>
                <c:pt idx="0">
                  <c:v>187</c:v>
                </c:pt>
                <c:pt idx="1">
                  <c:v>241</c:v>
                </c:pt>
                <c:pt idx="2">
                  <c:v>320</c:v>
                </c:pt>
                <c:pt idx="3">
                  <c:v>427</c:v>
                </c:pt>
              </c:numCache>
            </c:numRef>
          </c:val>
          <c:extLst>
            <c:ext xmlns:c16="http://schemas.microsoft.com/office/drawing/2014/chart" uri="{C3380CC4-5D6E-409C-BE32-E72D297353CC}">
              <c16:uniqueId val="{00000000-9C54-4F37-9459-AAA5B16ED322}"/>
            </c:ext>
          </c:extLst>
        </c:ser>
        <c:dLbls>
          <c:dLblPos val="outEnd"/>
          <c:showLegendKey val="0"/>
          <c:showVal val="1"/>
          <c:showCatName val="0"/>
          <c:showSerName val="0"/>
          <c:showPercent val="0"/>
          <c:showBubbleSize val="0"/>
        </c:dLbls>
        <c:gapWidth val="100"/>
        <c:overlap val="-25"/>
        <c:axId val="1402956608"/>
        <c:axId val="1402957088"/>
      </c:barChart>
      <c:catAx>
        <c:axId val="1402956608"/>
        <c:scaling>
          <c:orientation val="minMax"/>
        </c:scaling>
        <c:delete val="0"/>
        <c:axPos val="b"/>
        <c:numFmt formatCode="General" sourceLinked="1"/>
        <c:majorTickMark val="none"/>
        <c:minorTickMark val="none"/>
        <c:tickLblPos val="nextTo"/>
        <c:spPr>
          <a:solidFill>
            <a:srgbClr val="C0504D">
              <a:lumMod val="20000"/>
              <a:lumOff val="80000"/>
            </a:srgb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402957088"/>
        <c:crosses val="autoZero"/>
        <c:auto val="1"/>
        <c:lblAlgn val="ctr"/>
        <c:lblOffset val="100"/>
        <c:noMultiLvlLbl val="0"/>
      </c:catAx>
      <c:valAx>
        <c:axId val="1402957088"/>
        <c:scaling>
          <c:orientation val="minMax"/>
        </c:scaling>
        <c:delete val="1"/>
        <c:axPos val="l"/>
        <c:numFmt formatCode="General" sourceLinked="1"/>
        <c:majorTickMark val="none"/>
        <c:minorTickMark val="none"/>
        <c:tickLblPos val="nextTo"/>
        <c:crossAx val="140295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CE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420305</xdr:colOff>
      <xdr:row>3</xdr:row>
      <xdr:rowOff>158272</xdr:rowOff>
    </xdr:from>
    <xdr:to>
      <xdr:col>3</xdr:col>
      <xdr:colOff>420665</xdr:colOff>
      <xdr:row>3</xdr:row>
      <xdr:rowOff>158632</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7" name="Ink 6">
              <a:extLst>
                <a:ext uri="{FF2B5EF4-FFF2-40B4-BE49-F238E27FC236}">
                  <a16:creationId xmlns:a16="http://schemas.microsoft.com/office/drawing/2014/main" id="{C72CAD39-41A3-9444-2DE8-9B04ED264CB1}"/>
                </a:ext>
              </a:extLst>
            </xdr14:cNvPr>
            <xdr14:cNvContentPartPr/>
          </xdr14:nvContentPartPr>
          <xdr14:nvPr macro=""/>
          <xdr14:xfrm>
            <a:off x="1642680" y="705960"/>
            <a:ext cx="360" cy="360"/>
          </xdr14:xfrm>
        </xdr:contentPart>
      </mc:Choice>
      <mc:Fallback xmlns="">
        <xdr:pic>
          <xdr:nvPicPr>
            <xdr:cNvPr id="7" name="Ink 6">
              <a:extLst>
                <a:ext uri="{FF2B5EF4-FFF2-40B4-BE49-F238E27FC236}">
                  <a16:creationId xmlns:a16="http://schemas.microsoft.com/office/drawing/2014/main" id="{C72CAD39-41A3-9444-2DE8-9B04ED264CB1}"/>
                </a:ext>
              </a:extLst>
            </xdr:cNvPr>
            <xdr:cNvPicPr/>
          </xdr:nvPicPr>
          <xdr:blipFill>
            <a:blip xmlns:r="http://schemas.openxmlformats.org/officeDocument/2006/relationships" r:embed="rId2"/>
            <a:stretch>
              <a:fillRect/>
            </a:stretch>
          </xdr:blipFill>
          <xdr:spPr>
            <a:xfrm>
              <a:off x="1625040" y="687960"/>
              <a:ext cx="36000" cy="36000"/>
            </a:xfrm>
            <a:prstGeom prst="rect">
              <a:avLst/>
            </a:prstGeom>
          </xdr:spPr>
        </xdr:pic>
      </mc:Fallback>
    </mc:AlternateContent>
    <xdr:clientData/>
  </xdr:twoCellAnchor>
  <xdr:twoCellAnchor>
    <xdr:from>
      <xdr:col>7</xdr:col>
      <xdr:colOff>23813</xdr:colOff>
      <xdr:row>0</xdr:row>
      <xdr:rowOff>31748</xdr:rowOff>
    </xdr:from>
    <xdr:to>
      <xdr:col>9</xdr:col>
      <xdr:colOff>87312</xdr:colOff>
      <xdr:row>4</xdr:row>
      <xdr:rowOff>87311</xdr:rowOff>
    </xdr:to>
    <xdr:grpSp>
      <xdr:nvGrpSpPr>
        <xdr:cNvPr id="50" name="Group 49">
          <a:extLst>
            <a:ext uri="{FF2B5EF4-FFF2-40B4-BE49-F238E27FC236}">
              <a16:creationId xmlns:a16="http://schemas.microsoft.com/office/drawing/2014/main" id="{C2702277-04A8-6197-19A7-52E0A0660D26}"/>
            </a:ext>
          </a:extLst>
        </xdr:cNvPr>
        <xdr:cNvGrpSpPr/>
      </xdr:nvGrpSpPr>
      <xdr:grpSpPr>
        <a:xfrm>
          <a:off x="3762376" y="31748"/>
          <a:ext cx="1285874" cy="785813"/>
          <a:chOff x="636015" y="3508375"/>
          <a:chExt cx="1706382" cy="650876"/>
        </a:xfrm>
      </xdr:grpSpPr>
      <xdr:sp macro="" textlink="Pivot_Tables!C3">
        <xdr:nvSpPr>
          <xdr:cNvPr id="60" name="Rectangle: Top Corners Rounded 59">
            <a:extLst>
              <a:ext uri="{FF2B5EF4-FFF2-40B4-BE49-F238E27FC236}">
                <a16:creationId xmlns:a16="http://schemas.microsoft.com/office/drawing/2014/main" id="{D66167C5-A8B1-4B72-0AB9-A1F377E1ED18}"/>
              </a:ext>
            </a:extLst>
          </xdr:cNvPr>
          <xdr:cNvSpPr/>
        </xdr:nvSpPr>
        <xdr:spPr>
          <a:xfrm>
            <a:off x="636015" y="3532189"/>
            <a:ext cx="1706382" cy="627062"/>
          </a:xfrm>
          <a:prstGeom prst="round2SameRect">
            <a:avLst/>
          </a:prstGeom>
          <a:solidFill>
            <a:schemeClr val="bg2"/>
          </a:solidFill>
          <a:ln w="25400" cap="flat" cmpd="sng" algn="ctr">
            <a:solidFill>
              <a:srgbClr val="4F81BD">
                <a:shade val="15000"/>
              </a:srgbClr>
            </a:solidFill>
            <a:prstDash val="solid"/>
          </a:ln>
          <a:effectLst/>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D28BD78D-0C87-4E6A-AFC5-A174CDB5D266}" type="TxLink">
              <a:rPr kumimoji="0" lang="en-US" sz="3200" b="1" i="0" u="none" strike="noStrike" kern="0" cap="none" spc="0" normalizeH="0" baseline="0" noProof="0">
                <a:ln>
                  <a:noFill/>
                </a:ln>
                <a:solidFill>
                  <a:srgbClr val="7030A0"/>
                </a:solidFill>
                <a:effectLst/>
                <a:uLnTx/>
                <a:uFillTx/>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1175</a:t>
            </a:fld>
            <a:endParaRPr kumimoji="0" lang="en-US" sz="13800" b="1" i="0" u="none" strike="noStrike" kern="0" cap="none" spc="0" normalizeH="0" baseline="0" noProof="0">
              <a:ln>
                <a:noFill/>
              </a:ln>
              <a:solidFill>
                <a:srgbClr val="7030A0"/>
              </a:solidFill>
              <a:effectLst/>
              <a:uLnTx/>
              <a:uFillTx/>
              <a:latin typeface="Calibri"/>
              <a:ea typeface="+mn-ea"/>
              <a:cs typeface="+mn-cs"/>
            </a:endParaRPr>
          </a:p>
        </xdr:txBody>
      </xdr:sp>
      <xdr:sp macro="" textlink="">
        <xdr:nvSpPr>
          <xdr:cNvPr id="61" name="Rectangle: Top Corners Rounded 60">
            <a:extLst>
              <a:ext uri="{FF2B5EF4-FFF2-40B4-BE49-F238E27FC236}">
                <a16:creationId xmlns:a16="http://schemas.microsoft.com/office/drawing/2014/main" id="{AC7D23EF-1EEF-18C3-10B9-BE270E349786}"/>
              </a:ext>
            </a:extLst>
          </xdr:cNvPr>
          <xdr:cNvSpPr/>
        </xdr:nvSpPr>
        <xdr:spPr>
          <a:xfrm>
            <a:off x="646248" y="3508375"/>
            <a:ext cx="1654018" cy="223535"/>
          </a:xfrm>
          <a:prstGeom prst="round2SameRect">
            <a:avLst/>
          </a:prstGeom>
          <a:solidFill>
            <a:srgbClr val="002060"/>
          </a:solidFill>
          <a:ln w="25400" cap="flat" cmpd="sng" algn="ctr">
            <a:solidFill>
              <a:srgbClr val="4F81BD">
                <a:shade val="15000"/>
              </a:srgbClr>
            </a:solidFill>
            <a:prstDash val="solid"/>
          </a:ln>
          <a:effectLst/>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Calibri"/>
                <a:ea typeface="+mn-ea"/>
                <a:cs typeface="+mn-cs"/>
              </a:rPr>
              <a:t>Total Violations</a:t>
            </a:r>
          </a:p>
        </xdr:txBody>
      </xdr:sp>
    </xdr:grpSp>
    <xdr:clientData/>
  </xdr:twoCellAnchor>
  <xdr:twoCellAnchor>
    <xdr:from>
      <xdr:col>9</xdr:col>
      <xdr:colOff>85387</xdr:colOff>
      <xdr:row>0</xdr:row>
      <xdr:rowOff>39677</xdr:rowOff>
    </xdr:from>
    <xdr:to>
      <xdr:col>10</xdr:col>
      <xdr:colOff>603248</xdr:colOff>
      <xdr:row>4</xdr:row>
      <xdr:rowOff>87304</xdr:rowOff>
    </xdr:to>
    <xdr:grpSp>
      <xdr:nvGrpSpPr>
        <xdr:cNvPr id="51" name="Group 50">
          <a:extLst>
            <a:ext uri="{FF2B5EF4-FFF2-40B4-BE49-F238E27FC236}">
              <a16:creationId xmlns:a16="http://schemas.microsoft.com/office/drawing/2014/main" id="{7EF67E5A-8E42-536B-785F-15C00FE2422D}"/>
            </a:ext>
          </a:extLst>
        </xdr:cNvPr>
        <xdr:cNvGrpSpPr/>
      </xdr:nvGrpSpPr>
      <xdr:grpSpPr>
        <a:xfrm>
          <a:off x="5046325" y="39677"/>
          <a:ext cx="1129048" cy="777877"/>
          <a:chOff x="899784" y="3514948"/>
          <a:chExt cx="1700734" cy="644303"/>
        </a:xfrm>
      </xdr:grpSpPr>
      <xdr:sp macro="" textlink="Pivot_Tables!C4">
        <xdr:nvSpPr>
          <xdr:cNvPr id="58" name="Rectangle: Top Corners Rounded 57">
            <a:extLst>
              <a:ext uri="{FF2B5EF4-FFF2-40B4-BE49-F238E27FC236}">
                <a16:creationId xmlns:a16="http://schemas.microsoft.com/office/drawing/2014/main" id="{B94061E7-1459-1DAA-F11A-C07E3314AE8E}"/>
              </a:ext>
            </a:extLst>
          </xdr:cNvPr>
          <xdr:cNvSpPr/>
        </xdr:nvSpPr>
        <xdr:spPr>
          <a:xfrm>
            <a:off x="899798" y="3532189"/>
            <a:ext cx="1700720" cy="627062"/>
          </a:xfrm>
          <a:prstGeom prst="round2SameRect">
            <a:avLst/>
          </a:prstGeom>
          <a:solidFill>
            <a:schemeClr val="bg2"/>
          </a:solidFill>
          <a:ln w="25400" cap="flat" cmpd="sng" algn="ctr">
            <a:solidFill>
              <a:srgbClr val="4F81BD">
                <a:shade val="15000"/>
              </a:srgbClr>
            </a:solidFill>
            <a:prstDash val="solid"/>
          </a:ln>
          <a:effectLst/>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259D126C-6F47-44E7-B8CB-73EFA7909AAA}" type="TxLink">
              <a:rPr kumimoji="0" lang="en-US" sz="3200" b="1" i="0" u="none" strike="noStrike" kern="0" cap="none" spc="0" normalizeH="0" baseline="0" noProof="0" smtClean="0">
                <a:ln>
                  <a:noFill/>
                </a:ln>
                <a:solidFill>
                  <a:srgbClr val="00B0F0"/>
                </a:solidFill>
                <a:effectLst/>
                <a:uLnTx/>
                <a:uFillTx/>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4</a:t>
            </a:fld>
            <a:endParaRPr kumimoji="0" lang="en-US" sz="13800" b="1" i="0" u="none" strike="noStrike" kern="0" cap="none" spc="0" normalizeH="0" baseline="0" noProof="0">
              <a:ln>
                <a:noFill/>
              </a:ln>
              <a:solidFill>
                <a:srgbClr val="00B0F0"/>
              </a:solidFill>
              <a:effectLst/>
              <a:uLnTx/>
              <a:uFillTx/>
              <a:latin typeface="Calibri"/>
              <a:ea typeface="+mn-ea"/>
              <a:cs typeface="+mn-cs"/>
            </a:endParaRPr>
          </a:p>
        </xdr:txBody>
      </xdr:sp>
      <xdr:sp macro="" textlink="">
        <xdr:nvSpPr>
          <xdr:cNvPr id="59" name="Rectangle: Top Corners Rounded 58">
            <a:extLst>
              <a:ext uri="{FF2B5EF4-FFF2-40B4-BE49-F238E27FC236}">
                <a16:creationId xmlns:a16="http://schemas.microsoft.com/office/drawing/2014/main" id="{BD471DDE-650C-2A4B-769D-8A69E4E0763F}"/>
              </a:ext>
            </a:extLst>
          </xdr:cNvPr>
          <xdr:cNvSpPr/>
        </xdr:nvSpPr>
        <xdr:spPr>
          <a:xfrm>
            <a:off x="899784" y="3514948"/>
            <a:ext cx="1688774" cy="203812"/>
          </a:xfrm>
          <a:prstGeom prst="round2SameRect">
            <a:avLst/>
          </a:prstGeom>
          <a:solidFill>
            <a:srgbClr val="002060"/>
          </a:solidFill>
          <a:ln w="25400" cap="flat" cmpd="sng" algn="ctr">
            <a:solidFill>
              <a:srgbClr val="4F81BD">
                <a:shade val="15000"/>
              </a:srgbClr>
            </a:solidFill>
            <a:prstDash val="solid"/>
          </a:ln>
          <a:effectLst/>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Calibri"/>
                <a:ea typeface="+mn-ea"/>
                <a:cs typeface="+mn-cs"/>
              </a:rPr>
              <a:t>Total Hauliers</a:t>
            </a:r>
          </a:p>
        </xdr:txBody>
      </xdr:sp>
    </xdr:grpSp>
    <xdr:clientData/>
  </xdr:twoCellAnchor>
  <xdr:twoCellAnchor>
    <xdr:from>
      <xdr:col>11</xdr:col>
      <xdr:colOff>40194</xdr:colOff>
      <xdr:row>0</xdr:row>
      <xdr:rowOff>31746</xdr:rowOff>
    </xdr:from>
    <xdr:to>
      <xdr:col>14</xdr:col>
      <xdr:colOff>587370</xdr:colOff>
      <xdr:row>4</xdr:row>
      <xdr:rowOff>95241</xdr:rowOff>
    </xdr:to>
    <xdr:grpSp>
      <xdr:nvGrpSpPr>
        <xdr:cNvPr id="53" name="Group 52">
          <a:extLst>
            <a:ext uri="{FF2B5EF4-FFF2-40B4-BE49-F238E27FC236}">
              <a16:creationId xmlns:a16="http://schemas.microsoft.com/office/drawing/2014/main" id="{E9B6D2E1-DE17-160C-3433-369D190CAC90}"/>
            </a:ext>
          </a:extLst>
        </xdr:cNvPr>
        <xdr:cNvGrpSpPr/>
      </xdr:nvGrpSpPr>
      <xdr:grpSpPr>
        <a:xfrm>
          <a:off x="6223507" y="31746"/>
          <a:ext cx="2380738" cy="793745"/>
          <a:chOff x="-245066" y="3508376"/>
          <a:chExt cx="3109926" cy="657446"/>
        </a:xfrm>
      </xdr:grpSpPr>
      <xdr:sp macro="" textlink="Pivot_Tables!C5">
        <xdr:nvSpPr>
          <xdr:cNvPr id="54" name="Rectangle: Top Corners Rounded 53">
            <a:extLst>
              <a:ext uri="{FF2B5EF4-FFF2-40B4-BE49-F238E27FC236}">
                <a16:creationId xmlns:a16="http://schemas.microsoft.com/office/drawing/2014/main" id="{3170B421-80C2-40ED-8EFE-C558A2DDB8AA}"/>
              </a:ext>
            </a:extLst>
          </xdr:cNvPr>
          <xdr:cNvSpPr/>
        </xdr:nvSpPr>
        <xdr:spPr>
          <a:xfrm>
            <a:off x="-245060" y="3551912"/>
            <a:ext cx="1523499" cy="613910"/>
          </a:xfrm>
          <a:prstGeom prst="round2SameRect">
            <a:avLst/>
          </a:prstGeom>
          <a:solidFill>
            <a:schemeClr val="bg2"/>
          </a:solidFill>
          <a:ln w="25400" cap="flat" cmpd="sng" algn="ctr">
            <a:solidFill>
              <a:srgbClr val="4F81BD">
                <a:shade val="15000"/>
              </a:srgbClr>
            </a:solidFill>
            <a:prstDash val="solid"/>
          </a:ln>
          <a:effectLst/>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D31A5CD2-4B36-4E78-80AF-703A832D8451}" type="TxLink">
              <a:rPr kumimoji="0" lang="en-US" sz="3200" b="1" i="0" u="none" strike="noStrike" kern="0" cap="none" spc="0" normalizeH="0" baseline="0" noProof="0" smtClean="0">
                <a:ln>
                  <a:noFill/>
                </a:ln>
                <a:solidFill>
                  <a:schemeClr val="accent2"/>
                </a:solidFill>
                <a:effectLst/>
                <a:uLnTx/>
                <a:uFillTx/>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234</a:t>
            </a:fld>
            <a:endParaRPr kumimoji="0" lang="en-US" sz="41300" b="1" i="0" u="none" strike="noStrike" kern="0" cap="none" spc="0" normalizeH="0" baseline="0" noProof="0">
              <a:ln>
                <a:noFill/>
              </a:ln>
              <a:solidFill>
                <a:schemeClr val="accent2"/>
              </a:solidFill>
              <a:effectLst/>
              <a:uLnTx/>
              <a:uFillTx/>
              <a:latin typeface="Calibri"/>
              <a:ea typeface="+mn-ea"/>
              <a:cs typeface="+mn-cs"/>
            </a:endParaRPr>
          </a:p>
        </xdr:txBody>
      </xdr:sp>
      <xdr:sp macro="" textlink="">
        <xdr:nvSpPr>
          <xdr:cNvPr id="55" name="Rectangle: Top Corners Rounded 54">
            <a:extLst>
              <a:ext uri="{FF2B5EF4-FFF2-40B4-BE49-F238E27FC236}">
                <a16:creationId xmlns:a16="http://schemas.microsoft.com/office/drawing/2014/main" id="{775E2814-C9EB-869D-DCBF-0C9D3BDAFB1D}"/>
              </a:ext>
            </a:extLst>
          </xdr:cNvPr>
          <xdr:cNvSpPr/>
        </xdr:nvSpPr>
        <xdr:spPr>
          <a:xfrm>
            <a:off x="-245066" y="3508376"/>
            <a:ext cx="1523503" cy="221726"/>
          </a:xfrm>
          <a:prstGeom prst="round2SameRect">
            <a:avLst/>
          </a:prstGeom>
          <a:solidFill>
            <a:srgbClr val="002060"/>
          </a:solidFill>
          <a:ln w="25400" cap="flat" cmpd="sng" algn="ctr">
            <a:solidFill>
              <a:srgbClr val="4F81BD">
                <a:shade val="15000"/>
              </a:srgbClr>
            </a:solidFill>
            <a:prstDash val="solid"/>
          </a:ln>
          <a:effectLst/>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Calibri"/>
                <a:ea typeface="+mn-ea"/>
                <a:cs typeface="+mn-cs"/>
              </a:rPr>
              <a:t>Total Vehicles</a:t>
            </a:r>
          </a:p>
        </xdr:txBody>
      </xdr:sp>
      <xdr:sp macro="" textlink="Pivot_Tables!C6">
        <xdr:nvSpPr>
          <xdr:cNvPr id="2" name="Rectangle: Top Corners Rounded 1">
            <a:extLst>
              <a:ext uri="{FF2B5EF4-FFF2-40B4-BE49-F238E27FC236}">
                <a16:creationId xmlns:a16="http://schemas.microsoft.com/office/drawing/2014/main" id="{7A1AA01C-7B4A-3C1F-EA49-8A9CD018AB48}"/>
              </a:ext>
            </a:extLst>
          </xdr:cNvPr>
          <xdr:cNvSpPr/>
        </xdr:nvSpPr>
        <xdr:spPr>
          <a:xfrm>
            <a:off x="1341341" y="3532189"/>
            <a:ext cx="1523504" cy="627062"/>
          </a:xfrm>
          <a:prstGeom prst="round2SameRect">
            <a:avLst/>
          </a:prstGeom>
          <a:solidFill>
            <a:schemeClr val="bg2"/>
          </a:solidFill>
          <a:ln w="25400" cap="flat" cmpd="sng" algn="ctr">
            <a:solidFill>
              <a:srgbClr val="4F81BD">
                <a:shade val="15000"/>
              </a:srgbClr>
            </a:solidFill>
            <a:prstDash val="solid"/>
          </a:ln>
          <a:effectLst/>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fld id="{185D41E9-0456-477E-BCAB-C97099F74DBE}" type="TxLink">
              <a:rPr kumimoji="0" lang="en-US" sz="3200" b="1" i="0" u="none" strike="noStrike" kern="0" cap="none" spc="0" normalizeH="0" baseline="0" noProof="0" smtClean="0">
                <a:ln>
                  <a:noFill/>
                </a:ln>
                <a:solidFill>
                  <a:srgbClr val="00B050"/>
                </a:solidFill>
                <a:effectLst/>
                <a:uLnTx/>
                <a:uFillTx/>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276</a:t>
            </a:fld>
            <a:endParaRPr kumimoji="0" lang="en-US" sz="41300" b="1" i="0" u="none" strike="noStrike" kern="0" cap="none" spc="0" normalizeH="0" baseline="0" noProof="0">
              <a:ln>
                <a:noFill/>
              </a:ln>
              <a:solidFill>
                <a:srgbClr val="00B050"/>
              </a:solidFill>
              <a:effectLst/>
              <a:uLnTx/>
              <a:uFillTx/>
              <a:latin typeface="Calibri"/>
              <a:ea typeface="+mn-ea"/>
              <a:cs typeface="+mn-cs"/>
            </a:endParaRPr>
          </a:p>
        </xdr:txBody>
      </xdr:sp>
      <xdr:sp macro="" textlink="">
        <xdr:nvSpPr>
          <xdr:cNvPr id="3" name="Rectangle: Top Corners Rounded 2">
            <a:extLst>
              <a:ext uri="{FF2B5EF4-FFF2-40B4-BE49-F238E27FC236}">
                <a16:creationId xmlns:a16="http://schemas.microsoft.com/office/drawing/2014/main" id="{75CE7432-B343-4176-B372-FBC3E9632101}"/>
              </a:ext>
            </a:extLst>
          </xdr:cNvPr>
          <xdr:cNvSpPr/>
        </xdr:nvSpPr>
        <xdr:spPr>
          <a:xfrm>
            <a:off x="1341351" y="3508376"/>
            <a:ext cx="1523509" cy="221726"/>
          </a:xfrm>
          <a:prstGeom prst="round2SameRect">
            <a:avLst/>
          </a:prstGeom>
          <a:solidFill>
            <a:srgbClr val="002060"/>
          </a:solidFill>
          <a:ln w="25400" cap="flat" cmpd="sng" algn="ctr">
            <a:solidFill>
              <a:srgbClr val="4F81BD">
                <a:shade val="15000"/>
              </a:srgbClr>
            </a:solidFill>
            <a:prstDash val="solid"/>
          </a:ln>
          <a:effectLst/>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Calibri"/>
                <a:ea typeface="+mn-ea"/>
                <a:cs typeface="+mn-cs"/>
              </a:rPr>
              <a:t>Total Drivers</a:t>
            </a:r>
          </a:p>
        </xdr:txBody>
      </xdr:sp>
    </xdr:grpSp>
    <xdr:clientData/>
  </xdr:twoCellAnchor>
  <xdr:twoCellAnchor>
    <xdr:from>
      <xdr:col>7</xdr:col>
      <xdr:colOff>23806</xdr:colOff>
      <xdr:row>4</xdr:row>
      <xdr:rowOff>103180</xdr:rowOff>
    </xdr:from>
    <xdr:to>
      <xdr:col>14</xdr:col>
      <xdr:colOff>603244</xdr:colOff>
      <xdr:row>16</xdr:row>
      <xdr:rowOff>15875</xdr:rowOff>
    </xdr:to>
    <xdr:graphicFrame macro="">
      <xdr:nvGraphicFramePr>
        <xdr:cNvPr id="5" name="Chart 4">
          <a:extLst>
            <a:ext uri="{FF2B5EF4-FFF2-40B4-BE49-F238E27FC236}">
              <a16:creationId xmlns:a16="http://schemas.microsoft.com/office/drawing/2014/main" id="{FF66B64D-E236-4922-B375-DEB72E9AD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xdr:row>
      <xdr:rowOff>166685</xdr:rowOff>
    </xdr:from>
    <xdr:to>
      <xdr:col>7</xdr:col>
      <xdr:colOff>15875</xdr:colOff>
      <xdr:row>16</xdr:row>
      <xdr:rowOff>7938</xdr:rowOff>
    </xdr:to>
    <xdr:graphicFrame macro="">
      <xdr:nvGraphicFramePr>
        <xdr:cNvPr id="8" name="Chart 7">
          <a:extLst>
            <a:ext uri="{FF2B5EF4-FFF2-40B4-BE49-F238E27FC236}">
              <a16:creationId xmlns:a16="http://schemas.microsoft.com/office/drawing/2014/main" id="{53FDE328-D018-4631-8C4C-947DC4CC3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63502</xdr:colOff>
      <xdr:row>16</xdr:row>
      <xdr:rowOff>15876</xdr:rowOff>
    </xdr:from>
    <xdr:to>
      <xdr:col>7</xdr:col>
      <xdr:colOff>23812</xdr:colOff>
      <xdr:row>32</xdr:row>
      <xdr:rowOff>15876</xdr:rowOff>
    </xdr:to>
    <xdr:graphicFrame macro="">
      <xdr:nvGraphicFramePr>
        <xdr:cNvPr id="10" name="Chart 9">
          <a:extLst>
            <a:ext uri="{FF2B5EF4-FFF2-40B4-BE49-F238E27FC236}">
              <a16:creationId xmlns:a16="http://schemas.microsoft.com/office/drawing/2014/main" id="{CD0F24D4-93D3-415E-8FC6-F6DC04975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23812</xdr:colOff>
      <xdr:row>16</xdr:row>
      <xdr:rowOff>15870</xdr:rowOff>
    </xdr:from>
    <xdr:to>
      <xdr:col>14</xdr:col>
      <xdr:colOff>595312</xdr:colOff>
      <xdr:row>32</xdr:row>
      <xdr:rowOff>15875</xdr:rowOff>
    </xdr:to>
    <xdr:graphicFrame macro="">
      <xdr:nvGraphicFramePr>
        <xdr:cNvPr id="11" name="Chart 10">
          <a:extLst>
            <a:ext uri="{FF2B5EF4-FFF2-40B4-BE49-F238E27FC236}">
              <a16:creationId xmlns:a16="http://schemas.microsoft.com/office/drawing/2014/main" id="{00D867AD-C68E-42EE-98CA-578C59F13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603250</xdr:colOff>
      <xdr:row>5</xdr:row>
      <xdr:rowOff>119057</xdr:rowOff>
    </xdr:from>
    <xdr:to>
      <xdr:col>24</xdr:col>
      <xdr:colOff>531813</xdr:colOff>
      <xdr:row>8</xdr:row>
      <xdr:rowOff>182557</xdr:rowOff>
    </xdr:to>
    <mc:AlternateContent xmlns:mc="http://schemas.openxmlformats.org/markup-compatibility/2006" xmlns:a14="http://schemas.microsoft.com/office/drawing/2010/main">
      <mc:Choice Requires="a14">
        <xdr:graphicFrame macro="">
          <xdr:nvGraphicFramePr>
            <xdr:cNvPr id="16" name="Transporter">
              <a:extLst>
                <a:ext uri="{FF2B5EF4-FFF2-40B4-BE49-F238E27FC236}">
                  <a16:creationId xmlns:a16="http://schemas.microsoft.com/office/drawing/2014/main" id="{F7F95538-3E3B-47FC-B7B2-4837C118B600}"/>
                </a:ext>
              </a:extLst>
            </xdr:cNvPr>
            <xdr:cNvGraphicFramePr/>
          </xdr:nvGraphicFramePr>
          <xdr:xfrm>
            <a:off x="0" y="0"/>
            <a:ext cx="0" cy="0"/>
          </xdr:xfrm>
          <a:graphic>
            <a:graphicData uri="http://schemas.microsoft.com/office/drawing/2010/slicer">
              <sle:slicer xmlns:sle="http://schemas.microsoft.com/office/drawing/2010/slicer" name="Transporter"/>
            </a:graphicData>
          </a:graphic>
        </xdr:graphicFrame>
      </mc:Choice>
      <mc:Fallback xmlns="">
        <xdr:sp macro="" textlink="">
          <xdr:nvSpPr>
            <xdr:cNvPr id="0" name=""/>
            <xdr:cNvSpPr>
              <a:spLocks noTextEdit="1"/>
            </xdr:cNvSpPr>
          </xdr:nvSpPr>
          <xdr:spPr>
            <a:xfrm>
              <a:off x="8620125" y="1031870"/>
              <a:ext cx="6040438" cy="611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600297</xdr:colOff>
      <xdr:row>0</xdr:row>
      <xdr:rowOff>16553</xdr:rowOff>
    </xdr:from>
    <xdr:to>
      <xdr:col>24</xdr:col>
      <xdr:colOff>531811</xdr:colOff>
      <xdr:row>5</xdr:row>
      <xdr:rowOff>111125</xdr:rowOff>
    </xdr:to>
    <mc:AlternateContent xmlns:mc="http://schemas.openxmlformats.org/markup-compatibility/2006" xmlns:a14="http://schemas.microsoft.com/office/drawing/2010/main">
      <mc:Choice Requires="a14">
        <xdr:graphicFrame macro="">
          <xdr:nvGraphicFramePr>
            <xdr:cNvPr id="13" name="Violation Type">
              <a:extLst>
                <a:ext uri="{FF2B5EF4-FFF2-40B4-BE49-F238E27FC236}">
                  <a16:creationId xmlns:a16="http://schemas.microsoft.com/office/drawing/2014/main" id="{84C3753E-EEBD-74DC-6C62-81F6172076DE}"/>
                </a:ext>
              </a:extLst>
            </xdr:cNvPr>
            <xdr:cNvGraphicFramePr/>
          </xdr:nvGraphicFramePr>
          <xdr:xfrm>
            <a:off x="0" y="0"/>
            <a:ext cx="0" cy="0"/>
          </xdr:xfrm>
          <a:graphic>
            <a:graphicData uri="http://schemas.microsoft.com/office/drawing/2010/slicer">
              <sle:slicer xmlns:sle="http://schemas.microsoft.com/office/drawing/2010/slicer" name="Violation Type"/>
            </a:graphicData>
          </a:graphic>
        </xdr:graphicFrame>
      </mc:Choice>
      <mc:Fallback xmlns="">
        <xdr:sp macro="" textlink="">
          <xdr:nvSpPr>
            <xdr:cNvPr id="0" name=""/>
            <xdr:cNvSpPr>
              <a:spLocks noTextEdit="1"/>
            </xdr:cNvSpPr>
          </xdr:nvSpPr>
          <xdr:spPr>
            <a:xfrm>
              <a:off x="11061922" y="16553"/>
              <a:ext cx="3598639" cy="1186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xdr:colOff>
      <xdr:row>0</xdr:row>
      <xdr:rowOff>23810</xdr:rowOff>
    </xdr:from>
    <xdr:to>
      <xdr:col>18</xdr:col>
      <xdr:colOff>595313</xdr:colOff>
      <xdr:row>5</xdr:row>
      <xdr:rowOff>119062</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C3B3DA0A-9FE3-CDDB-7D2E-A7EF79A8ACE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628062" y="23810"/>
              <a:ext cx="2428876" cy="1182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603245</xdr:colOff>
      <xdr:row>9</xdr:row>
      <xdr:rowOff>0</xdr:rowOff>
    </xdr:from>
    <xdr:to>
      <xdr:col>19</xdr:col>
      <xdr:colOff>349250</xdr:colOff>
      <xdr:row>32</xdr:row>
      <xdr:rowOff>7939</xdr:rowOff>
    </xdr:to>
    <xdr:sp macro="" textlink="">
      <xdr:nvSpPr>
        <xdr:cNvPr id="17" name="TextBox 16">
          <a:extLst>
            <a:ext uri="{FF2B5EF4-FFF2-40B4-BE49-F238E27FC236}">
              <a16:creationId xmlns:a16="http://schemas.microsoft.com/office/drawing/2014/main" id="{6A695469-E96B-5013-405C-3F9CF9D4FB37}"/>
            </a:ext>
          </a:extLst>
        </xdr:cNvPr>
        <xdr:cNvSpPr txBox="1"/>
      </xdr:nvSpPr>
      <xdr:spPr>
        <a:xfrm>
          <a:off x="8620120" y="1643063"/>
          <a:ext cx="2801943" cy="4206876"/>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u="sng">
              <a:solidFill>
                <a:srgbClr val="00B0F0"/>
              </a:solidFill>
              <a:latin typeface="+mj-lt"/>
            </a:rPr>
            <a:t>Key Insights</a:t>
          </a:r>
        </a:p>
        <a:p>
          <a:r>
            <a:rPr lang="en-US" sz="1200" b="1"/>
            <a:t>1. </a:t>
          </a:r>
          <a:r>
            <a:rPr lang="en-US" sz="1200" b="1">
              <a:solidFill>
                <a:srgbClr val="00B050"/>
              </a:solidFill>
            </a:rPr>
            <a:t>Overall Fleet Safety Performance</a:t>
          </a:r>
        </a:p>
        <a:p>
          <a:pPr algn="l"/>
          <a:r>
            <a:rPr kumimoji="0" lang="en-US" sz="1100" b="0" i="0" u="none" strike="noStrike" kern="0" cap="none" spc="0" normalizeH="0" baseline="0" noProof="0">
              <a:ln>
                <a:noFill/>
              </a:ln>
              <a:solidFill>
                <a:prstClr val="black"/>
              </a:solidFill>
              <a:effectLst/>
              <a:uLnTx/>
              <a:uFillTx/>
              <a:latin typeface="+mn-lt"/>
              <a:ea typeface="+mn-ea"/>
              <a:cs typeface="+mn-cs"/>
            </a:rPr>
            <a:t>•</a:t>
          </a:r>
          <a:r>
            <a:rPr lang="en-US" sz="1200" b="1" baseline="0"/>
            <a:t> </a:t>
          </a:r>
          <a:r>
            <a:rPr lang="en-US" sz="1200"/>
            <a:t>The fleet recorded </a:t>
          </a:r>
          <a:r>
            <a:rPr lang="en-US" sz="1200" b="1">
              <a:solidFill>
                <a:srgbClr val="FF0000"/>
              </a:solidFill>
            </a:rPr>
            <a:t>1,175 safety     </a:t>
          </a:r>
          <a:br>
            <a:rPr lang="en-US" sz="1200" b="1">
              <a:solidFill>
                <a:srgbClr val="FF0000"/>
              </a:solidFill>
            </a:rPr>
          </a:br>
          <a:r>
            <a:rPr lang="en-US" sz="1200" b="1">
              <a:solidFill>
                <a:srgbClr val="FF0000"/>
              </a:solidFill>
            </a:rPr>
            <a:t>  violations</a:t>
          </a:r>
          <a:r>
            <a:rPr lang="en-US" sz="1200">
              <a:solidFill>
                <a:srgbClr val="FF0000"/>
              </a:solidFill>
            </a:rPr>
            <a:t> </a:t>
          </a:r>
          <a:r>
            <a:rPr lang="en-US" sz="1200"/>
            <a:t>across </a:t>
          </a:r>
          <a:r>
            <a:rPr lang="en-US" sz="1200" b="1"/>
            <a:t>234 vehicles</a:t>
          </a:r>
          <a:r>
            <a:rPr lang="en-US" sz="1200"/>
            <a:t> and </a:t>
          </a:r>
          <a:r>
            <a:rPr lang="en-US" sz="1200" b="1"/>
            <a:t>276  </a:t>
          </a:r>
          <a:br>
            <a:rPr lang="en-US" sz="1200" b="1"/>
          </a:br>
          <a:r>
            <a:rPr lang="en-US" sz="1200" b="1"/>
            <a:t>   drivers</a:t>
          </a:r>
          <a:r>
            <a:rPr lang="en-US" sz="1200"/>
            <a:t>.</a:t>
          </a:r>
        </a:p>
        <a:p>
          <a:pPr algn="l"/>
          <a:r>
            <a:rPr lang="en-US" sz="1100">
              <a:solidFill>
                <a:schemeClr val="dk1"/>
              </a:solidFill>
              <a:effectLst/>
              <a:latin typeface="+mn-lt"/>
              <a:ea typeface="+mn-ea"/>
              <a:cs typeface="+mn-cs"/>
            </a:rPr>
            <a:t>•</a:t>
          </a:r>
          <a:r>
            <a:rPr lang="en-US" sz="1200"/>
            <a:t>Average violations per vehicle: </a:t>
          </a:r>
          <a:r>
            <a:rPr lang="en-US" sz="1200" b="1"/>
            <a:t>5.0 while  </a:t>
          </a:r>
          <a:br>
            <a:rPr lang="en-US" sz="1200" b="1"/>
          </a:br>
          <a:r>
            <a:rPr lang="en-US" sz="1200" b="1"/>
            <a:t>   </a:t>
          </a:r>
          <a:r>
            <a:rPr lang="en-US" sz="1200" b="0"/>
            <a:t>average</a:t>
          </a:r>
          <a:r>
            <a:rPr lang="en-US" sz="1200"/>
            <a:t> violations per driver: </a:t>
          </a:r>
          <a:r>
            <a:rPr lang="en-US" sz="1200" b="1"/>
            <a:t>4.3</a:t>
          </a:r>
        </a:p>
        <a:p>
          <a:endParaRPr lang="en-US" sz="1200" b="1" u="none">
            <a:solidFill>
              <a:srgbClr val="00B050"/>
            </a:solidFill>
            <a:latin typeface="+mj-lt"/>
          </a:endParaRPr>
        </a:p>
        <a:p>
          <a:r>
            <a:rPr lang="en-US" sz="1200" b="1" u="none">
              <a:solidFill>
                <a:srgbClr val="00B050"/>
              </a:solidFill>
              <a:latin typeface="+mj-lt"/>
            </a:rPr>
            <a:t>2. Transporter</a:t>
          </a:r>
          <a:r>
            <a:rPr lang="en-US" sz="1200" b="1" u="none" baseline="0">
              <a:solidFill>
                <a:srgbClr val="00B050"/>
              </a:solidFill>
              <a:latin typeface="+mj-lt"/>
            </a:rPr>
            <a:t> Performance Analysis</a:t>
          </a:r>
          <a:endParaRPr lang="en-US" sz="1200" b="1" u="none">
            <a:solidFill>
              <a:srgbClr val="00B050"/>
            </a:solidFill>
            <a:latin typeface="+mj-lt"/>
          </a:endParaRPr>
        </a:p>
        <a:p>
          <a:pPr rtl="0" eaLnBrk="1" latinLnBrk="0" hangingPunct="1"/>
          <a:r>
            <a:rPr lang="en-US" sz="1100">
              <a:solidFill>
                <a:schemeClr val="dk1"/>
              </a:solidFill>
              <a:effectLst/>
              <a:latin typeface="+mn-lt"/>
              <a:ea typeface="+mn-ea"/>
              <a:cs typeface="+mn-cs"/>
            </a:rPr>
            <a:t>• Haulier C: </a:t>
          </a:r>
          <a:r>
            <a:rPr lang="en-US" sz="1100" b="1">
              <a:solidFill>
                <a:schemeClr val="dk1"/>
              </a:solidFill>
              <a:effectLst/>
              <a:latin typeface="+mn-lt"/>
              <a:ea typeface="+mn-ea"/>
              <a:cs typeface="+mn-cs"/>
            </a:rPr>
            <a:t>427</a:t>
          </a:r>
          <a:r>
            <a:rPr lang="en-US" sz="1100">
              <a:solidFill>
                <a:schemeClr val="dk1"/>
              </a:solidFill>
              <a:effectLst/>
              <a:latin typeface="+mn-lt"/>
              <a:ea typeface="+mn-ea"/>
              <a:cs typeface="+mn-cs"/>
            </a:rPr>
            <a:t> violations </a:t>
          </a:r>
          <a:r>
            <a:rPr lang="en-US" sz="1100" b="1">
              <a:solidFill>
                <a:schemeClr val="dk1"/>
              </a:solidFill>
              <a:effectLst/>
              <a:latin typeface="+mn-lt"/>
              <a:ea typeface="+mn-ea"/>
              <a:cs typeface="+mn-cs"/>
            </a:rPr>
            <a:t>(36.3%)</a:t>
          </a:r>
          <a:endParaRPr lang="en-US" sz="1100" b="1">
            <a:effectLst/>
          </a:endParaRPr>
        </a:p>
        <a:p>
          <a:pPr rtl="0" eaLnBrk="1" latinLnBrk="0" hangingPunct="1"/>
          <a:r>
            <a:rPr lang="en-US" sz="1100">
              <a:solidFill>
                <a:schemeClr val="dk1"/>
              </a:solidFill>
              <a:effectLst/>
              <a:latin typeface="+mn-lt"/>
              <a:ea typeface="+mn-ea"/>
              <a:cs typeface="+mn-cs"/>
            </a:rPr>
            <a:t>• Haulier D: </a:t>
          </a:r>
          <a:r>
            <a:rPr lang="en-US" sz="1100" b="1">
              <a:solidFill>
                <a:schemeClr val="dk1"/>
              </a:solidFill>
              <a:effectLst/>
              <a:latin typeface="+mn-lt"/>
              <a:ea typeface="+mn-ea"/>
              <a:cs typeface="+mn-cs"/>
            </a:rPr>
            <a:t>320</a:t>
          </a:r>
          <a:r>
            <a:rPr lang="en-US" sz="1100">
              <a:solidFill>
                <a:schemeClr val="dk1"/>
              </a:solidFill>
              <a:effectLst/>
              <a:latin typeface="+mn-lt"/>
              <a:ea typeface="+mn-ea"/>
              <a:cs typeface="+mn-cs"/>
            </a:rPr>
            <a:t> violations </a:t>
          </a:r>
          <a:r>
            <a:rPr lang="en-US" sz="1100" b="1">
              <a:solidFill>
                <a:schemeClr val="dk1"/>
              </a:solidFill>
              <a:effectLst/>
              <a:latin typeface="+mn-lt"/>
              <a:ea typeface="+mn-ea"/>
              <a:cs typeface="+mn-cs"/>
            </a:rPr>
            <a:t>(27.2%)</a:t>
          </a:r>
          <a:endParaRPr lang="en-US" sz="1200" b="1">
            <a:effectLst/>
          </a:endParaRPr>
        </a:p>
        <a:p>
          <a:pPr rtl="0" eaLnBrk="1" latinLnBrk="0" hangingPunct="1"/>
          <a:r>
            <a:rPr lang="en-US" sz="1100">
              <a:solidFill>
                <a:schemeClr val="dk1"/>
              </a:solidFill>
              <a:effectLst/>
              <a:latin typeface="+mn-lt"/>
              <a:ea typeface="+mn-ea"/>
              <a:cs typeface="+mn-cs"/>
            </a:rPr>
            <a:t>• Haulier B: </a:t>
          </a:r>
          <a:r>
            <a:rPr lang="en-US" sz="1100" b="1">
              <a:solidFill>
                <a:schemeClr val="dk1"/>
              </a:solidFill>
              <a:effectLst/>
              <a:latin typeface="+mn-lt"/>
              <a:ea typeface="+mn-ea"/>
              <a:cs typeface="+mn-cs"/>
            </a:rPr>
            <a:t>241</a:t>
          </a:r>
          <a:r>
            <a:rPr lang="en-US" sz="1100">
              <a:solidFill>
                <a:schemeClr val="dk1"/>
              </a:solidFill>
              <a:effectLst/>
              <a:latin typeface="+mn-lt"/>
              <a:ea typeface="+mn-ea"/>
              <a:cs typeface="+mn-cs"/>
            </a:rPr>
            <a:t> violations </a:t>
          </a:r>
          <a:r>
            <a:rPr lang="en-US" sz="1100" b="1">
              <a:solidFill>
                <a:schemeClr val="dk1"/>
              </a:solidFill>
              <a:effectLst/>
              <a:latin typeface="+mn-lt"/>
              <a:ea typeface="+mn-ea"/>
              <a:cs typeface="+mn-cs"/>
            </a:rPr>
            <a:t>(20.5%)</a:t>
          </a:r>
          <a:endParaRPr lang="en-US" sz="1200" b="1">
            <a:effectLst/>
          </a:endParaRPr>
        </a:p>
        <a:p>
          <a:pPr rtl="0" eaLnBrk="1" latinLnBrk="0" hangingPunct="1"/>
          <a:r>
            <a:rPr lang="en-US" sz="1100">
              <a:solidFill>
                <a:schemeClr val="dk1"/>
              </a:solidFill>
              <a:effectLst/>
              <a:latin typeface="+mn-lt"/>
              <a:ea typeface="+mn-ea"/>
              <a:cs typeface="+mn-cs"/>
            </a:rPr>
            <a:t>• Haulier A: </a:t>
          </a:r>
          <a:r>
            <a:rPr lang="en-US" sz="1100" b="1">
              <a:solidFill>
                <a:schemeClr val="dk1"/>
              </a:solidFill>
              <a:effectLst/>
              <a:latin typeface="+mn-lt"/>
              <a:ea typeface="+mn-ea"/>
              <a:cs typeface="+mn-cs"/>
            </a:rPr>
            <a:t>187</a:t>
          </a:r>
          <a:r>
            <a:rPr lang="en-US" sz="1100">
              <a:solidFill>
                <a:schemeClr val="dk1"/>
              </a:solidFill>
              <a:effectLst/>
              <a:latin typeface="+mn-lt"/>
              <a:ea typeface="+mn-ea"/>
              <a:cs typeface="+mn-cs"/>
            </a:rPr>
            <a:t> violations </a:t>
          </a:r>
          <a:r>
            <a:rPr lang="en-US" sz="1100" b="1">
              <a:solidFill>
                <a:schemeClr val="dk1"/>
              </a:solidFill>
              <a:effectLst/>
              <a:latin typeface="+mn-lt"/>
              <a:ea typeface="+mn-ea"/>
              <a:cs typeface="+mn-cs"/>
            </a:rPr>
            <a:t>(15.9%)</a:t>
          </a:r>
          <a:endParaRPr lang="en-US" sz="1200" b="1">
            <a:effectLst/>
          </a:endParaRPr>
        </a:p>
        <a:p>
          <a:endParaRPr lang="en-US" sz="1200" b="1" u="none">
            <a:solidFill>
              <a:srgbClr val="00B050"/>
            </a:solidFill>
            <a:latin typeface="+mj-lt"/>
          </a:endParaRPr>
        </a:p>
        <a:p>
          <a:r>
            <a:rPr lang="en-US" sz="1200" b="1" u="none">
              <a:solidFill>
                <a:srgbClr val="00B050"/>
              </a:solidFill>
              <a:latin typeface="+mj-lt"/>
            </a:rPr>
            <a:t>3. Violation Type Analysis</a:t>
          </a:r>
        </a:p>
        <a:p>
          <a:pPr rtl="0" eaLnBrk="1" latinLnBrk="0" hangingPunct="1"/>
          <a:r>
            <a:rPr lang="en-US" sz="1100">
              <a:solidFill>
                <a:schemeClr val="dk1"/>
              </a:solidFill>
              <a:effectLst/>
              <a:latin typeface="+mn-lt"/>
              <a:ea typeface="+mn-ea"/>
              <a:cs typeface="+mn-cs"/>
            </a:rPr>
            <a:t>• Over-speeding (&gt;80 km/h): </a:t>
          </a:r>
          <a:r>
            <a:rPr lang="en-US" sz="1100" b="1">
              <a:solidFill>
                <a:schemeClr val="dk1"/>
              </a:solidFill>
              <a:effectLst/>
              <a:latin typeface="+mn-lt"/>
              <a:ea typeface="+mn-ea"/>
              <a:cs typeface="+mn-cs"/>
            </a:rPr>
            <a:t>547 (47%)</a:t>
          </a:r>
          <a:endParaRPr lang="en-US" sz="1100" b="1">
            <a:effectLst/>
          </a:endParaRPr>
        </a:p>
        <a:p>
          <a:pPr rtl="0" eaLnBrk="1" latinLnBrk="0" hangingPunct="1"/>
          <a:r>
            <a:rPr lang="en-US" sz="1100">
              <a:solidFill>
                <a:schemeClr val="dk1"/>
              </a:solidFill>
              <a:effectLst/>
              <a:latin typeface="+mn-lt"/>
              <a:ea typeface="+mn-ea"/>
              <a:cs typeface="+mn-cs"/>
            </a:rPr>
            <a:t>• Freewheeling: </a:t>
          </a:r>
          <a:r>
            <a:rPr lang="en-US" sz="1100" b="1">
              <a:solidFill>
                <a:schemeClr val="dk1"/>
              </a:solidFill>
              <a:effectLst/>
              <a:latin typeface="+mn-lt"/>
              <a:ea typeface="+mn-ea"/>
              <a:cs typeface="+mn-cs"/>
            </a:rPr>
            <a:t>407 (35%)</a:t>
          </a:r>
          <a:endParaRPr lang="en-US" sz="1200" b="1">
            <a:effectLst/>
          </a:endParaRPr>
        </a:p>
        <a:p>
          <a:pPr rtl="0" eaLnBrk="1" latinLnBrk="0" hangingPunct="1"/>
          <a:r>
            <a:rPr lang="en-US" sz="1100">
              <a:solidFill>
                <a:schemeClr val="dk1"/>
              </a:solidFill>
              <a:effectLst/>
              <a:latin typeface="+mn-lt"/>
              <a:ea typeface="+mn-ea"/>
              <a:cs typeface="+mn-cs"/>
            </a:rPr>
            <a:t>• Night Driving (11pm–4am): </a:t>
          </a:r>
          <a:r>
            <a:rPr lang="en-US" sz="1100" b="1">
              <a:solidFill>
                <a:schemeClr val="dk1"/>
              </a:solidFill>
              <a:effectLst/>
              <a:latin typeface="+mn-lt"/>
              <a:ea typeface="+mn-ea"/>
              <a:cs typeface="+mn-cs"/>
            </a:rPr>
            <a:t>112 (9%)</a:t>
          </a:r>
          <a:endParaRPr lang="en-US" sz="1200" b="1">
            <a:effectLst/>
          </a:endParaRPr>
        </a:p>
        <a:p>
          <a:pPr rtl="0" eaLnBrk="1" latinLnBrk="0" hangingPunct="1"/>
          <a:r>
            <a:rPr lang="en-US" sz="1100">
              <a:solidFill>
                <a:schemeClr val="dk1"/>
              </a:solidFill>
              <a:effectLst/>
              <a:latin typeface="+mn-lt"/>
              <a:ea typeface="+mn-ea"/>
              <a:cs typeface="+mn-cs"/>
            </a:rPr>
            <a:t>• Harsh Braking: </a:t>
          </a:r>
          <a:r>
            <a:rPr lang="en-US" sz="1100" b="1">
              <a:solidFill>
                <a:schemeClr val="dk1"/>
              </a:solidFill>
              <a:effectLst/>
              <a:latin typeface="+mn-lt"/>
              <a:ea typeface="+mn-ea"/>
              <a:cs typeface="+mn-cs"/>
            </a:rPr>
            <a:t>74 (6%)</a:t>
          </a:r>
          <a:endParaRPr lang="en-US" sz="1200" b="1">
            <a:effectLst/>
          </a:endParaRPr>
        </a:p>
        <a:p>
          <a:pPr rtl="0" eaLnBrk="1" latinLnBrk="0" hangingPunct="1"/>
          <a:r>
            <a:rPr lang="en-US" sz="1100">
              <a:solidFill>
                <a:schemeClr val="dk1"/>
              </a:solidFill>
              <a:effectLst/>
              <a:latin typeface="+mn-lt"/>
              <a:ea typeface="+mn-ea"/>
              <a:cs typeface="+mn-cs"/>
            </a:rPr>
            <a:t>• Harsh Acceleration: </a:t>
          </a:r>
          <a:r>
            <a:rPr lang="en-US" sz="1100" b="1">
              <a:solidFill>
                <a:schemeClr val="dk1"/>
              </a:solidFill>
              <a:effectLst/>
              <a:latin typeface="+mn-lt"/>
              <a:ea typeface="+mn-ea"/>
              <a:cs typeface="+mn-cs"/>
            </a:rPr>
            <a:t>35 (3%)</a:t>
          </a:r>
          <a:endParaRPr lang="en-US" sz="1200" b="1">
            <a:effectLst/>
          </a:endParaRPr>
        </a:p>
        <a:p>
          <a:endParaRPr lang="en-US" sz="1200" b="1" u="sng">
            <a:latin typeface="+mj-lt"/>
          </a:endParaRPr>
        </a:p>
      </xdr:txBody>
    </xdr:sp>
    <xdr:clientData/>
  </xdr:twoCellAnchor>
  <xdr:twoCellAnchor>
    <xdr:from>
      <xdr:col>19</xdr:col>
      <xdr:colOff>357187</xdr:colOff>
      <xdr:row>9</xdr:row>
      <xdr:rowOff>0</xdr:rowOff>
    </xdr:from>
    <xdr:to>
      <xdr:col>24</xdr:col>
      <xdr:colOff>515939</xdr:colOff>
      <xdr:row>32</xdr:row>
      <xdr:rowOff>7938</xdr:rowOff>
    </xdr:to>
    <xdr:sp macro="" textlink="">
      <xdr:nvSpPr>
        <xdr:cNvPr id="18" name="TextBox 17">
          <a:extLst>
            <a:ext uri="{FF2B5EF4-FFF2-40B4-BE49-F238E27FC236}">
              <a16:creationId xmlns:a16="http://schemas.microsoft.com/office/drawing/2014/main" id="{70312ADA-2391-E38C-8CDE-386C9055B701}"/>
            </a:ext>
          </a:extLst>
        </xdr:cNvPr>
        <xdr:cNvSpPr txBox="1"/>
      </xdr:nvSpPr>
      <xdr:spPr>
        <a:xfrm>
          <a:off x="11430000" y="1643063"/>
          <a:ext cx="3214689" cy="42068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B050"/>
              </a:solidFill>
              <a:latin typeface="+mj-lt"/>
            </a:rPr>
            <a:t>Monthly Trend Analysis</a:t>
          </a:r>
        </a:p>
        <a:p>
          <a:pPr rtl="0" eaLnBrk="1" latinLnBrk="0" hangingPunct="1"/>
          <a:r>
            <a:rPr lang="en-US" sz="1100">
              <a:solidFill>
                <a:schemeClr val="dk1"/>
              </a:solidFill>
              <a:effectLst/>
              <a:latin typeface="+mn-lt"/>
              <a:ea typeface="+mn-ea"/>
              <a:cs typeface="+mn-cs"/>
            </a:rPr>
            <a:t>• Highest month: </a:t>
          </a:r>
          <a:r>
            <a:rPr lang="en-US" sz="1100" b="1">
              <a:solidFill>
                <a:schemeClr val="dk1"/>
              </a:solidFill>
              <a:effectLst/>
              <a:latin typeface="+mn-lt"/>
              <a:ea typeface="+mn-ea"/>
              <a:cs typeface="+mn-cs"/>
            </a:rPr>
            <a:t>July (203 </a:t>
          </a:r>
          <a:r>
            <a:rPr lang="en-US" sz="1100">
              <a:solidFill>
                <a:schemeClr val="dk1"/>
              </a:solidFill>
              <a:effectLst/>
              <a:latin typeface="+mn-lt"/>
              <a:ea typeface="+mn-ea"/>
              <a:cs typeface="+mn-cs"/>
            </a:rPr>
            <a:t>violations)</a:t>
          </a:r>
          <a:endParaRPr lang="en-US" sz="1100">
            <a:effectLst/>
          </a:endParaRPr>
        </a:p>
        <a:p>
          <a:pPr rtl="0" eaLnBrk="1" latinLnBrk="0" hangingPunct="1"/>
          <a:r>
            <a:rPr lang="en-US" sz="1100">
              <a:solidFill>
                <a:schemeClr val="dk1"/>
              </a:solidFill>
              <a:effectLst/>
              <a:latin typeface="+mn-lt"/>
              <a:ea typeface="+mn-ea"/>
              <a:cs typeface="+mn-cs"/>
            </a:rPr>
            <a:t>• Lowest months: </a:t>
          </a:r>
          <a:r>
            <a:rPr lang="en-US" sz="1100" b="1">
              <a:solidFill>
                <a:srgbClr val="00B050"/>
              </a:solidFill>
              <a:effectLst/>
              <a:latin typeface="+mn-lt"/>
              <a:ea typeface="+mn-ea"/>
              <a:cs typeface="+mn-cs"/>
            </a:rPr>
            <a:t>April (48) </a:t>
          </a:r>
          <a:r>
            <a:rPr lang="en-US" sz="1100">
              <a:solidFill>
                <a:schemeClr val="dk1"/>
              </a:solidFill>
              <a:effectLst/>
              <a:latin typeface="+mn-lt"/>
              <a:ea typeface="+mn-ea"/>
              <a:cs typeface="+mn-cs"/>
            </a:rPr>
            <a:t>and </a:t>
          </a:r>
          <a:r>
            <a:rPr lang="en-US" sz="1100" b="1">
              <a:solidFill>
                <a:srgbClr val="00B050"/>
              </a:solidFill>
              <a:effectLst/>
              <a:latin typeface="+mn-lt"/>
              <a:ea typeface="+mn-ea"/>
              <a:cs typeface="+mn-cs"/>
            </a:rPr>
            <a:t>May (51)</a:t>
          </a:r>
          <a:endParaRPr lang="en-US" b="1">
            <a:solidFill>
              <a:srgbClr val="00B050"/>
            </a:solidFill>
            <a:effectLst/>
          </a:endParaRPr>
        </a:p>
        <a:p>
          <a:pPr rtl="0" eaLnBrk="1" latinLnBrk="0" hangingPunct="1"/>
          <a:r>
            <a:rPr lang="en-US" sz="1100">
              <a:solidFill>
                <a:schemeClr val="dk1"/>
              </a:solidFill>
              <a:effectLst/>
              <a:latin typeface="+mn-lt"/>
              <a:ea typeface="+mn-ea"/>
              <a:cs typeface="+mn-cs"/>
            </a:rPr>
            <a:t>• Violations increased nearly </a:t>
          </a:r>
          <a:r>
            <a:rPr lang="en-US" sz="1100" b="1">
              <a:solidFill>
                <a:srgbClr val="FF0000"/>
              </a:solidFill>
              <a:effectLst/>
              <a:latin typeface="+mn-lt"/>
              <a:ea typeface="+mn-ea"/>
              <a:cs typeface="+mn-cs"/>
            </a:rPr>
            <a:t>300%</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from </a:t>
          </a:r>
          <a:r>
            <a:rPr lang="en-US" sz="1100" b="1">
              <a:solidFill>
                <a:schemeClr val="dk1"/>
              </a:solidFill>
              <a:effectLst/>
              <a:latin typeface="+mn-lt"/>
              <a:ea typeface="+mn-ea"/>
              <a:cs typeface="+mn-cs"/>
            </a:rPr>
            <a:t>May to July</a:t>
          </a:r>
          <a:endParaRPr lang="en-US" b="1">
            <a:effectLst/>
          </a:endParaRPr>
        </a:p>
        <a:p>
          <a:pPr rtl="0" eaLnBrk="1" latinLnBrk="0" hangingPunct="1"/>
          <a:r>
            <a:rPr lang="en-US" sz="1100">
              <a:solidFill>
                <a:schemeClr val="dk1"/>
              </a:solidFill>
              <a:effectLst/>
              <a:latin typeface="+mn-lt"/>
              <a:ea typeface="+mn-ea"/>
              <a:cs typeface="+mn-cs"/>
            </a:rPr>
            <a:t>• December recorded </a:t>
          </a:r>
          <a:r>
            <a:rPr lang="en-US" sz="1100" b="1">
              <a:solidFill>
                <a:schemeClr val="dk1"/>
              </a:solidFill>
              <a:effectLst/>
              <a:latin typeface="+mn-lt"/>
              <a:ea typeface="+mn-ea"/>
              <a:cs typeface="+mn-cs"/>
            </a:rPr>
            <a:t>154</a:t>
          </a:r>
          <a:r>
            <a:rPr lang="en-US" sz="1100">
              <a:solidFill>
                <a:schemeClr val="dk1"/>
              </a:solidFill>
              <a:effectLst/>
              <a:latin typeface="+mn-lt"/>
              <a:ea typeface="+mn-ea"/>
              <a:cs typeface="+mn-cs"/>
            </a:rPr>
            <a:t> violations, indicating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elevated festive-season risk.</a:t>
          </a:r>
          <a:endParaRPr lang="en-US">
            <a:effectLst/>
          </a:endParaRPr>
        </a:p>
        <a:p>
          <a:r>
            <a:rPr lang="en-US" sz="1100" b="1">
              <a:solidFill>
                <a:srgbClr val="00B050"/>
              </a:solidFill>
              <a:latin typeface="+mj-lt"/>
            </a:rPr>
            <a:t>Key Reccommendations</a:t>
          </a:r>
        </a:p>
        <a:p>
          <a:pPr rtl="0" eaLnBrk="1" latinLnBrk="0" hangingPunct="1"/>
          <a:r>
            <a:rPr lang="en-US" sz="1100">
              <a:solidFill>
                <a:schemeClr val="dk1"/>
              </a:solidFill>
              <a:effectLst/>
              <a:latin typeface="+mn-lt"/>
              <a:ea typeface="+mn-ea"/>
              <a:cs typeface="+mn-cs"/>
            </a:rPr>
            <a:t>• Strengthen speed management and enforcement.</a:t>
          </a:r>
          <a:endParaRPr lang="en-US" sz="1100">
            <a:effectLst/>
          </a:endParaRPr>
        </a:p>
        <a:p>
          <a:pPr rtl="0" eaLnBrk="1" latinLnBrk="0" hangingPunct="1"/>
          <a:r>
            <a:rPr lang="en-US" sz="1100">
              <a:solidFill>
                <a:schemeClr val="dk1"/>
              </a:solidFill>
              <a:effectLst/>
              <a:latin typeface="+mn-lt"/>
              <a:ea typeface="+mn-ea"/>
              <a:cs typeface="+mn-cs"/>
            </a:rPr>
            <a:t>• Provide targeted coaching for repeat offenders.</a:t>
          </a:r>
          <a:endParaRPr lang="en-US">
            <a:effectLst/>
          </a:endParaRPr>
        </a:p>
        <a:p>
          <a:pPr rtl="0" eaLnBrk="1" latinLnBrk="0" hangingPunct="1"/>
          <a:r>
            <a:rPr lang="en-US" sz="1100">
              <a:solidFill>
                <a:schemeClr val="dk1"/>
              </a:solidFill>
              <a:effectLst/>
              <a:latin typeface="+mn-lt"/>
              <a:ea typeface="+mn-ea"/>
              <a:cs typeface="+mn-cs"/>
            </a:rPr>
            <a:t>• Conduct transporter-specific safety audits for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Hauliers C and D.</a:t>
          </a:r>
          <a:endParaRPr lang="en-US">
            <a:effectLst/>
          </a:endParaRPr>
        </a:p>
        <a:p>
          <a:pPr rtl="0" eaLnBrk="1" latinLnBrk="0" hangingPunct="1"/>
          <a:r>
            <a:rPr lang="en-US" sz="1100">
              <a:solidFill>
                <a:schemeClr val="dk1"/>
              </a:solidFill>
              <a:effectLst/>
              <a:latin typeface="+mn-lt"/>
              <a:ea typeface="+mn-ea"/>
              <a:cs typeface="+mn-cs"/>
            </a:rPr>
            <a:t>• Increase monitoring during June–July and Dec.</a:t>
          </a:r>
          <a:endParaRPr lang="en-US">
            <a:effectLst/>
          </a:endParaRPr>
        </a:p>
        <a:p>
          <a:pPr rtl="0" eaLnBrk="1" latinLnBrk="0" hangingPunct="1"/>
          <a:r>
            <a:rPr lang="en-US" sz="1100">
              <a:solidFill>
                <a:schemeClr val="dk1"/>
              </a:solidFill>
              <a:effectLst/>
              <a:latin typeface="+mn-lt"/>
              <a:ea typeface="+mn-ea"/>
              <a:cs typeface="+mn-cs"/>
            </a:rPr>
            <a:t>• Implement monthly driver scorecards and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benchmarking.</a:t>
          </a:r>
        </a:p>
        <a:p>
          <a:pPr rtl="0" eaLnBrk="1" latinLnBrk="0" hangingPunct="1"/>
          <a:r>
            <a:rPr lang="en-US" sz="1200" b="1">
              <a:solidFill>
                <a:srgbClr val="00B050"/>
              </a:solidFill>
              <a:effectLst/>
              <a:latin typeface="+mj-lt"/>
            </a:rPr>
            <a:t>Executive Summary</a:t>
          </a:r>
        </a:p>
        <a:p>
          <a:pPr rtl="0" eaLnBrk="1" latinLnBrk="0" hangingPunct="1"/>
          <a:r>
            <a:rPr lang="en-US" sz="1100">
              <a:solidFill>
                <a:schemeClr val="dk1"/>
              </a:solidFill>
              <a:effectLst/>
              <a:latin typeface="+mn-lt"/>
              <a:ea typeface="+mn-ea"/>
              <a:cs typeface="+mn-cs"/>
            </a:rPr>
            <a:t>• Fleet safety is primarily impacted by over-</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speeding and freewheeling.</a:t>
          </a:r>
          <a:endParaRPr lang="en-US" sz="1100">
            <a:effectLst/>
          </a:endParaRPr>
        </a:p>
        <a:p>
          <a:pPr rtl="0" eaLnBrk="1" latinLnBrk="0" hangingPunct="1"/>
          <a:r>
            <a:rPr lang="en-US" sz="1100">
              <a:solidFill>
                <a:schemeClr val="dk1"/>
              </a:solidFill>
              <a:effectLst/>
              <a:latin typeface="+mn-lt"/>
              <a:ea typeface="+mn-ea"/>
              <a:cs typeface="+mn-cs"/>
            </a:rPr>
            <a:t>• Haulier C and D represent the highest safety risk.</a:t>
          </a:r>
          <a:endParaRPr lang="en-US">
            <a:effectLst/>
          </a:endParaRPr>
        </a:p>
        <a:p>
          <a:pPr rtl="0" eaLnBrk="1" latinLnBrk="0" hangingPunct="1"/>
          <a:r>
            <a:rPr lang="en-US" sz="1100">
              <a:solidFill>
                <a:schemeClr val="dk1"/>
              </a:solidFill>
              <a:effectLst/>
              <a:latin typeface="+mn-lt"/>
              <a:ea typeface="+mn-ea"/>
              <a:cs typeface="+mn-cs"/>
            </a:rPr>
            <a:t>• July and December are the highest-risk periods.</a:t>
          </a:r>
          <a:endParaRPr lang="en-US">
            <a:effectLst/>
          </a:endParaRPr>
        </a:p>
        <a:p>
          <a:pPr rtl="0" eaLnBrk="1" latinLnBrk="0" hangingPunct="1"/>
          <a:r>
            <a:rPr lang="en-US" sz="1100">
              <a:solidFill>
                <a:schemeClr val="dk1"/>
              </a:solidFill>
              <a:effectLst/>
              <a:latin typeface="+mn-lt"/>
              <a:ea typeface="+mn-ea"/>
              <a:cs typeface="+mn-cs"/>
            </a:rPr>
            <a:t>• Targeted interventions could significantly reduce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annual violations.</a:t>
          </a:r>
          <a:endParaRPr lang="en-US">
            <a:effectLst/>
          </a:endParaRPr>
        </a:p>
        <a:p>
          <a:pPr rtl="0" eaLnBrk="1" latinLnBrk="0" hangingPunct="1"/>
          <a:endParaRPr lang="en-US">
            <a:effectLst/>
          </a:endParaRPr>
        </a:p>
        <a:p>
          <a:endParaRPr lang="en-US" sz="1100"/>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9T08:25:38.178"/>
    </inkml:context>
    <inkml:brush xml:id="br0">
      <inkml:brushProperty name="width" value="0.1" units="cm"/>
      <inkml:brushProperty name="height" value="0.1" units="cm"/>
      <inkml:brushProperty name="color" value="#008C3A"/>
    </inkml:brush>
  </inkml:definitions>
  <inkml:trace contextRef="#ctx0" brushRef="#br0">1 0 6553,'0'0'0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96.887486574073" createdVersion="8" refreshedVersion="8" minRefreshableVersion="3" recordCount="1175" xr:uid="{A7B94BAF-5782-4291-AEE7-0AF2D8873452}">
  <cacheSource type="worksheet">
    <worksheetSource name="events"/>
  </cacheSource>
  <cacheFields count="22">
    <cacheField name="Transporter" numFmtId="0">
      <sharedItems count="4">
        <s v="Haulier B"/>
        <s v="Haulier C"/>
        <s v="Haulier D"/>
        <s v="Haulier A"/>
      </sharedItems>
    </cacheField>
    <cacheField name="Registration Number" numFmtId="0">
      <sharedItems count="471">
        <s v="Truck-001"/>
        <s v="Truck-002"/>
        <s v="Truck-003"/>
        <s v="Truck-004"/>
        <s v="Truck-005"/>
        <s v="Truck-006"/>
        <s v="Truck-007"/>
        <s v="Truck-008"/>
        <s v="Truck-009"/>
        <s v="Truck-010"/>
        <s v="Truck-011"/>
        <s v="Truck-012"/>
        <s v="Truck-013"/>
        <s v="Truck-014"/>
        <s v="Truck-015"/>
        <s v="Truck-016"/>
        <s v="Truck-017"/>
        <s v="Truck-018"/>
        <s v="Truck-019"/>
        <s v="Truck-020"/>
        <s v="Truck-021"/>
        <s v="Truck-022"/>
        <s v="Truck-023"/>
        <s v="Truck-024"/>
        <s v="Truck-025"/>
        <s v="Truck-026"/>
        <s v="Truck-027"/>
        <s v="Truck-028"/>
        <s v="Truck-029"/>
        <s v="Truck-030"/>
        <s v="Truck-031"/>
        <s v="Truck-032"/>
        <s v="Truck-033"/>
        <s v="Truck-034"/>
        <s v="Truck-035"/>
        <s v="Truck-036"/>
        <s v="Truck-037"/>
        <s v="Truck-038"/>
        <s v="Truck-039"/>
        <s v="Truck-040"/>
        <s v="Truck-041"/>
        <s v="Truck-042"/>
        <s v="Truck-043"/>
        <s v="Truck-044"/>
        <s v="Truck-045"/>
        <s v="Truck-046"/>
        <s v="Truck-047"/>
        <s v="Truck-048"/>
        <s v="Truck-049"/>
        <s v="Truck-050"/>
        <s v="Truck-051"/>
        <s v="Truck-052"/>
        <s v="Truck-053"/>
        <s v="Truck-054"/>
        <s v="Truck-055"/>
        <s v="Truck-056"/>
        <s v="Truck-057"/>
        <s v="Truck-058"/>
        <s v="Truck-059"/>
        <s v="Truck-060"/>
        <s v="Truck-061"/>
        <s v="Truck-062"/>
        <s v="Truck-063"/>
        <s v="Truck-064"/>
        <s v="Truck-065"/>
        <s v="Truck-066"/>
        <s v="Truck-067"/>
        <s v="Truck-068"/>
        <s v="Truck-069"/>
        <s v="Truck-070"/>
        <s v="Truck-071"/>
        <s v="Truck-072"/>
        <s v="Truck-073"/>
        <s v="Truck-074"/>
        <s v="Truck-075"/>
        <s v="Truck-076"/>
        <s v="Truck-077"/>
        <s v="Truck-078"/>
        <s v="Truck-079"/>
        <s v="Truck-080"/>
        <s v="Truck-081"/>
        <s v="Truck-082"/>
        <s v="Truck-083"/>
        <s v="Truck-084"/>
        <s v="Truck-085"/>
        <s v="Truck-086"/>
        <s v="Truck-087"/>
        <s v="Truck-088"/>
        <s v="Truck-089"/>
        <s v="Truck-090"/>
        <s v="Truck-091"/>
        <s v="Truck-092"/>
        <s v="Truck-093"/>
        <s v="Truck-094"/>
        <s v="Truck-095"/>
        <s v="Truck-096"/>
        <s v="Truck-097"/>
        <s v="Truck-098"/>
        <s v="Truck-099"/>
        <s v="Truck-100"/>
        <s v="Truck-101"/>
        <s v="Truck-102"/>
        <s v="Truck-103"/>
        <s v="Truck-104"/>
        <s v="Truck-105"/>
        <s v="Truck-106"/>
        <s v="Truck-107"/>
        <s v="Truck-108"/>
        <s v="Truck-109"/>
        <s v="Truck-110"/>
        <s v="Truck-111"/>
        <s v="Truck-112"/>
        <s v="Truck-113"/>
        <s v="Truck-114"/>
        <s v="Truck-115"/>
        <s v="Truck-116"/>
        <s v="Truck-117"/>
        <s v="Truck-118"/>
        <s v="Truck-119"/>
        <s v="Truck-120"/>
        <s v="Truck-121"/>
        <s v="Truck-122"/>
        <s v="Truck-123"/>
        <s v="Truck-124"/>
        <s v="Truck-125"/>
        <s v="Truck-126"/>
        <s v="Truck-127"/>
        <s v="Truck-128"/>
        <s v="Truck-129"/>
        <s v="Truck-130"/>
        <s v="Truck-131"/>
        <s v="Truck-132"/>
        <s v="Truck-133"/>
        <s v="Truck-134"/>
        <s v="Truck-135"/>
        <s v="Truck-136"/>
        <s v="Truck-137"/>
        <s v="Truck-138"/>
        <s v="Truck-139"/>
        <s v="Truck-140"/>
        <s v="Truck-141"/>
        <s v="Truck-142"/>
        <s v="Truck-143"/>
        <s v="Truck-144"/>
        <s v="Truck-145"/>
        <s v="Truck-146"/>
        <s v="Truck-147"/>
        <s v="Truck-148"/>
        <s v="Truck-149"/>
        <s v="Truck-150"/>
        <s v="Truck-151"/>
        <s v="Truck-152"/>
        <s v="Truck-153"/>
        <s v="Truck-154"/>
        <s v="Truck-155"/>
        <s v="Truck-156"/>
        <s v="Truck-157"/>
        <s v="Truck-158"/>
        <s v="Truck-159"/>
        <s v="Truck-160"/>
        <s v="Truck-161"/>
        <s v="Truck-162"/>
        <s v="Truck-163"/>
        <s v="Truck-164"/>
        <s v="Truck-165"/>
        <s v="Truck-166"/>
        <s v="Truck-167"/>
        <s v="Truck-168"/>
        <s v="Truck-169"/>
        <s v="Truck-170"/>
        <s v="Truck-171"/>
        <s v="Truck-172"/>
        <s v="Truck-173"/>
        <s v="Truck-174"/>
        <s v="Truck-175"/>
        <s v="Truck-176"/>
        <s v="Truck-177"/>
        <s v="Truck-178"/>
        <s v="Truck-179"/>
        <s v="Truck-180"/>
        <s v="Truck-181"/>
        <s v="Truck-182"/>
        <s v="Truck-183"/>
        <s v="Truck-184"/>
        <s v="Truck-185"/>
        <s v="Truck-186"/>
        <s v="Truck-187"/>
        <s v="Truck-188"/>
        <s v="Truck-189"/>
        <s v="Truck-190"/>
        <s v="Truck-191"/>
        <s v="Truck-192"/>
        <s v="Truck-193"/>
        <s v="Truck-194"/>
        <s v="Truck-195"/>
        <s v="Truck-196"/>
        <s v="Truck-197"/>
        <s v="Truck-198"/>
        <s v="Truck-199"/>
        <s v="Truck-200"/>
        <s v="Truck-201"/>
        <s v="Truck-202"/>
        <s v="Truck-203"/>
        <s v="Truck-204"/>
        <s v="Truck-205"/>
        <s v="Truck-206"/>
        <s v="Truck-207"/>
        <s v="Truck-208"/>
        <s v="Truck-209"/>
        <s v="Truck-210"/>
        <s v="Truck-211"/>
        <s v="Truck-212"/>
        <s v="Truck-213"/>
        <s v="Truck-214"/>
        <s v="Truck-215"/>
        <s v="Truck-216"/>
        <s v="Truck-217"/>
        <s v="Truck-218"/>
        <s v="Truck-219"/>
        <s v="Truck-220"/>
        <s v="Truck-221"/>
        <s v="Truck-222"/>
        <s v="Truck-223"/>
        <s v="Truck-224"/>
        <s v="Truck-225"/>
        <s v="Truck-226"/>
        <s v="Truck-227"/>
        <s v="Truck-228"/>
        <s v="Truck-229"/>
        <s v="Truck-230"/>
        <s v="Truck-231"/>
        <s v="Truck-232"/>
        <s v="Truck-233"/>
        <s v="Truck-234"/>
        <s v="REG-Z  669E" u="1"/>
        <s v="REG-C 805J" u="1"/>
        <s v="REG-Q 504R" u="1"/>
        <s v="REG-R 539P" u="1"/>
        <s v="REG-T 436A" u="1"/>
        <s v="REG-B 803Z" u="1"/>
        <s v="REG-VH- 877J" u="1"/>
        <s v="REG-P 349E" u="1"/>
        <s v="REG-A 528E" u="1"/>
        <s v="REG-R 530F" u="1"/>
        <s v="REG-D 074Z" u="1"/>
        <s v="REG-D 085Z" u="1"/>
        <s v="REG-Q438B" u="1"/>
        <s v="REG-H450C" u="1"/>
        <s v="REG-J143Q" u="1"/>
        <s v="REG-G 486M" u="1"/>
        <s v="REG-N 068A" u="1"/>
        <s v="REG-X 453J" u="1"/>
        <s v="REG-L 097A" u="1"/>
        <s v="REG-X 098G" u="1"/>
        <s v="REG-Q 580C" u="1"/>
        <s v="REG-A 521E" u="1"/>
        <s v="REG-W051T" u="1"/>
        <s v="REG-M 283J" u="1"/>
        <s v="REG-A 625T" u="1"/>
        <s v="REG-P 648VH-" u="1"/>
        <s v="REG-A 527E" u="1"/>
        <s v="REG-D 086Z" u="1"/>
        <s v="REG-Z164B" u="1"/>
        <s v="REG-VH- 074X" u="1"/>
        <s v="REG-U 746F" u="1"/>
        <s v="REG-G991U" u="1"/>
        <s v="REG-S071D" u="1"/>
        <s v="REG-M989Y" u="1"/>
        <s v="REG-L 855VH-" u="1"/>
        <s v="REG-L 093A" u="1"/>
        <s v="REG-L 857S" u="1"/>
        <s v="REG-D 088Z" u="1"/>
        <s v="REG-N083N" u="1"/>
        <s v="REG-V150U" u="1"/>
        <s v="REG-D 087Z" u="1"/>
        <s v="REG-W970E" u="1"/>
        <s v="REG-R897B" u="1"/>
        <s v="REG-VH-882Z" u="1"/>
        <s v="REG-J 790M" u="1"/>
        <s v="REG-VH- 824A" u="1"/>
        <s v="REG-V 816B" u="1"/>
        <s v="REG-P 647VH-" u="1"/>
        <s v="REG-A 523E" u="1"/>
        <s v="REG-L375E" u="1"/>
        <s v="REG-S685VH-" u="1"/>
        <s v="REG-G 243N" u="1"/>
        <s v="REG-A 525E" u="1"/>
        <s v="REG-D 081Z" u="1"/>
        <s v="REG-U206S" u="1"/>
        <s v="REG-P072A" u="1"/>
        <s v="REG-V577R" u="1"/>
        <s v="REG-F 245H" u="1"/>
        <s v=" REG-D 086Z" u="1"/>
        <s v="REG-D  075Z" u="1"/>
        <s v="REG-L696M" u="1"/>
        <s v="REG-T857V" u="1"/>
        <s v="REG-Y387Q" u="1"/>
        <s v="REG-M462Y" u="1"/>
        <s v="REG-R220E" u="1"/>
        <s v="REG-J 135Q" u="1"/>
        <s v="REG-Y 624R" u="1"/>
        <s v="REG-U 278L" u="1"/>
        <s v="REG-D 077Z" u="1"/>
        <s v="REG-G450R" u="1"/>
        <s v="REG-G052M" u="1"/>
        <s v="REG-A054Q" u="1"/>
        <s v="REG-A803Z" u="1"/>
        <s v="REG-N934A" u="1"/>
        <s v="REG-VH- 083C" u="1"/>
        <s v="REG-Y588F" u="1"/>
        <s v="REG-F488E" u="1"/>
        <s v="REG-VH-510S" u="1"/>
        <s v="REG-E 501G" u="1"/>
        <s v="REG-N 063A" u="1"/>
        <s v="REG-VH- 133T" u="1"/>
        <s v="REG-T239S" u="1"/>
        <s v="REG-M 281J" u="1"/>
        <s v="REG-M 282J" u="1"/>
        <s v="REG-N 787V" u="1"/>
        <s v="REG-N024C" u="1"/>
        <s v="REG-W969E" u="1"/>
        <s v="REG-N294B" u="1"/>
        <s v="REG-J535D" u="1"/>
        <s v="REG-X 513S" u="1"/>
        <s v="REG-B566J" u="1"/>
        <s v="REG-C 830J" u="1"/>
        <s v="REG-N 073A" u="1"/>
        <s v="REG-P 399Q" u="1"/>
        <s v="REG-P 402Q" u="1"/>
        <s v="REG-P 543A" u="1"/>
        <s v="REG-P 651VH-" u="1"/>
        <s v="REG-Q 709U" u="1"/>
        <s v="REG-Q 731U" u="1"/>
        <s v="REG-A 520E" u="1"/>
        <s v="REG-L062W" u="1"/>
        <s v="REG-M356T" u="1"/>
        <s v="REG-D784C" u="1"/>
        <s v="REG-C601G" u="1"/>
        <s v="REG-U304X" u="1"/>
        <s v="REG-VH-583J" u="1"/>
        <s v="REG-J524H" u="1"/>
        <s v="REG-R873F" u="1"/>
        <s v="REG-A285N" u="1"/>
        <s v="REG-M 189B" u="1"/>
        <s v="REG-F 396H" u="1"/>
        <s v="REG-P 541A" u="1"/>
        <s v="REG-R133T" u="1"/>
        <s v="REG-U282L" u="1"/>
        <s v="REG-X815M" u="1"/>
        <s v="REG-R966S" u="1"/>
        <s v="REG-Z 671E" u="1"/>
        <s v="REG-W 097T" u="1"/>
        <s v="REG-VH- 878J" u="1"/>
        <s v="REG-P 348E" u="1"/>
        <s v="REG-A945G" u="1"/>
        <s v="REG-J 986X" u="1"/>
        <s v="REG-D 083Z" u="1"/>
        <s v="REG-N 074A" u="1"/>
        <s v="REG-R 918Y" u="1"/>
        <s v="REG-L 944VH-" u="1"/>
        <s v="REG-P 347E" u="1"/>
        <s v="REG-Q 730U" u="1"/>
        <s v="REG-F204N" u="1"/>
        <s v="REG-H161S" u="1"/>
        <s v="REG-J744W" u="1"/>
        <s v="REG-L085VH-" u="1"/>
        <s v="REG-E 323Y" u="1"/>
        <s v="REG-A 522E" u="1"/>
        <s v="REG-P 346B" u="1"/>
        <s v="REG-H643N" u="1"/>
        <s v="REG-P 130A" u="1"/>
        <s v=" REG-S 567X" u="1"/>
        <s v="REG-Q931VH-" u="1"/>
        <s v="REG-Y378V" u="1"/>
        <s v="REG-F494E" u="1"/>
        <s v="REG-S249VH-" u="1"/>
        <s v="REG-Q 562R" u="1"/>
        <s v="REG-Q 708U" u="1"/>
        <s v="REG-VH- 643J" u="1"/>
        <s v="REG-A 830Z" u="1"/>
        <s v="REG-B068Y" u="1"/>
        <s v="REG-N196G" u="1"/>
        <s v="REG-S250V" u="1"/>
        <s v="REG-Z952R" u="1"/>
        <s v="REG-P450T" u="1"/>
        <s v="REG-G 739S" u="1"/>
        <s v="REG-G 991U" u="1"/>
        <s v="REG-U 304X" u="1"/>
        <s v="REG-Q 931VH-" u="1"/>
        <s v="REG-Y 588F" u="1"/>
        <s v="REG-VH- 081F" u="1"/>
        <s v="REG-VH- 644J" u="1"/>
        <s v="REG-W 901B" u="1"/>
        <s v="REG-E 295R" u="1"/>
        <s v="REG-X042N" u="1"/>
        <s v="REG-U 082U" u="1"/>
        <s v="REG-H 041A" u="1"/>
        <s v="REG-P 544A" u="1"/>
        <s v="REG-W589VH-" u="1"/>
        <s v="REG-U564R" u="1"/>
        <s v="REG-Y709A" u="1"/>
        <s v="REG-H 912T" u="1"/>
        <s v="REG-U157Y" u="1"/>
        <s v="REG-T 298M" u="1"/>
        <s v="REG-VH- 793X" u="1"/>
        <s v="REG-W537X" u="1"/>
        <s v="REG-E285M" u="1"/>
        <s v="REG-T 583G" u="1"/>
        <s v="REG-L177VH-" u="1"/>
        <s v="REG-U058H" u="1"/>
        <s v="REG-Z035X" u="1"/>
        <s v="REG-M468Y" u="1"/>
        <s v="REG-H150R" u="1"/>
        <s v="REG-G197B" u="1"/>
        <s v="REG-C770H" u="1"/>
        <s v="REG-R402H" u="1"/>
        <s v="REG-Z 667E" u="1"/>
        <s v="REG-N 536N" u="1"/>
        <s v="REG-P 892B" u="1"/>
        <s v="REG-N424N" u="1"/>
        <s v="REG-A605Y" u="1"/>
        <s v="REG-X770M" u="1"/>
        <s v="REG-L 921S" u="1"/>
        <s v="REG-Q 375C" u="1"/>
        <s v="REG-A 529E" u="1"/>
        <s v="REG-D199E" u="1"/>
        <s v="REG-U450A" u="1"/>
        <s v="REG-V571T" u="1"/>
        <s v="REG-Y868P" u="1"/>
        <s v="REG-VH-210E" u="1"/>
        <s v="REG-G683T" u="1"/>
        <s v="REG-F582E" u="1"/>
        <s v="REG-M 284J" u="1"/>
        <s v="REG-N 046A" u="1"/>
        <s v="REG-P 540A" u="1"/>
        <s v="REG-A 526E" u="1"/>
        <s v="REG-L448S" u="1"/>
        <s v="REG-S975F" u="1"/>
        <s v="REG-S275V" u="1"/>
        <s v="REG-V987VH-" u="1"/>
        <s v="REG-W 595H" u="1"/>
        <s v="REG-A 524E" u="1"/>
        <s v="REG-E738Q" u="1"/>
        <s v="REG-A 458Z" u="1"/>
        <s v="REG-C 729S" u="1"/>
        <s v="REG-B 630P" u="1"/>
        <s v="REG-T113Q" u="1"/>
        <s v="REG-D332X" u="1"/>
        <s v="REG-N549E" u="1"/>
        <s v="REG-U517X" u="1"/>
        <s v="REG-C372W" u="1"/>
        <s v="REG-A293B" u="1"/>
        <s v="REG-VH-791E" u="1"/>
        <s v="REG-J516M" u="1"/>
        <s v="REG-Y 659A" u="1"/>
        <s v="REG-S 476T" u="1"/>
        <s v="REG-VH-622C" u="1"/>
        <s v="REG-M918W" u="1"/>
        <s v="REG-P 496Z" u="1"/>
        <s v="REG-B 610M" u="1"/>
        <s v="REG-D472P" u="1"/>
        <s v="REG-W979E" u="1"/>
        <s v="REG-V953N" u="1"/>
        <s v="REG-Q273U" u="1"/>
        <s v="REG-Q107V" u="1"/>
        <s v="REG-J162VH-" u="1"/>
        <s v="REG-N450V" u="1"/>
        <s v="REG-R522W" u="1"/>
        <s v="xyz" u="1"/>
        <s v="x" u="1"/>
        <s v="Ponty" u="1"/>
      </sharedItems>
    </cacheField>
    <cacheField name="Driver" numFmtId="0">
      <sharedItems containsBlank="1" count="555">
        <s v="Driver-001"/>
        <s v="Driver-002"/>
        <s v="Driver-003"/>
        <s v="Driver-004"/>
        <s v="Driver-005"/>
        <s v="Driver-006"/>
        <s v="Driver-007"/>
        <s v="Driver-008"/>
        <s v="Driver-009"/>
        <s v="Driver-010"/>
        <s v="Driver-011"/>
        <s v="Driver-012"/>
        <s v="Driver-013"/>
        <s v="Driver-014"/>
        <s v="Driver-015"/>
        <s v="Driver-016"/>
        <s v="Driver-017"/>
        <s v="Driver-018"/>
        <s v="Driver-019"/>
        <s v="Driver-020"/>
        <s v="Driver-021"/>
        <s v="Driver-022"/>
        <s v="Driver-023"/>
        <s v="Driver-024"/>
        <s v="Driver-025"/>
        <s v="Driver-026"/>
        <s v="Driver-027"/>
        <s v="Driver-028"/>
        <s v="Driver-029"/>
        <s v="Driver-030"/>
        <s v="Driver-031"/>
        <s v="Driver-032"/>
        <s v="Driver-033"/>
        <s v="Driver-034"/>
        <s v="Driver-035"/>
        <s v="Driver-036"/>
        <s v="Driver-037"/>
        <s v="Driver-038"/>
        <s v="Driver-039"/>
        <s v="Driver-040"/>
        <s v="Driver-041"/>
        <s v="Driver-042"/>
        <s v="Driver-043"/>
        <s v="Driver-044"/>
        <s v="Driver-045"/>
        <s v="Driver-046"/>
        <s v="Driver-047"/>
        <s v="Driver-048"/>
        <s v="Driver-049"/>
        <s v="Driver-050"/>
        <s v="Driver-051"/>
        <s v="Driver-052"/>
        <s v="Driver-053"/>
        <s v="Driver-054"/>
        <s v="Driver-055"/>
        <s v="Driver-056"/>
        <s v="Driver-057"/>
        <s v="Driver-058"/>
        <s v="Driver-059"/>
        <s v="Driver-060"/>
        <s v="Driver-061"/>
        <s v="Driver-062"/>
        <s v="Driver-063"/>
        <s v="Driver-064"/>
        <s v="Driver-065"/>
        <s v="Driver-066"/>
        <s v="Driver-067"/>
        <s v="Driver-068"/>
        <s v="Driver-069"/>
        <s v="Driver-070"/>
        <s v="Driver-071"/>
        <s v="Driver-072"/>
        <s v="Driver-073"/>
        <s v="Driver-074"/>
        <s v="Driver-075"/>
        <s v="Driver-076"/>
        <s v="Driver-077"/>
        <s v="Driver-078"/>
        <s v="Driver-079"/>
        <s v="Driver-080"/>
        <s v="Driver-081"/>
        <s v="Driver-082"/>
        <s v="Driver-083"/>
        <s v="Driver-084"/>
        <s v="Driver-085"/>
        <s v="Driver-086"/>
        <s v="Driver-087"/>
        <s v="Driver-088"/>
        <s v="Driver-089"/>
        <s v="Driver-090"/>
        <s v="Driver-091"/>
        <s v="Driver-092"/>
        <s v="Driver-093"/>
        <s v="Driver-094"/>
        <s v="Driver-095"/>
        <s v="Driver-096"/>
        <s v="Driver-097"/>
        <s v="Driver-098"/>
        <s v="Driver-099"/>
        <s v="Driver-100"/>
        <s v="Driver-101"/>
        <s v="Driver-102"/>
        <s v="Driver-103"/>
        <s v="Driver-104"/>
        <s v="Driver-105"/>
        <s v="Driver-106"/>
        <s v="Driver-107"/>
        <s v="Driver-108"/>
        <s v="Driver-109"/>
        <s v="Driver-110"/>
        <s v="Driver-111"/>
        <s v="Driver-112"/>
        <s v="Driver-113"/>
        <s v="Driver-114"/>
        <s v="Driver-115"/>
        <s v="Driver-116"/>
        <s v="Driver-117"/>
        <s v="Driver-118"/>
        <s v="Driver-119"/>
        <s v="Driver-120"/>
        <s v="Driver-121"/>
        <s v="Driver-122"/>
        <s v="Driver-123"/>
        <s v="Driver-124"/>
        <s v="Driver-125"/>
        <s v="Driver-126"/>
        <s v="Driver-127"/>
        <s v="Driver-128"/>
        <s v="Driver-129"/>
        <s v="Driver-130"/>
        <s v="Driver-131"/>
        <s v="Driver-132"/>
        <s v="Driver-133"/>
        <s v="Driver-134"/>
        <s v="Driver-135"/>
        <s v="Driver-136"/>
        <s v="Driver-137"/>
        <s v="Driver-138"/>
        <s v="Driver-139"/>
        <s v="Driver-140"/>
        <s v="Driver-141"/>
        <s v="Driver-142"/>
        <s v="Driver-143"/>
        <s v="Driver-144"/>
        <s v="Driver-145"/>
        <s v="Driver-146"/>
        <s v="Driver-147"/>
        <s v="Driver-148"/>
        <s v="Driver-149"/>
        <s v="Driver-150"/>
        <s v="Driver-151"/>
        <s v="Driver-152"/>
        <s v="Driver-153"/>
        <s v="Driver-154"/>
        <s v="Driver-155"/>
        <s v="Driver-156"/>
        <s v="Driver-157"/>
        <s v="Driver-158"/>
        <s v="Driver-159"/>
        <s v="Driver-160"/>
        <s v="Driver-161"/>
        <s v="Driver-162"/>
        <s v="Driver-163"/>
        <s v="Driver-164"/>
        <s v="Driver-165"/>
        <s v="Driver-166"/>
        <s v="Driver-167"/>
        <s v="Driver-168"/>
        <s v="Driver-169"/>
        <s v="Driver-170"/>
        <s v="Driver-171"/>
        <s v="Driver-172"/>
        <s v="Driver-173"/>
        <s v="Driver-174"/>
        <s v="Driver-175"/>
        <s v="Driver-176"/>
        <s v="Driver-177"/>
        <s v="Driver-178"/>
        <s v="Driver-179"/>
        <s v="Driver-180"/>
        <s v="Driver-181"/>
        <s v="Driver-182"/>
        <s v="Driver-183"/>
        <s v="Driver-184"/>
        <s v="Driver-185"/>
        <s v="Driver-186"/>
        <s v="Driver-187"/>
        <s v="Driver-188"/>
        <s v="Driver-189"/>
        <s v="Driver-190"/>
        <s v="Driver-191"/>
        <s v="Driver-192"/>
        <s v="Driver-193"/>
        <s v="Driver-194"/>
        <s v="Driver-195"/>
        <s v="Driver-196"/>
        <s v="Driver-197"/>
        <s v="Driver-198"/>
        <s v="Driver-199"/>
        <s v="Driver-200"/>
        <s v="Driver-201"/>
        <s v="Driver-202"/>
        <s v="Driver-203"/>
        <s v="Driver-204"/>
        <s v="Driver-205"/>
        <s v="Driver-206"/>
        <s v="Driver-207"/>
        <s v="Driver-208"/>
        <s v="Driver-209"/>
        <s v="Driver-210"/>
        <s v="Driver-211"/>
        <s v="Driver-212"/>
        <s v="Driver-213"/>
        <s v="Driver-214"/>
        <s v="Driver-215"/>
        <s v="Driver-216"/>
        <s v="Driver-217"/>
        <s v="Driver-218"/>
        <s v="Driver-219"/>
        <s v="Driver-220"/>
        <s v="Driver-221"/>
        <s v="Driver-222"/>
        <s v="Driver-223"/>
        <s v="Driver-224"/>
        <s v="Driver-225"/>
        <s v="Driver-226"/>
        <s v="Driver-227"/>
        <s v="Driver-228"/>
        <s v="Driver-229"/>
        <s v="Driver-230"/>
        <s v="Driver-231"/>
        <s v="Driver-232"/>
        <s v="Driver-233"/>
        <s v="Driver-234"/>
        <s v="Driver-235"/>
        <s v="Driver-236"/>
        <s v="Driver-237"/>
        <s v="Driver-238"/>
        <s v="Driver-239"/>
        <s v="Driver-240"/>
        <s v="Driver-241"/>
        <s v="Driver-242"/>
        <s v="Driver-243"/>
        <s v="Driver-244"/>
        <s v="Driver-245"/>
        <s v="Driver-246"/>
        <s v="Driver-247"/>
        <s v="Driver-248"/>
        <s v="Driver-249"/>
        <s v="Driver-250"/>
        <s v="Driver-251"/>
        <s v="Driver-252"/>
        <s v="Driver-253"/>
        <s v="Driver-254"/>
        <s v="Driver-255"/>
        <s v="Driver-256"/>
        <s v="Driver-257"/>
        <s v="Driver-258"/>
        <s v="Driver-259"/>
        <s v="Driver-260"/>
        <s v="Driver-261"/>
        <s v="Driver-262"/>
        <s v="Driver-263"/>
        <s v="Driver-264"/>
        <s v="Driver-265"/>
        <s v="Driver-266"/>
        <s v="Driver-267"/>
        <s v="Driver-268"/>
        <s v="Driver-269"/>
        <s v="Driver-270"/>
        <s v="Driver-271"/>
        <s v="Driver-272"/>
        <s v="Driver-273"/>
        <s v="Driver-274"/>
        <s v="Driver-275"/>
        <s v="Driver-276"/>
        <s v="James VH-amau" u="1"/>
        <s v="Boniface Mang'ole" u="1"/>
        <s v="PatricVH- Mwangi" u="1"/>
        <s v="Antony VH-ariuVH-i" u="1"/>
        <s v="Francis Gituma" u="1"/>
        <s v="Thomas Ng'ang'a" u="1"/>
        <s v="VH-BVH- 877J" u="1"/>
        <s v="VH-BP 349E" u="1"/>
        <s v="Amos MuVH-ite" u="1"/>
        <s v="Gideon Mutai" u="1"/>
        <s v="Peter Abeidy" u="1"/>
        <s v="VH-DD 085Z" u="1"/>
        <s v="VH-AQ438B" u="1"/>
        <s v="VH-BH450C" u="1"/>
        <s v="VH-AJ143Q" u="1"/>
        <s v="Isaiah VH-yalo" u="1"/>
        <s v="Francis Mutiso" u="1"/>
        <s v="David Waititu" u="1"/>
        <s v="Bernard Mbugua" u="1"/>
        <s v="Suleiman Mutahi" u="1"/>
        <s v="Josphat Ngigi" u="1"/>
        <s v="Henry Omondi" u="1"/>
        <s v="VH-BW051T" u="1"/>
        <s v="James Maina" u="1"/>
        <s v="Ngure Mwaura" u="1"/>
        <s v="Richard Mbuvi" u="1"/>
        <s v="Anthony M Otieno" u="1"/>
        <s v="Wesily VH-ipVH-ogei" u="1"/>
        <s v="VH-BZ164B" u="1"/>
        <s v="Phillemon Yator" u="1"/>
        <s v="Samuel VH-ithaVH-a" u="1"/>
        <s v="VH-elvin VH-inuthia Mwangi" u="1"/>
        <s v="VH-DG991U" u="1"/>
        <s v="VH-BS071D" u="1"/>
        <s v="VH-CM989Y" u="1"/>
        <s v="Joel Mugwe Macharia" u="1"/>
        <s v="Simon VH-ahihu" u="1"/>
        <s v="Victor Mwai MuriuVH-i" u="1"/>
        <s v="UnVH-nown" u="1"/>
        <s v="VH-BN083N" u="1"/>
        <s v="VH-AV150U" u="1"/>
        <s v="EnocVH- VH-emei" u="1"/>
        <s v="VH-CW970E" u="1"/>
        <s v="VH-BR897B" u="1"/>
        <s v="VH-AVH-882Z" u="1"/>
        <s v="David VH-arara" u="1"/>
        <s v="Peter Wambugu" u="1"/>
        <s v="James VH-amau M" u="1"/>
        <s v="VH-BP 647VH-" u="1"/>
        <s v="Salim Zuberi" u="1"/>
        <s v="VH-AL375E" u="1"/>
        <s v="VH-AS685VH-" u="1"/>
        <s v="Amos Muriithi" u="1"/>
        <s v="Jonah Mumo" u="1"/>
        <s v="George William" u="1"/>
        <s v="VH-AU206S" u="1"/>
        <s v="VH-CP072A" u="1"/>
        <s v="VH-CV577R" u="1"/>
        <s v="Mwaura Ngure" u="1"/>
        <s v="Cosmas Mweu" u="1"/>
        <s v="VH-AL696M" u="1"/>
        <s v="VH-BT857V" u="1"/>
        <s v="VH-AY387Q" u="1"/>
        <s v="VH-CM462Y" u="1"/>
        <s v="VH-AR220E" u="1"/>
        <s v="Elijah VH-inyua" u="1"/>
        <s v="Eliud Rutere" u="1"/>
        <s v="John VH-amande" u="1"/>
        <s v="Titus Mulinge" u="1"/>
        <s v="VH-DD 077Z" u="1"/>
        <s v="VH-BG450R" u="1"/>
        <s v="VH-CG052M" u="1"/>
        <s v="VH-CA054Q" u="1"/>
        <s v="VH-CA803Z" u="1"/>
        <s v="VH-BN934A" u="1"/>
        <s v="David Ngure" u="1"/>
        <s v="DicVH-son Yaralima" u="1"/>
        <s v="VH-AY588F" u="1"/>
        <s v="VH-CF488E" u="1"/>
        <s v="VH-CVH-510S" u="1"/>
        <s v="Daniel Audi" u="1"/>
        <s v="Victor Muli" u="1"/>
        <s v="Christopher Ndirangu" u="1"/>
        <s v="VH-BT239S" u="1"/>
        <s v="Boniface Mutinda" u="1"/>
        <s v="Nthusi Ngunzi" u="1"/>
        <s v="John Munywa" u="1"/>
        <s v="Mbolonzi Nduli" u="1"/>
        <s v="Juma Mutua" u="1"/>
        <s v="VH-DN024C" u="1"/>
        <s v="VH-CW969E" u="1"/>
        <s v="VH-CN294B" u="1"/>
        <s v="VH-DJ535D" u="1"/>
        <s v="Stephen Njuguna Muigai" u="1"/>
        <s v="Paul Mburu VH-imani" u="1"/>
        <s v="VH-DB566J" u="1"/>
        <s v="Mutemi MutambuVH-i" u="1"/>
        <s v="Bernard Mutisya VH-imali" u="1"/>
        <s v="AVH-al Wycliff" u="1"/>
        <s v="Ambrose Nduati" u="1"/>
        <s v="Stephen Mutua" u="1"/>
        <s v="Moses VH-ariuVH-i Wanguto" u="1"/>
        <s v="Willis Obiero" u="1"/>
        <s v="Josphat VH-ilonzo" u="1"/>
        <s v="John VH-ung'u VH-inyanjui" u="1"/>
        <s v="Boniface VH-yalo MatheVH-a" u="1"/>
        <s v="Wesley Sirma" u="1"/>
        <s v="Godfrey N VH-iingati" u="1"/>
        <s v="VH-BL062W" u="1"/>
        <s v="VH-AM356T" u="1"/>
        <s v="VH-CD784C" u="1"/>
        <s v="VH-DC601G" u="1"/>
        <s v="VH-BU304X" u="1"/>
        <s v="VH-BVH-583J" u="1"/>
        <s v="VH-AJ524H" u="1"/>
        <s v="VH-BR873F" u="1"/>
        <s v="VH-BA285N" u="1"/>
        <s v="Samson VH-amau" u="1"/>
        <s v="Willy Sigei" u="1"/>
        <s v="Samson MaliVH-a" u="1"/>
        <s v="Solomon M MurianVH-i" u="1"/>
        <s v="VH-CR133T" u="1"/>
        <s v="VH-BU282L" u="1"/>
        <s v="VH-AX815M" u="1"/>
        <s v="VH-BR966S" u="1"/>
        <s v="George WanyoiVH-e" u="1"/>
        <s v="VH-CW 097T" u="1"/>
        <s v="Eric Muasya VH-ameya" u="1"/>
        <s v="EzeVH-iel VH-ombo" u="1"/>
        <s v="Nashon Mdari" u="1"/>
        <s v="PatricVH- VH-ilango" u="1"/>
        <s v="VH-CA945G" u="1"/>
        <s v="Charles VH-osgei" u="1"/>
        <s v="Joseph Githinji" u="1"/>
        <s v="Yuvinalis Maangi" u="1"/>
        <s v="Anthony Miano" u="1"/>
        <s v="JacVH-son VH-ago Njoroge" u="1"/>
        <s v="Benson VH-inyara" u="1"/>
        <s v="Phineas VH-amau" u="1"/>
        <s v="George Muiruri" u="1"/>
        <s v="Amos Nganga" u="1"/>
        <s v="VH-CF204N" u="1"/>
        <s v="VH-BH161S" u="1"/>
        <s v="VH-BJ744W" u="1"/>
        <s v="VH-AL085VH-" u="1"/>
        <s v="Moses Nyaga" u="1"/>
        <s v="Sammy Wanjala" u="1"/>
        <s v="Charles MusyoVH-a" u="1"/>
        <s v="VH-CH643N" u="1"/>
        <s v="Dauglas AyuVH-u" u="1"/>
        <s v="Paul M VH-imani" u="1"/>
        <s v="Fred Ondari Nyarenchi" u="1"/>
        <s v="EricVH- Muthama" u="1"/>
        <s v="Wisley VH-irwa" u="1"/>
        <s v="VH-BQ931VH-" u="1"/>
        <s v="VH-BY378V" u="1"/>
        <s v="VH-CF494E" u="1"/>
        <s v="VH-AS249VH-" u="1"/>
        <s v="Joseph Muiruri" u="1"/>
        <s v="Oscar AmuVH-owa" u="1"/>
        <s v="Peter Lumojo Ndigah" u="1"/>
        <s v="Henry Simbili" u="1"/>
        <s v="Reuben Chege" u="1"/>
        <s v="VH-BP 346B" u="1"/>
        <s v="VH-CB068Y" u="1"/>
        <s v="VH-CN196G" u="1"/>
        <s v="VH-BS250V" u="1"/>
        <s v="VH-AZ952R" u="1"/>
        <s v="VH-AP450T" u="1"/>
        <s v="Dominic Nthenge" u="1"/>
        <s v="Lawrence Wainaina Ngugi" u="1"/>
        <s v="Stephen Mbugua" u="1"/>
        <s v="VH-BQ 731U" u="1"/>
        <s v="Benard Wambua VH-ilonzo" u="1"/>
        <s v="VH-DG 991U" u="1"/>
        <s v="VH-BU 304X" u="1"/>
        <s v="VH-BQ 931VH-" u="1"/>
        <s v="VH-AY 588F" u="1"/>
        <s v="Peter Gitahi Ndirangu" u="1"/>
        <s v="VH-BVH- 644J" u="1"/>
        <s v="VH-BP 347E" u="1"/>
        <s v="Isaac Ouma Ogutu" u="1"/>
        <s v="Mofat Maina" u="1"/>
        <s v="VH-AX 513S" u="1"/>
        <s v="Bonface VH-itiVH-a" u="1"/>
        <s v="Augustine Mutunga" u="1"/>
        <s v="VH-CX042N" u="1"/>
        <s v="David VH-imani" u="1"/>
        <s v="Bildad VH-imani" u="1"/>
        <s v="Calvince O Obop" u="1"/>
        <s v="VH-BW589VH-" u="1"/>
        <s v="Daniel MutuVH-u" u="1"/>
        <s v="Samuel GachoVH-a" u="1"/>
        <s v="VH-BU564R" u="1"/>
        <s v="VH-AY709A" u="1"/>
        <s v="Hiram Muturi" u="1"/>
        <s v="VH-AU157Y" u="1"/>
        <s v="Joseph MuoVH-i" u="1"/>
        <s v="Peter VH-aranja" u="1"/>
        <s v="Henry Njoroge" u="1"/>
        <s v="VH-BQ 730U" u="1"/>
        <s v="VH-BW537X" u="1"/>
        <s v="VH-AE285M" u="1"/>
        <s v="Douglas Ouma" u="1"/>
        <s v="Simon Maina Ndung'u" u="1"/>
        <s v="VH-AL177VH-" u="1"/>
        <s v="VH-BU058H" u="1"/>
        <s v="VH-BZ035X" u="1"/>
        <s v="VH-CM468Y" u="1"/>
        <s v="VH-BH150R" u="1"/>
        <s v="VH-AG197B" u="1"/>
        <s v="David VH-atua" u="1"/>
        <s v="VH-CC770H" u="1"/>
        <s v="VH-BR402H" u="1"/>
        <s v="JAMES VH-AGUME GICHURU" u="1"/>
        <s v="DAVID VH-INYUA" u="1"/>
        <s v="VH-CN424N" u="1"/>
        <s v="VH-BA605Y" u="1"/>
        <s v="VH-AX770M" u="1"/>
        <s v="David Muchiri" u="1"/>
        <s v="Gideon Macharia Ndirangu" u="1"/>
        <s v="Joseph  Mudegu" u="1"/>
        <s v="Peter Ndung'U" u="1"/>
        <s v="VH-AD199E" u="1"/>
        <s v="VH-AU450A" u="1"/>
        <s v="VH-AV571T" u="1"/>
        <s v="VH-BY868P" u="1"/>
        <s v="VH-AVH-210E" u="1"/>
        <s v="VH-DG683T" u="1"/>
        <s v="VH-CF582E" u="1"/>
        <s v="Benjamin Ngau Mutisya" u="1"/>
        <s v="VH-imanzi Musyimi" u="1"/>
        <s v="Samuel VH-amau" u="1"/>
        <s v="Michael Wairagu Njeru" u="1"/>
        <s v="PatricVH- ShiVH-ono" u="1"/>
        <s v="VH-DL448S" u="1"/>
        <s v="VH-CS975F" u="1"/>
        <s v="VH-BS275V" u="1"/>
        <s v="VH-AV987VH-" u="1"/>
        <s v="Benjamin  Ngau Mutisya" u="1"/>
        <s v="Joseph VH-arani" u="1"/>
        <s v="PatricVH- Theuri" u="1"/>
        <s v="VH-CE738Q" u="1"/>
        <s v="James Wambugu" u="1"/>
        <s v="Anthony Maina Gichiah" u="1"/>
        <s v="Stephen Mureithi" u="1"/>
        <s v="Cyprian Mutoro Odaya" u="1"/>
        <s v="VH-AT113Q" u="1"/>
        <s v="David Mutua" u="1"/>
        <s v="VH-AD332X" u="1"/>
        <s v="VH-AN549E" u="1"/>
        <s v="VH-BU517X" u="1"/>
        <s v="VH-CC372W" u="1"/>
        <s v="VH-AA293B" u="1"/>
        <s v="VH-DVH-791E" u="1"/>
        <s v="VH-DJ516M" u="1"/>
        <s v="Benard Mutisya" u="1"/>
        <s v="VH-enneth Maina" u="1"/>
        <s v="John Ngithinji" u="1"/>
        <s v="Elijah Gachuru" u="1"/>
        <s v="Daniel Chege VH-inuthia" u="1"/>
        <s v="George Njoroge" u="1"/>
        <s v="VH-BVH-622C" u="1"/>
        <s v="VH-BM918W" u="1"/>
        <s v="VH-elvin MwaniVH-i" u="1"/>
        <s v="VH-BD472P" u="1"/>
        <s v="VH-CW979E" u="1"/>
        <s v="VH-BV953N" u="1"/>
        <s v="VH-BQ273U" u="1"/>
        <s v="Tom Onyino" u="1"/>
        <s v="EricVH- Maina" u="1"/>
        <s v="Elijah Macharia" u="1"/>
        <s v="VH-CQ107V" u="1"/>
        <s v="VH-CJ162VH-" u="1"/>
        <s v="VH-AN450V" u="1"/>
        <s v="VH-CR522W" u="1"/>
        <s v="xyz" u="1"/>
        <m u="1"/>
        <s v="Ponty" u="1"/>
      </sharedItems>
    </cacheField>
    <cacheField name="Violation Type" numFmtId="0">
      <sharedItems containsBlank="1" count="6">
        <s v="Night Driving 11pm- 4am"/>
        <s v="FreeWheeling"/>
        <s v="Over speeding&gt;80km/h"/>
        <s v="Harsh braking"/>
        <s v="Harsh acceleration"/>
        <m u="1"/>
      </sharedItems>
    </cacheField>
    <cacheField name="Start Date" numFmtId="164">
      <sharedItems containsSemiMixedTypes="0" containsNonDate="0" containsDate="1" containsString="0" minDate="2025-01-01T01:51:00" maxDate="2025-12-31T23:00:00"/>
    </cacheField>
    <cacheField name="WeekDay" numFmtId="0">
      <sharedItems/>
    </cacheField>
    <cacheField name="Year" numFmtId="0">
      <sharedItems containsSemiMixedTypes="0" containsString="0" containsNumber="1" containsInteger="1" minValue="2025" maxValue="2025"/>
    </cacheField>
    <cacheField name="Month" numFmtId="0">
      <sharedItems containsBlank="1" count="12">
        <s v="Dec"/>
        <s v="Nov"/>
        <s v="Oct"/>
        <s v="Sep"/>
        <s v="Aug"/>
        <s v="Jul"/>
        <s v="May"/>
        <s v="Apr"/>
        <s v="Mar"/>
        <s v="Feb"/>
        <s v="Jan"/>
        <m u="1"/>
      </sharedItems>
    </cacheField>
    <cacheField name="Week.No" numFmtId="0">
      <sharedItems containsBlank="1" count="99">
        <s v="WK_53"/>
        <s v="WK_52"/>
        <s v="WK_51"/>
        <s v="WK_50"/>
        <s v="WK_49"/>
        <s v="WK_48"/>
        <s v="WK_47"/>
        <s v="WK_46"/>
        <s v="WK_45"/>
        <s v="WK_44"/>
        <s v="WK_43"/>
        <s v="WK_42"/>
        <s v="WK_41"/>
        <s v="WK_40"/>
        <s v="WK_39"/>
        <s v="WK_38"/>
        <s v="WK_37"/>
        <s v="WK_36"/>
        <s v="WK_35"/>
        <s v="WK_34"/>
        <s v="WK_33"/>
        <s v="WK_32"/>
        <s v="WK_31"/>
        <s v="WK_30"/>
        <s v="WK_29"/>
        <s v="WK_28"/>
        <s v="WK_27"/>
        <s v="WK_21"/>
        <s v="WK_20"/>
        <s v="WK_19"/>
        <s v="WK_18"/>
        <s v="WK_17"/>
        <s v="WK_16"/>
        <s v="WK_15"/>
        <s v="WK_14"/>
        <s v="WK_13"/>
        <s v="WK_12"/>
        <s v="WK_11"/>
        <s v="WK_10"/>
        <s v="WK_9"/>
        <s v="WK_8"/>
        <s v="WK_7"/>
        <s v="WK_6"/>
        <s v="WK_5"/>
        <s v="WK_4"/>
        <s v="WK_3"/>
        <s v="WK_2"/>
        <s v="WK_1"/>
        <m u="1"/>
        <s v="WK_0" u="1"/>
        <s v="WK-20" u="1"/>
        <s v="WK-21" u="1"/>
        <s v="WK-19" u="1"/>
        <s v="WK-18" u="1"/>
        <s v="WK-17" u="1"/>
        <s v="WK-16" u="1"/>
        <s v="WK-15" u="1"/>
        <s v="WK-0" u="1"/>
        <s v="WK-14" u="1"/>
        <s v="WK-13" u="1"/>
        <s v="WK-12" u="1"/>
        <s v="WK-11" u="1"/>
        <s v="WK-10" u="1"/>
        <s v="WK-9" u="1"/>
        <s v="WK-8" u="1"/>
        <s v="WK-7" u="1"/>
        <s v="WK-6" u="1"/>
        <s v="WK-52" u="1"/>
        <s v="WK-53" u="1"/>
        <s v="WK-51" u="1"/>
        <s v="WK-50" u="1"/>
        <s v="WK-5" u="1"/>
        <s v="WK-49" u="1"/>
        <s v="WK-48" u="1"/>
        <s v="WK-47" u="1"/>
        <s v="WK-46" u="1"/>
        <s v="WK-45" u="1"/>
        <s v="WK-44" u="1"/>
        <s v="WK-43" u="1"/>
        <s v="WK-42" u="1"/>
        <s v="WK-41" u="1"/>
        <s v="WK-40" u="1"/>
        <s v="WK-4" u="1"/>
        <s v="WK-39" u="1"/>
        <s v="WK-38" u="1"/>
        <s v="WK-37" u="1"/>
        <s v="WK-36" u="1"/>
        <s v="WK-35" u="1"/>
        <s v="WK-34" u="1"/>
        <s v="WK-33" u="1"/>
        <s v="WK-32" u="1"/>
        <s v="WK-31" u="1"/>
        <s v="WK-30" u="1"/>
        <s v="WK-3" u="1"/>
        <s v="WK-29" u="1"/>
        <s v="WK-28" u="1"/>
        <s v="WK-27" u="1"/>
        <s v="WK-2" u="1"/>
        <s v="WK-1" u="1"/>
      </sharedItems>
    </cacheField>
    <cacheField name="End Date" numFmtId="0">
      <sharedItems containsDate="1" containsMixedTypes="1" minDate="2025-01-01T01:30:11" maxDate="2025-12-31T17:24:38"/>
    </cacheField>
    <cacheField name="Max Value" numFmtId="0">
      <sharedItems containsBlank="1" containsMixedTypes="1" containsNumber="1" minValue="0" maxValue="331"/>
    </cacheField>
    <cacheField name="Measurement Units" numFmtId="0">
      <sharedItems containsBlank="1"/>
    </cacheField>
    <cacheField name="Total Duration (hh:mm:ss)" numFmtId="0">
      <sharedItems containsBlank="1"/>
    </cacheField>
    <cacheField name="Duration (Minutes)" numFmtId="2">
      <sharedItems containsSemiMixedTypes="0" containsString="0" containsNumber="1" minValue="0" maxValue="212.58333333333334"/>
    </cacheField>
    <cacheField name="Start County" numFmtId="0">
      <sharedItems containsBlank="1"/>
    </cacheField>
    <cacheField name="End County" numFmtId="0">
      <sharedItems containsBlank="1"/>
    </cacheField>
    <cacheField name="Start Location" numFmtId="0">
      <sharedItems containsBlank="1"/>
    </cacheField>
    <cacheField name="End Location" numFmtId="0">
      <sharedItems containsBlank="1"/>
    </cacheField>
    <cacheField name="Start GPS Cordinates" numFmtId="0">
      <sharedItems/>
    </cacheField>
    <cacheField name="Final GPS Cordinates" numFmtId="0">
      <sharedItems containsBlank="1"/>
    </cacheField>
    <cacheField name="Violation Distance (km)" numFmtId="0">
      <sharedItems containsMixedTypes="1" containsNumber="1" minValue="0" maxValue="143.40600000000001"/>
    </cacheField>
    <cacheField name="Frequency" numFmtId="0">
      <sharedItems containsSemiMixedTypes="0" containsString="0" containsNumber="1" containsInteger="1" minValue="1" maxValue="1"/>
    </cacheField>
  </cacheFields>
  <extLst>
    <ext xmlns:x14="http://schemas.microsoft.com/office/spreadsheetml/2009/9/main" uri="{725AE2AE-9491-48be-B2B4-4EB974FC3084}">
      <x14:pivotCacheDefinition pivotCacheId="150092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5">
  <r>
    <x v="0"/>
    <x v="0"/>
    <x v="0"/>
    <x v="0"/>
    <d v="2025-12-31T23:00:00"/>
    <s v="Wed"/>
    <n v="2025"/>
    <x v="0"/>
    <x v="0"/>
    <d v="2025-01-01T01:30:11"/>
    <n v="151.4"/>
    <s v="km"/>
    <s v="02:30:11"/>
    <n v="150.18333333333334"/>
    <s v="Kirinyaga"/>
    <s v="Kiambu"/>
    <s v="B6, Kimbimbi, Mwea East, Kirinyaga, Central Kenya, Kenya"/>
    <s v="Naivas Supermarket, Githurai Branch., Mwihoko Road, Central Business District, Ruiru, Kiambu, Central Kenya, 00608, Kenya"/>
    <s v="-0.58241 , 37.35276"/>
    <s v="-1.20544 , 36.91768"/>
    <n v="97"/>
    <n v="1"/>
  </r>
  <r>
    <x v="1"/>
    <x v="1"/>
    <x v="1"/>
    <x v="1"/>
    <d v="2025-12-31T17:24:21"/>
    <s v="Wed"/>
    <n v="2025"/>
    <x v="0"/>
    <x v="0"/>
    <d v="2025-12-31T17:24:38"/>
    <n v="41"/>
    <s v="km/h"/>
    <s v="00:00:17"/>
    <n v="0.28333333333333333"/>
    <s v="Nakuru"/>
    <s v="Nakuru"/>
    <s v="Nairobi Road, Tegat, Ngata sublocation, Sobea Highway, Mosop ward, Rongai, Nakuru, Rift Valley, Kenya"/>
    <s v="Nairobi Road, Tegat, Ngata sublocation, Sobea Highway, Mosop ward, Rongai, Nakuru, Rift Valley, Kenya"/>
    <s v="-0.24553 , 35.93842"/>
    <s v="-0.24536 , 35.93661"/>
    <n v="0.25"/>
    <n v="1"/>
  </r>
  <r>
    <x v="0"/>
    <x v="2"/>
    <x v="2"/>
    <x v="1"/>
    <d v="2025-12-31T16:57:00"/>
    <s v="Wed"/>
    <n v="2025"/>
    <x v="0"/>
    <x v="0"/>
    <d v="2025-12-31T16:57:03"/>
    <n v="41"/>
    <s v="km/h"/>
    <s v="00:00:03"/>
    <n v="0.05"/>
    <s v="Kirinyaga"/>
    <s v="Kirinyaga"/>
    <s v="B6, Mutithi, Mwea West, Kirinyaga, Central Kenya, Kenya"/>
    <s v="B6, Mutithi, Mwea West, Kirinyaga, Central Kenya, Kenya"/>
    <s v="-0.69237 , 37.3418"/>
    <s v="-0.69223 , 37.34215"/>
    <n v="9.4E-2"/>
    <n v="1"/>
  </r>
  <r>
    <x v="2"/>
    <x v="3"/>
    <x v="3"/>
    <x v="2"/>
    <d v="2025-12-31T13:22:56"/>
    <s v="Wed"/>
    <n v="2025"/>
    <x v="0"/>
    <x v="0"/>
    <d v="2025-12-31T13:25:06"/>
    <n v="95"/>
    <s v="km/h"/>
    <s v="00:02:09"/>
    <n v="2.15"/>
    <m/>
    <m/>
    <s v="Mombasa Road, Ngokomi, Kilome, Makueni, KE"/>
    <s v="Mombasa Road, Ngokomi, Kilome, Makueni, KE"/>
    <s v="-1.9618, 37.3149"/>
    <s v="-1.9797, 37.3356"/>
    <n v="3"/>
    <n v="1"/>
  </r>
  <r>
    <x v="2"/>
    <x v="4"/>
    <x v="4"/>
    <x v="2"/>
    <d v="2025-12-31T09:30:57"/>
    <s v="Wed"/>
    <n v="2025"/>
    <x v="0"/>
    <x v="0"/>
    <d v="2025-12-31T09:32:27"/>
    <n v="97"/>
    <s v="km/h"/>
    <s v="00:01:30"/>
    <n v="1.5"/>
    <m/>
    <m/>
    <s v="Mombasa Road, Simba, Kenyawa-Poka ward, Kajiado East, Kajiado County, KE"/>
    <s v="Mombasa Road, Simba, Kenyawa-Poka ward, Kajiado East, Kajiado County, KE"/>
    <s v="-2.1417, 37.5681"/>
    <s v="-2.1534, 37.5842"/>
    <n v="2.2000000000000002"/>
    <n v="1"/>
  </r>
  <r>
    <x v="3"/>
    <x v="5"/>
    <x v="5"/>
    <x v="1"/>
    <d v="2025-12-30T19:46:00"/>
    <s v="Tue"/>
    <n v="2025"/>
    <x v="0"/>
    <x v="0"/>
    <d v="2025-12-30T19:46:06"/>
    <n v="35"/>
    <s v="km/h"/>
    <s v="00:00:06"/>
    <n v="0.1"/>
    <s v="Nakuru"/>
    <s v="Nakuru"/>
    <s v="Naivasha-Mai Mahiu-Limuru Rd., Longonot sublocation, Longonot, Mai Mahiu ward, Naivasha, Nakuru, Rift Valley, Kenya"/>
    <s v="Naivasha-Mai Mahiu-Limuru Rd., Longonot sublocation, Longonot, Mai Mahiu ward, Naivasha, Nakuru, Rift Valley, Kenya"/>
    <s v="-0.88775 , 36.50084"/>
    <s v="-0.88829 , 36.50112"/>
    <n v="0"/>
    <n v="1"/>
  </r>
  <r>
    <x v="3"/>
    <x v="6"/>
    <x v="6"/>
    <x v="3"/>
    <d v="2025-12-30T18:42:24"/>
    <s v="Tue"/>
    <n v="2025"/>
    <x v="0"/>
    <x v="0"/>
    <d v="2025-12-30T18:42:25"/>
    <n v="26"/>
    <s v="km/h/s"/>
    <s v="00:00:01"/>
    <n v="1.6666666666666666E-2"/>
    <s v="Uasin Gishu"/>
    <m/>
    <s v="Eldoret-Nakuru Road, Tarakwa ward, Kesses, Uasin Gishu, Rift Valley, Kenya"/>
    <m/>
    <s v="0.24985 , 35.40712"/>
    <m/>
    <n v="0"/>
    <n v="1"/>
  </r>
  <r>
    <x v="1"/>
    <x v="7"/>
    <x v="7"/>
    <x v="2"/>
    <d v="2025-12-30T13:14:54"/>
    <s v="Tue"/>
    <n v="2025"/>
    <x v="0"/>
    <x v="0"/>
    <d v="2025-12-30T13:15:01"/>
    <n v="83"/>
    <s v="km/h"/>
    <s v="00:00:07"/>
    <n v="0.11666666666666667"/>
    <s v="Kiambu"/>
    <s v="Kiambu"/>
    <s v="Thika Road, Kahawa Wendani, Kahawa Wendani ward, Ruiru, Kiambu, Central Kenya, 00608, Kenya"/>
    <s v="Thika Road, Nairobi, Kasarani, Nairobi, 00608, Kenya"/>
    <s v="-1.19892 , 36.92136"/>
    <s v="-1.19994 , 36.92033"/>
    <n v="0.10199999999999999"/>
    <n v="1"/>
  </r>
  <r>
    <x v="0"/>
    <x v="8"/>
    <x v="8"/>
    <x v="4"/>
    <d v="2025-12-30T12:50:01"/>
    <s v="Tue"/>
    <n v="2025"/>
    <x v="0"/>
    <x v="0"/>
    <d v="2025-12-30T12:50:02"/>
    <n v="13"/>
    <s v="km/h/s"/>
    <s v="00:00:01"/>
    <n v="1.6666666666666666E-2"/>
    <s v="Nairobi"/>
    <m/>
    <s v="Elgeyo Marakwet Road, Kilimani sublocation, Kilimani location, Kilimani ward, Nairobi, Kilimani division, Westlands, Nairobi, 44847, Kenya"/>
    <m/>
    <s v="-1.29798 , 36.77971"/>
    <m/>
    <n v="0"/>
    <n v="1"/>
  </r>
  <r>
    <x v="2"/>
    <x v="9"/>
    <x v="9"/>
    <x v="2"/>
    <d v="2025-12-30T10:30:17"/>
    <s v="Tue"/>
    <n v="2025"/>
    <x v="0"/>
    <x v="0"/>
    <d v="2025-12-30T10:32:34"/>
    <n v="84"/>
    <s v="km/h"/>
    <s v="00:02:17"/>
    <n v="2.2833333333333332"/>
    <m/>
    <m/>
    <s v="Nairobi-Nakuru Road, Tallstation, Malewa West ward, Gilgil, Nakuru, Rift Valley, KE"/>
    <s v="Nairobi-Nakuru Road, Tallstation, Malewa West ward, Gilgil, Nakuru, Rift Valley, KE"/>
    <s v="-0.6198, 36.3852"/>
    <s v="-0.6484, 36.3869"/>
    <n v="3.2"/>
    <n v="1"/>
  </r>
  <r>
    <x v="1"/>
    <x v="10"/>
    <x v="10"/>
    <x v="4"/>
    <d v="2025-12-30T09:32:03"/>
    <s v="Tue"/>
    <n v="2025"/>
    <x v="0"/>
    <x v="0"/>
    <d v="2025-12-30T09:32:03"/>
    <n v="16"/>
    <s v="km/h/s"/>
    <s v="00:00:00"/>
    <n v="0"/>
    <s v="Nairobi"/>
    <s v="Nairobi"/>
    <s v="DHL-Kasarani; DHL KASARANI"/>
    <s v="DHL-Kasarani; DHL KASARANI"/>
    <s v="-1.22236 , 36.90894"/>
    <s v="-1.22236 , 36.90894"/>
    <n v="0"/>
    <n v="1"/>
  </r>
  <r>
    <x v="2"/>
    <x v="11"/>
    <x v="11"/>
    <x v="2"/>
    <d v="2025-12-30T09:27:40"/>
    <s v="Tue"/>
    <n v="2025"/>
    <x v="0"/>
    <x v="0"/>
    <d v="2025-12-30T09:28:40"/>
    <n v="105"/>
    <s v="km/h"/>
    <s v="00:01:00"/>
    <n v="1"/>
    <m/>
    <m/>
    <s v="Mombasa Road, Salama, Kilome, Makueni, KE"/>
    <s v="Mombasa Road, Salama, Kilome, Makueni, KE"/>
    <s v="-1.8178, 37.2370"/>
    <s v="-1.8299, 37.2432"/>
    <n v="1.5"/>
    <n v="1"/>
  </r>
  <r>
    <x v="0"/>
    <x v="0"/>
    <x v="0"/>
    <x v="0"/>
    <d v="2025-12-29T23:58:34"/>
    <s v="Mon"/>
    <n v="2025"/>
    <x v="0"/>
    <x v="0"/>
    <d v="2025-12-30T00:11:12"/>
    <n v="10.199999999999999"/>
    <s v="km"/>
    <s v="00:12:38"/>
    <n v="12.633333333333333"/>
    <s v="Nairobi"/>
    <s v="Nairobi"/>
    <s v="Factory Street, Muthurwa, Muthurwa sublocation, Kamukunji location, Nairobi, CBD division, Starehe, Nairobi, 00101, Kenya"/>
    <s v="Total Energies - Opposite Garden City"/>
    <s v="-1.28984 , 36.8376"/>
    <s v="-1.23433 , 36.8732"/>
    <n v="10"/>
    <n v="1"/>
  </r>
  <r>
    <x v="1"/>
    <x v="12"/>
    <x v="12"/>
    <x v="0"/>
    <d v="2025-12-29T23:00:01"/>
    <s v="Mon"/>
    <n v="2025"/>
    <x v="0"/>
    <x v="0"/>
    <d v="2025-12-29T23:42:30"/>
    <n v="53.7"/>
    <s v="km"/>
    <s v="00:42:29"/>
    <n v="42.483333333333334"/>
    <s v="Machakos"/>
    <s v="Nairobi"/>
    <s v="Nairobi Expressway, Mlolongo, Syokimau-Mulolongo ward, Mavoko, Machakos, Eastern, 74416, Kenya"/>
    <s v="Total Energies - Opposite Garden City"/>
    <s v="-1.37956 , 36.928"/>
    <s v="-1.23447 , 36.87331"/>
    <n v="25.398"/>
    <n v="1"/>
  </r>
  <r>
    <x v="0"/>
    <x v="0"/>
    <x v="0"/>
    <x v="0"/>
    <d v="2025-12-29T23:00:00"/>
    <s v="Mon"/>
    <n v="2025"/>
    <x v="0"/>
    <x v="0"/>
    <d v="2025-12-29T23:06:21"/>
    <n v="129.80000000000001"/>
    <s v="km"/>
    <s v="00:06:21"/>
    <n v="6.35"/>
    <s v="Nairobi"/>
    <s v="Nairobi"/>
    <s v="Lusaka Road, Kaloleni sublocation, Makongeni ward, Makadara subcounty, Nairobi, 00101, Kenya"/>
    <s v="Muthurwa Bus Station, Factory Street, Muthurwa, Muthurwa sublocation, Kamukunji location, Nairobi, CBD division, Starehe, Nairobi, 00300, Kenya"/>
    <s v="-1.29334 , 36.84074"/>
    <s v="-1.28824 , 36.83428"/>
    <n v="1"/>
    <n v="1"/>
  </r>
  <r>
    <x v="2"/>
    <x v="13"/>
    <x v="13"/>
    <x v="2"/>
    <d v="2025-12-29T07:47:54"/>
    <s v="Mon"/>
    <n v="2025"/>
    <x v="0"/>
    <x v="0"/>
    <d v="2025-12-29T07:48:44"/>
    <n v="99"/>
    <s v="km/h"/>
    <s v="00:00:50"/>
    <n v="0.83333333333333337"/>
    <m/>
    <m/>
    <s v="A23, Bura Station, Mwatate, Taita–Taveta, KE"/>
    <s v="A23, Bura Station, Mwatate, Taita–Taveta, KE"/>
    <s v="-3.4913, 38.2476"/>
    <s v="-3.5016, 38.2530"/>
    <n v="1.3"/>
    <n v="1"/>
  </r>
  <r>
    <x v="1"/>
    <x v="14"/>
    <x v="14"/>
    <x v="2"/>
    <d v="2025-12-29T07:17:53"/>
    <s v="Mon"/>
    <n v="2025"/>
    <x v="0"/>
    <x v="0"/>
    <d v="2025-12-29T07:17:58"/>
    <n v="83"/>
    <s v="km/h"/>
    <s v="00:00:05"/>
    <n v="8.3333333333333329E-2"/>
    <s v="Kiambu"/>
    <s v="Kiambu"/>
    <s v="Thika Road, Witeithie ward, Juja, Kiambu, Central Kenya, 01000, Kenya"/>
    <s v="Thika Road, Thika Township ward, Thika Town, Kiambu, Central Kenya, 01000, Kenya"/>
    <s v="-1.06233 , 37.05361"/>
    <s v="-1.06106 , 37.05406"/>
    <n v="9.4E-2"/>
    <n v="1"/>
  </r>
  <r>
    <x v="1"/>
    <x v="14"/>
    <x v="14"/>
    <x v="2"/>
    <d v="2025-12-29T07:11:48"/>
    <s v="Mon"/>
    <n v="2025"/>
    <x v="0"/>
    <x v="0"/>
    <d v="2025-12-29T07:11:51"/>
    <n v="82"/>
    <s v="km/h"/>
    <s v="00:00:03"/>
    <n v="0.05"/>
    <s v="Kiambu"/>
    <s v="Kiambu"/>
    <s v="Thika Road, Kalimoni ward, Juja, Kiambu, Central Kenya, 01001, Kenya"/>
    <s v="Thika Road, Juja ward, Juja, Kiambu, Central Kenya, 01001, Kenya"/>
    <s v="-1.11353 , 37.01172"/>
    <s v="-1.11269 , 37.012"/>
    <n v="0.109"/>
    <n v="1"/>
  </r>
  <r>
    <x v="1"/>
    <x v="14"/>
    <x v="15"/>
    <x v="4"/>
    <d v="2025-12-28T23:04:45"/>
    <s v="Sun"/>
    <n v="2025"/>
    <x v="0"/>
    <x v="0"/>
    <d v="2025-12-28T23:04:46"/>
    <n v="11"/>
    <s v="km/h/s"/>
    <s v="00:00:01"/>
    <n v="1.6666666666666666E-2"/>
    <s v="Nairobi"/>
    <m/>
    <s v="DHL-Kasarani; DHL KASARANI"/>
    <m/>
    <s v="-1.22275 , 36.90978"/>
    <m/>
    <n v="0"/>
    <n v="1"/>
  </r>
  <r>
    <x v="3"/>
    <x v="15"/>
    <x v="16"/>
    <x v="0"/>
    <d v="2025-12-28T23:00:00"/>
    <s v="Sun"/>
    <n v="2025"/>
    <x v="0"/>
    <x v="0"/>
    <d v="2025-12-28T23:19:11"/>
    <n v="93.8"/>
    <s v="km"/>
    <s v="00:19:11"/>
    <n v="19.183333333333334"/>
    <s v="Kirinyaga"/>
    <s v="Kirinyaga"/>
    <s v="Embu-Nairobi Highway, Mutithi, Mwea West, Kirinyaga, Central Kenya, Kenya"/>
    <s v="B6, Kirigi, Mwea East, Kirinyaga, Central Kenya, Kenya"/>
    <s v="-0.74925 , 37.32005"/>
    <s v="-0.66934 , 37.36216"/>
    <n v="11.281000000000001"/>
    <n v="1"/>
  </r>
  <r>
    <x v="2"/>
    <x v="11"/>
    <x v="11"/>
    <x v="2"/>
    <d v="2025-12-28T22:19:23"/>
    <s v="Sun"/>
    <n v="2025"/>
    <x v="0"/>
    <x v="0"/>
    <d v="2025-12-28T22:20:03"/>
    <n v="92"/>
    <s v="km/h"/>
    <s v="00:00:40"/>
    <n v="0.66666666666666663"/>
    <m/>
    <m/>
    <s v="kwa kyatha, Mombasa Road, Salama, Kilome, Makueni, KE"/>
    <s v="Mombasa Road, Salama, Kilome, Makueni, KE"/>
    <s v="-1.7718, 37.2093"/>
    <s v="-1.7633, 37.2063"/>
    <n v="1"/>
    <n v="1"/>
  </r>
  <r>
    <x v="2"/>
    <x v="16"/>
    <x v="17"/>
    <x v="2"/>
    <d v="2025-12-28T21:06:55"/>
    <s v="Sun"/>
    <n v="2025"/>
    <x v="0"/>
    <x v="0"/>
    <d v="2025-12-28T21:08:55"/>
    <n v="92"/>
    <s v="km/h"/>
    <s v="00:01:59"/>
    <n v="1.9833333333333334"/>
    <m/>
    <m/>
    <s v="Nairobi Road, Tegat, Sobea Highway, Mosop ward, Rongai, Nakuru, Rift Valley, KE"/>
    <s v="Nairobi Road, Tegat, Sobea Highway, Mosop ward, Rongai, Nakuru, Rift Valley, KE"/>
    <s v="-0.2364, 35.9106"/>
    <s v="-0.2246, 35.8868"/>
    <n v="3"/>
    <n v="1"/>
  </r>
  <r>
    <x v="3"/>
    <x v="17"/>
    <x v="18"/>
    <x v="3"/>
    <d v="2025-12-28T18:04:09"/>
    <s v="Sun"/>
    <n v="2025"/>
    <x v="0"/>
    <x v="0"/>
    <d v="2025-12-28T18:04:10"/>
    <n v="29"/>
    <s v="km/h/s"/>
    <s v="00:00:01"/>
    <n v="1.6666666666666666E-2"/>
    <s v="Kisumu"/>
    <m/>
    <s v="Kericho-Kisumu Highway, Kochogo North sublocation, Awasi, Ahero ward, Nyando, Kisumu, Nyanza, Kenya"/>
    <m/>
    <s v="-0.15849 , 34.97226"/>
    <m/>
    <n v="0"/>
    <n v="1"/>
  </r>
  <r>
    <x v="2"/>
    <x v="18"/>
    <x v="19"/>
    <x v="2"/>
    <d v="2025-12-28T17:56:10"/>
    <s v="Sun"/>
    <n v="2025"/>
    <x v="0"/>
    <x v="0"/>
    <d v="2025-12-28T17:56:32"/>
    <n v="98"/>
    <s v="km/h"/>
    <s v="00:00:21"/>
    <n v="0.35"/>
    <m/>
    <m/>
    <s v="Nakuru - Eldoret Road, Equator, Eldama Ravine, Baringo, Rift Valley, KE"/>
    <s v="Nakuru - Eldoret Road, Equator, Eldama Ravine, Baringo, Rift Valley, KE"/>
    <s v="-0.0104, 35.5463"/>
    <s v="-0.0090, 35.5522"/>
    <n v="0.7"/>
    <n v="1"/>
  </r>
  <r>
    <x v="1"/>
    <x v="19"/>
    <x v="20"/>
    <x v="4"/>
    <d v="2025-12-28T16:51:56"/>
    <s v="Sun"/>
    <n v="2025"/>
    <x v="0"/>
    <x v="0"/>
    <d v="2025-12-28T16:51:56"/>
    <n v="11"/>
    <s v="km/h/s"/>
    <s v="00:00:00"/>
    <n v="0"/>
    <s v="Nairobi"/>
    <s v="Nairobi"/>
    <s v="DHL-Kasarani"/>
    <s v="DHL-Kasarani"/>
    <s v="-1.21986 , 36.89417"/>
    <s v="-1.21986 , 36.89417"/>
    <n v="0"/>
    <n v="1"/>
  </r>
  <r>
    <x v="3"/>
    <x v="17"/>
    <x v="18"/>
    <x v="0"/>
    <d v="2025-12-28T03:57:54"/>
    <s v="Sun"/>
    <n v="2025"/>
    <x v="0"/>
    <x v="0"/>
    <d v="2025-12-28T03:59:58"/>
    <n v="1.2"/>
    <s v="km"/>
    <s v="00:02:04"/>
    <n v="2.0666666666666669"/>
    <s v="Nakuru"/>
    <s v="Nakuru"/>
    <s v="Naivasha-Mai Mahiu-Limuru Rd., Social Area, Viwandani ward, Naivasha, Nakuru, Rift Valley, Kenya"/>
    <s v="Naivasha-Mai Mahiu-Limuru Rd., Industrial Area C, Viwandani ward, Naivasha, Nakuru, Rift Valley, Kenya"/>
    <s v="-0.71402 , 36.43037"/>
    <s v="-0.70592 , 36.42683"/>
    <n v="1"/>
    <n v="1"/>
  </r>
  <r>
    <x v="2"/>
    <x v="20"/>
    <x v="21"/>
    <x v="2"/>
    <d v="2025-12-27T17:09:10"/>
    <s v="Sat"/>
    <n v="2025"/>
    <x v="0"/>
    <x v="1"/>
    <d v="2025-12-27T17:10:00"/>
    <n v="91"/>
    <s v="km/h"/>
    <s v="00:00:49"/>
    <n v="0.81666666666666665"/>
    <m/>
    <m/>
    <s v="Thika Road, Witeithie ward, Juja, Kiambu, 01000, KE"/>
    <s v="Thika Road, Witeithie ward, Juja, Kiambu, 01001, KE"/>
    <s v="-1.0804, 37.0433"/>
    <s v="-1.0888, 37.0360"/>
    <n v="1.2"/>
    <n v="1"/>
  </r>
  <r>
    <x v="3"/>
    <x v="17"/>
    <x v="18"/>
    <x v="4"/>
    <d v="2025-12-27T15:10:33"/>
    <s v="Sat"/>
    <n v="2025"/>
    <x v="0"/>
    <x v="1"/>
    <d v="2025-12-27T15:10:33"/>
    <n v="39"/>
    <s v="km/h/s"/>
    <s v="00:00:00"/>
    <n v="0"/>
    <s v="Nairobi"/>
    <m/>
    <s v="Site Entrance Queue; KBL FACTORY"/>
    <m/>
    <s v="-1.23622 , 36.87864"/>
    <m/>
    <n v="0"/>
    <n v="1"/>
  </r>
  <r>
    <x v="2"/>
    <x v="21"/>
    <x v="22"/>
    <x v="2"/>
    <d v="2025-12-27T13:56:01"/>
    <s v="Sat"/>
    <n v="2025"/>
    <x v="0"/>
    <x v="1"/>
    <d v="2025-12-27T13:56:17"/>
    <n v="89"/>
    <s v="km/h"/>
    <s v="00:00:16"/>
    <n v="0.26666666666666666"/>
    <m/>
    <m/>
    <s v="Eldoret-Nakuru Road, Tarakwa ward, Kesses, Uasin Gishu County, KE"/>
    <s v="Eldoret-Nakuru Road, Tarakwa ward, Kesses, Uasin Gishu County, KE"/>
    <s v="0.0997, 35.4923"/>
    <s v="0.0992, 35.4881"/>
    <n v="0.5"/>
    <n v="1"/>
  </r>
  <r>
    <x v="2"/>
    <x v="22"/>
    <x v="23"/>
    <x v="2"/>
    <d v="2025-12-27T10:28:00"/>
    <s v="Sat"/>
    <n v="2025"/>
    <x v="0"/>
    <x v="1"/>
    <d v="2025-12-27T10:29:10"/>
    <n v="98"/>
    <s v="km/h"/>
    <s v="00:01:10"/>
    <n v="1.1666666666666667"/>
    <m/>
    <m/>
    <s v="Mombasa Road, Salama, Kilome, Makueni, KE"/>
    <s v="Mombasa Road, Salama, Kilome, Makueni, KE"/>
    <s v="-1.8753, 37.2647"/>
    <s v="-1.8909, 37.2671"/>
    <n v="1.8"/>
    <n v="1"/>
  </r>
  <r>
    <x v="2"/>
    <x v="23"/>
    <x v="24"/>
    <x v="2"/>
    <d v="2025-12-27T09:36:17"/>
    <s v="Sat"/>
    <n v="2025"/>
    <x v="0"/>
    <x v="1"/>
    <d v="2025-12-27T09:36:56"/>
    <n v="103"/>
    <s v="km/h"/>
    <s v="00:00:39"/>
    <n v="0.65"/>
    <m/>
    <m/>
    <s v="Mombasa Road, Salama, Kilome, Makueni, KE"/>
    <s v="Mombasa Road, Salama, Kilome, Makueni, KE"/>
    <s v="-1.8219, 37.2390"/>
    <s v="-1.8299, 37.2431"/>
    <n v="1"/>
    <n v="1"/>
  </r>
  <r>
    <x v="1"/>
    <x v="24"/>
    <x v="25"/>
    <x v="1"/>
    <d v="2025-12-26T17:03:35"/>
    <s v="Fri"/>
    <n v="2025"/>
    <x v="0"/>
    <x v="1"/>
    <d v="2025-12-26T17:03:35"/>
    <n v="35"/>
    <s v="km/h"/>
    <s v="00:00:00"/>
    <n v="0"/>
    <s v="Murang'a"/>
    <s v="Murang'a"/>
    <s v="Meru-Nairobi Highway, Kenol, Murang`a South, Murang`a, Central Kenya, 01000, Kenya"/>
    <s v="Meru-Nairobi Highway, Kenol, Murang`a South, Murang`a, Central Kenya, 01000, Kenya"/>
    <s v="-0.94522 , 37.12092"/>
    <s v="-0.94522 , 37.12092"/>
    <n v="0"/>
    <n v="1"/>
  </r>
  <r>
    <x v="2"/>
    <x v="4"/>
    <x v="4"/>
    <x v="2"/>
    <d v="2025-12-26T12:01:12"/>
    <s v="Fri"/>
    <n v="2025"/>
    <x v="0"/>
    <x v="1"/>
    <d v="2025-12-26T12:02:40"/>
    <n v="93"/>
    <s v="km/h"/>
    <s v="00:01:27"/>
    <n v="1.45"/>
    <m/>
    <m/>
    <s v="Mombasa Road, Mua ward, Machakos Town, Machakos County, KE"/>
    <s v="Maanzoni Conservancy, A8, Kinanie ward, Mavoko, Machakos County, KE"/>
    <s v="-1.5268, 37.1239"/>
    <s v="-1.5165, 37.1076"/>
    <n v="2.1"/>
    <n v="1"/>
  </r>
  <r>
    <x v="2"/>
    <x v="11"/>
    <x v="11"/>
    <x v="2"/>
    <d v="2025-12-26T00:06:22"/>
    <s v="Fri"/>
    <n v="2025"/>
    <x v="0"/>
    <x v="1"/>
    <d v="2025-12-26T00:07:32"/>
    <n v="93"/>
    <s v="km/h"/>
    <s v="00:01:09"/>
    <n v="1.1499999999999999"/>
    <m/>
    <m/>
    <s v="Mombasa Road, Maji ya Chumvi, Mwavumbo ward, Kinango, Kwale, KE"/>
    <s v="Mombasa Road, Mariakani, Kaloleni, Kilifi County, KE"/>
    <s v="-3.7882, 39.3703"/>
    <s v="-3.7933, 39.3845"/>
    <n v="1.7"/>
    <n v="1"/>
  </r>
  <r>
    <x v="1"/>
    <x v="25"/>
    <x v="26"/>
    <x v="0"/>
    <d v="2025-12-25T23:00:01"/>
    <s v="Thu"/>
    <n v="2025"/>
    <x v="0"/>
    <x v="1"/>
    <d v="2025-12-25T23:09:28"/>
    <n v="56"/>
    <s v="km"/>
    <s v="00:09:27"/>
    <n v="9.4499999999999993"/>
    <s v="Nairobi"/>
    <s v="Nairobi"/>
    <s v="Ring Road, City Centre, City Centre sublocation, Starehe location, Nairobi, CBD division, Starehe, Nairobi, 00300, Kenya"/>
    <s v="Total Energies - Opposite Garden City"/>
    <s v="-1.28117 , 36.83256"/>
    <s v="-1.23444 , 36.87333"/>
    <n v="7.6020000000000003"/>
    <n v="1"/>
  </r>
  <r>
    <x v="1"/>
    <x v="26"/>
    <x v="27"/>
    <x v="1"/>
    <d v="2025-12-25T17:23:10"/>
    <s v="Thu"/>
    <n v="2025"/>
    <x v="0"/>
    <x v="1"/>
    <d v="2025-12-25T17:23:11"/>
    <n v="39"/>
    <s v="km/h"/>
    <s v="00:00:01"/>
    <n v="1.6666666666666666E-2"/>
    <s v="Nairobi"/>
    <s v="Nairobi"/>
    <s v="Lunga Lunga Rd., Viwandani, Viwandani ward, Makadara subcounty, Nairobi, 00507, Kenya"/>
    <s v="Lunga Lunga Rd., Viwandani, Viwandani ward, Makadara subcounty, Nairobi, 00507, Kenya"/>
    <s v="-1.309 , 36.86172"/>
    <s v="-1.30894 , 36.862"/>
    <n v="0"/>
    <n v="1"/>
  </r>
  <r>
    <x v="2"/>
    <x v="3"/>
    <x v="3"/>
    <x v="2"/>
    <d v="2025-12-25T12:55:42"/>
    <s v="Thu"/>
    <n v="2025"/>
    <x v="0"/>
    <x v="1"/>
    <d v="2025-12-25T12:56:52"/>
    <n v="95"/>
    <s v="km/h"/>
    <s v="00:01:09"/>
    <n v="1.1499999999999999"/>
    <m/>
    <m/>
    <s v="Mombasa Road, Mua ward, Machakos Town, Machakos County, KE"/>
    <s v="Mombasa Road, Mua ward, Machakos Town, Machakos County, KE"/>
    <s v="-1.5788, 37.1562"/>
    <s v="-1.5930, 37.1632"/>
    <n v="1.8"/>
    <n v="1"/>
  </r>
  <r>
    <x v="3"/>
    <x v="6"/>
    <x v="6"/>
    <x v="0"/>
    <d v="2025-12-25T03:57:49"/>
    <s v="Thu"/>
    <n v="2025"/>
    <x v="0"/>
    <x v="1"/>
    <d v="2025-12-25T03:59:58"/>
    <n v="6.3"/>
    <s v="km"/>
    <s v="00:02:09"/>
    <n v="2.15"/>
    <s v="Nairobi"/>
    <s v="Nairobi"/>
    <s v="Thika Road, Kasarani sublocation, Nairobi, Kasarani, Nairobi, 00620, Kenya"/>
    <s v="Thika Road, Allsops, Drive In, Nairobi, Kasarani, Nairobi, 00620, Kenya"/>
    <s v="-1.23471 , 36.87339"/>
    <s v="-1.2461 , 36.86587"/>
    <n v="1.625"/>
    <n v="1"/>
  </r>
  <r>
    <x v="2"/>
    <x v="27"/>
    <x v="28"/>
    <x v="2"/>
    <d v="2025-12-24T20:02:01"/>
    <s v="Wed"/>
    <n v="2025"/>
    <x v="0"/>
    <x v="1"/>
    <d v="2025-12-24T20:02:17"/>
    <n v="91"/>
    <s v="km/h"/>
    <s v="00:00:16"/>
    <n v="0.26666666666666666"/>
    <m/>
    <m/>
    <s v="Kakamega-Kitale Road, Milima ward, Tongaren, Bungoma County, Western, KE"/>
    <s v="Kakamega-Kitale Road, Milima ward, Tongaren, Bungoma County, Western, KE"/>
    <s v="0.7843, 34.8053"/>
    <s v="0.7829, 34.8011"/>
    <n v="0.5"/>
    <n v="1"/>
  </r>
  <r>
    <x v="2"/>
    <x v="16"/>
    <x v="17"/>
    <x v="2"/>
    <d v="2025-12-24T18:24:49"/>
    <s v="Wed"/>
    <n v="2025"/>
    <x v="0"/>
    <x v="1"/>
    <d v="2025-12-24T18:25:41"/>
    <n v="89"/>
    <s v="km/h"/>
    <s v="00:00:51"/>
    <n v="0.85"/>
    <m/>
    <m/>
    <s v="A12, Londiani Junction, Kedowa/Kimugul ward, Kipkelion East, Kericho County, Rift Valley, KE"/>
    <s v="A12, Londiani Junction, Kedowa/Kimugul ward, Kipkelion East, Kericho County, Rift Valley, KE"/>
    <s v="-0.1674, 35.6668"/>
    <s v="-0.1681, 35.6545"/>
    <n v="1.4"/>
    <n v="1"/>
  </r>
  <r>
    <x v="1"/>
    <x v="14"/>
    <x v="29"/>
    <x v="1"/>
    <d v="2025-12-24T17:01:57"/>
    <s v="Wed"/>
    <n v="2025"/>
    <x v="0"/>
    <x v="1"/>
    <d v="2025-12-24T17:01:57"/>
    <n v="40"/>
    <s v="km/h"/>
    <s v="00:00:00"/>
    <n v="0"/>
    <s v="Nairobi"/>
    <s v="Nairobi"/>
    <s v="Likoni Road, Diamond Park Estate, South B, Nairobi South ward, Nairobi, Starehe, Nairobi, 00507, Kenya"/>
    <s v="Likoni Road, Diamond Park Estate, South B, Nairobi South ward, Nairobi, Starehe, Nairobi, 00507, Kenya"/>
    <s v="-1.31969 , 36.85142"/>
    <s v="-1.31969 , 36.85142"/>
    <n v="0"/>
    <n v="1"/>
  </r>
  <r>
    <x v="1"/>
    <x v="14"/>
    <x v="29"/>
    <x v="1"/>
    <d v="2025-12-24T16:43:28"/>
    <s v="Wed"/>
    <n v="2025"/>
    <x v="0"/>
    <x v="1"/>
    <d v="2025-12-24T16:43:29"/>
    <n v="41"/>
    <s v="km/h"/>
    <s v="00:00:01"/>
    <n v="1.6666666666666666E-2"/>
    <s v="Nairobi"/>
    <s v="Nairobi"/>
    <s v="Ngong Road, Lenana sublocation, Karen ward, Lang'ata, Nairobi, Dagoretti, Nairobi, 00505, Kenya"/>
    <s v="Ngong Road, Lenana sublocation, Karen ward, Lang'ata, Nairobi, Dagoretti, Nairobi, 00505, Kenya"/>
    <s v="-1.31017 , 36.72564"/>
    <s v="-1.31011 , 36.72575"/>
    <n v="0"/>
    <n v="1"/>
  </r>
  <r>
    <x v="2"/>
    <x v="28"/>
    <x v="30"/>
    <x v="2"/>
    <d v="2025-12-24T09:15:07"/>
    <s v="Wed"/>
    <n v="2025"/>
    <x v="0"/>
    <x v="1"/>
    <d v="2025-12-24T09:15:33"/>
    <n v="88"/>
    <s v="km/h"/>
    <s v="00:00:26"/>
    <n v="0.43333333333333335"/>
    <m/>
    <m/>
    <s v="A8, Kinanie ward, Mavoko, Machakos County, KE"/>
    <s v="Mombasa Road, Kinanie ward, Mavoko, Machakos County, KE"/>
    <s v="-1.4818, 37.0464"/>
    <s v="-1.4786, 37.0408"/>
    <n v="0.7"/>
    <n v="1"/>
  </r>
  <r>
    <x v="0"/>
    <x v="29"/>
    <x v="31"/>
    <x v="2"/>
    <d v="2025-12-24T08:48:44"/>
    <s v="Wed"/>
    <n v="2025"/>
    <x v="0"/>
    <x v="1"/>
    <d v="2025-12-24T08:48:52"/>
    <n v="84"/>
    <s v="km/h"/>
    <s v="00:00:08"/>
    <n v="0.13333333333333333"/>
    <s v="Laikipia"/>
    <s v="Laikipia"/>
    <s v="Nyeri-Nyahururu Road, Kiawara, Laikipia East, Laikipia, Rift Valley, Kenya"/>
    <s v="Nyeri-Nyahururu Road, Kiawara, Laikipia East, Laikipia, Rift Valley, Kenya"/>
    <s v="-0.11475 , 36.68758"/>
    <s v="-0.11323 , 36.68652"/>
    <n v="0.188"/>
    <n v="1"/>
  </r>
  <r>
    <x v="2"/>
    <x v="30"/>
    <x v="32"/>
    <x v="2"/>
    <d v="2025-12-23T23:48:45"/>
    <s v="Tue"/>
    <n v="2025"/>
    <x v="0"/>
    <x v="1"/>
    <d v="2025-12-23T23:50:05"/>
    <n v="93"/>
    <s v="km/h"/>
    <s v="00:01:19"/>
    <n v="1.3166666666666667"/>
    <m/>
    <m/>
    <s v="A12, Londiani Junction, Kedowa/Kimugul ward, Kipkelion East, Kericho County, Rift Valley, KE"/>
    <s v="A12, Londiani Junction, Kedowa/Kimugul ward, Kipkelion East, Kericho County, Rift Valley, KE"/>
    <s v="-0.1685, 35.6623"/>
    <s v="-0.1651, 35.6456"/>
    <n v="1.9"/>
    <n v="1"/>
  </r>
  <r>
    <x v="2"/>
    <x v="28"/>
    <x v="30"/>
    <x v="2"/>
    <d v="2025-12-23T22:57:10"/>
    <s v="Tue"/>
    <n v="2025"/>
    <x v="0"/>
    <x v="1"/>
    <d v="2025-12-23T22:58:19"/>
    <n v="92"/>
    <s v="km/h"/>
    <s v="00:01:09"/>
    <n v="1.1499999999999999"/>
    <m/>
    <m/>
    <s v="Mombasa Road, Samburu/Chengoni ward, Kinango, Kwale, KE"/>
    <s v="Mombasa Road, Maungu, Voi, Taita–Taveta, KE"/>
    <s v="-3.7423, 39.0931"/>
    <s v="-3.7433, 39.0778"/>
    <n v="1.7"/>
    <n v="1"/>
  </r>
  <r>
    <x v="2"/>
    <x v="27"/>
    <x v="28"/>
    <x v="2"/>
    <d v="2025-12-23T12:49:58"/>
    <s v="Tue"/>
    <n v="2025"/>
    <x v="0"/>
    <x v="1"/>
    <d v="2025-12-23T12:50:43"/>
    <n v="95"/>
    <s v="km/h"/>
    <s v="00:00:45"/>
    <n v="0.75"/>
    <m/>
    <m/>
    <s v="Kisumu Road, Ngeria ward, Kapseret, Uasin Gishu County, KE"/>
    <s v="Eldoret Kapsabet Road, Musoriot, Lelmoko/Ngechek ward, Chesumei, Nandi County, Rift Valley, KE"/>
    <s v="0.3961, 35.2070"/>
    <s v="0.3933, 35.1965"/>
    <n v="1.2"/>
    <n v="1"/>
  </r>
  <r>
    <x v="1"/>
    <x v="31"/>
    <x v="29"/>
    <x v="1"/>
    <d v="2025-12-23T12:17:30"/>
    <s v="Tue"/>
    <n v="2025"/>
    <x v="0"/>
    <x v="1"/>
    <d v="2025-12-23T12:17:34"/>
    <n v="32"/>
    <s v="km/h"/>
    <s v="00:00:04"/>
    <n v="6.6666666666666666E-2"/>
    <s v="Kiambu"/>
    <s v="Kiambu"/>
    <s v="Limuru-Maimahiu Road, Mai Mahiu sublocation, Lari/Kirenya ward, Lari, Kiambu, Central Kenya, 00221, Kenya"/>
    <s v="Limuru-Maimahiu Road, Mai Mahiu sublocation, Lari/Kirenya ward, Lari, Kiambu, Central Kenya, 00221, Kenya"/>
    <s v="-1.02886 , 36.6025"/>
    <s v="-1.02936 , 36.60244"/>
    <n v="0.10199999999999999"/>
    <n v="1"/>
  </r>
  <r>
    <x v="1"/>
    <x v="31"/>
    <x v="29"/>
    <x v="1"/>
    <d v="2025-12-23T11:36:22"/>
    <s v="Tue"/>
    <n v="2025"/>
    <x v="0"/>
    <x v="1"/>
    <d v="2025-12-23T11:36:22"/>
    <n v="33"/>
    <s v="km/h"/>
    <s v="00:00:00"/>
    <n v="0"/>
    <s v="Nakuru"/>
    <s v="Nakuru"/>
    <s v="Naivasha-Mai Mahiu-Limuru Rd., Longonot sublocation, Astu, Mai Mahiu ward, Naivasha, Nakuru, Rift Valley, Kenya"/>
    <s v="Naivasha-Mai Mahiu-Limuru Rd., Longonot sublocation, Astu, Mai Mahiu ward, Naivasha, Nakuru, Rift Valley, Kenya"/>
    <s v="-0.87192 , 36.48414"/>
    <s v="-0.87192 , 36.48414"/>
    <n v="0"/>
    <n v="1"/>
  </r>
  <r>
    <x v="1"/>
    <x v="32"/>
    <x v="33"/>
    <x v="1"/>
    <d v="2025-12-22T21:30:34"/>
    <s v="Mon"/>
    <n v="2025"/>
    <x v="0"/>
    <x v="1"/>
    <d v="2025-12-22T21:30:37"/>
    <n v="32"/>
    <s v="km/h"/>
    <s v="00:00:03"/>
    <n v="0.05"/>
    <s v="Nairobi"/>
    <s v="Nairobi"/>
    <s v="Waiyaki Way, Brookside, Upper Parklands sublocation, Parklands location, Nairobi, Highridge division, Westlands, Nairobi, 97104, Kenya"/>
    <s v="Waiyaki Way, Brookside, Upper Parklands sublocation, Parklands location, Nairobi, Highridge division, Westlands, Nairobi, 97104, Kenya"/>
    <s v="-1.26322 , 36.80114"/>
    <s v="-1.26347 , 36.80133"/>
    <n v="0"/>
    <n v="1"/>
  </r>
  <r>
    <x v="1"/>
    <x v="31"/>
    <x v="29"/>
    <x v="1"/>
    <d v="2025-12-22T18:27:54"/>
    <s v="Mon"/>
    <n v="2025"/>
    <x v="0"/>
    <x v="1"/>
    <d v="2025-12-22T18:28:01"/>
    <n v="33"/>
    <s v="km/h"/>
    <s v="00:00:07"/>
    <n v="0.11666666666666667"/>
    <s v="Uasin Gishu"/>
    <s v="Uasin Gishu"/>
    <s v="Eldoret-Nakuru Road, Tarakwa ward, Kesses, Uasin Gishu, Rift Valley, Kenya"/>
    <s v="Eldoret-Nakuru Road, Tarakwa ward, Kesses, Uasin Gishu, Rift Valley, Kenya"/>
    <s v="0.17708 , 35.45681"/>
    <s v="0.17639 , 35.45733"/>
    <n v="9.8000000000000004E-2"/>
    <n v="1"/>
  </r>
  <r>
    <x v="1"/>
    <x v="31"/>
    <x v="29"/>
    <x v="1"/>
    <d v="2025-12-22T18:27:30"/>
    <s v="Mon"/>
    <n v="2025"/>
    <x v="0"/>
    <x v="1"/>
    <d v="2025-12-22T18:27:33"/>
    <n v="32"/>
    <s v="km/h"/>
    <s v="00:00:03"/>
    <n v="0.05"/>
    <s v="Uasin Gishu"/>
    <s v="Uasin Gishu"/>
    <s v="Eldoret-Nakuru Road, Tarakwa ward, Kesses, Uasin Gishu, Rift Valley, Kenya"/>
    <s v="Eldoret-Nakuru Road, Tarakwa ward, Kesses, Uasin Gishu, Rift Valley, Kenya"/>
    <s v="0.17903 , 35.45536"/>
    <s v="0.17869 , 35.45558"/>
    <n v="0"/>
    <n v="1"/>
  </r>
  <r>
    <x v="0"/>
    <x v="33"/>
    <x v="34"/>
    <x v="4"/>
    <d v="2025-12-22T16:38:48"/>
    <s v="Mon"/>
    <n v="2025"/>
    <x v="0"/>
    <x v="1"/>
    <d v="2025-12-22T16:38:48"/>
    <n v="12"/>
    <s v="km/h/s"/>
    <s v="00:00:00"/>
    <n v="0"/>
    <s v="Kiambu"/>
    <s v="Kiambu"/>
    <s v="Thika Road, Nairobi, Kasarani, Nairobi, 00608, Kenya"/>
    <s v="Thika Road, Nairobi, Kasarani, Nairobi, 00608, Kenya"/>
    <s v="-1.20428 , 36.91667"/>
    <s v="-1.20428 , 36.91667"/>
    <n v="0"/>
    <n v="1"/>
  </r>
  <r>
    <x v="1"/>
    <x v="31"/>
    <x v="29"/>
    <x v="1"/>
    <d v="2025-12-22T14:31:51"/>
    <s v="Mon"/>
    <n v="2025"/>
    <x v="0"/>
    <x v="1"/>
    <d v="2025-12-22T14:32:02"/>
    <n v="33"/>
    <s v="km/h"/>
    <s v="00:00:11"/>
    <n v="0.18333333333333332"/>
    <s v="Uasin Gishu"/>
    <s v="Uasin Gishu"/>
    <s v="Eldoret-Kitale Road, Kipsomba ward, Soy, Uasin Gishu, Rift Valley, Kenya"/>
    <s v="Eldoret-Kitale Road, Kipsomba ward, Soy, Uasin Gishu, Rift Valley, Kenya"/>
    <s v="0.74369 , 35.14878"/>
    <s v="0.74275 , 35.14964"/>
    <n v="0.10199999999999999"/>
    <n v="1"/>
  </r>
  <r>
    <x v="1"/>
    <x v="26"/>
    <x v="27"/>
    <x v="1"/>
    <d v="2025-12-22T13:24:51"/>
    <s v="Mon"/>
    <n v="2025"/>
    <x v="0"/>
    <x v="1"/>
    <d v="2025-12-22T13:24:52"/>
    <n v="33"/>
    <s v="km/h"/>
    <s v="00:00:01"/>
    <n v="1.6666666666666666E-2"/>
    <s v="Kiambu"/>
    <s v="Kiambu"/>
    <s v="Limuru Road, Redhill, Kabuku, Ndenderu ward, Kiambaa, Kiambu, Central Kenya, 00217, Kenya"/>
    <s v="Kianjogu, Ndenderu, Ndenderu ward, Kiambaa, Kiambu, Central Kenya, Kenya"/>
    <s v="-1.17878 , 36.72375"/>
    <s v="-1.17892 , 36.72394"/>
    <n v="0"/>
    <n v="1"/>
  </r>
  <r>
    <x v="1"/>
    <x v="31"/>
    <x v="29"/>
    <x v="1"/>
    <d v="2025-12-22T13:13:29"/>
    <s v="Mon"/>
    <n v="2025"/>
    <x v="0"/>
    <x v="1"/>
    <d v="2025-12-22T13:13:44"/>
    <n v="34"/>
    <s v="km/h"/>
    <s v="00:00:15"/>
    <n v="0.25"/>
    <s v="Trans Nzoia"/>
    <s v="Trans Nzoia"/>
    <s v="Eldoret-Kitale Road, Kitale, Kiminini, Trans Nzoia, Rift Valley, 30200, Kenya"/>
    <s v="Eldoret-Kitale Road, Kitale, Kiminini, Trans Nzoia, Rift Valley, 30200, Kenya"/>
    <s v="0.97714 , 35.04667"/>
    <s v="0.97567 , 35.04758"/>
    <n v="9.8000000000000004E-2"/>
    <n v="1"/>
  </r>
  <r>
    <x v="1"/>
    <x v="31"/>
    <x v="29"/>
    <x v="1"/>
    <d v="2025-12-22T13:09:00"/>
    <s v="Mon"/>
    <n v="2025"/>
    <x v="0"/>
    <x v="1"/>
    <d v="2025-12-22T13:09:03"/>
    <n v="33"/>
    <s v="km/h"/>
    <s v="00:00:03"/>
    <n v="0.05"/>
    <s v="Trans Nzoia"/>
    <s v="Trans Nzoia"/>
    <s v="Eldoret-Kitale Road, Kitale, Saboti, Trans Nzoia, Rift Valley, 30200, Kenya"/>
    <s v="Eldoret-Kitale Road, Kitale, Saboti, Trans Nzoia, Rift Valley, 30200, Kenya"/>
    <s v="0.98225 , 35.02433"/>
    <s v="0.98225 , 35.02475"/>
    <n v="0"/>
    <n v="1"/>
  </r>
  <r>
    <x v="0"/>
    <x v="33"/>
    <x v="34"/>
    <x v="4"/>
    <d v="2025-12-22T12:48:19"/>
    <s v="Mon"/>
    <n v="2025"/>
    <x v="0"/>
    <x v="1"/>
    <d v="2025-12-22T12:48:19"/>
    <n v="11"/>
    <s v="km/h/s"/>
    <s v="00:00:00"/>
    <n v="0"/>
    <s v="Nairobi"/>
    <s v="Nairobi"/>
    <s v="Thika Road, Nairobi, Kasarani, Nairobi, 00608, Kenya"/>
    <s v="Thika Road, Nairobi, Kasarani, Nairobi, 00608, Kenya"/>
    <s v="-1.20336 , 36.91733"/>
    <s v="-1.20336 , 36.91733"/>
    <n v="0"/>
    <n v="1"/>
  </r>
  <r>
    <x v="2"/>
    <x v="22"/>
    <x v="23"/>
    <x v="2"/>
    <d v="2025-12-22T01:07:23"/>
    <s v="Mon"/>
    <n v="2025"/>
    <x v="0"/>
    <x v="1"/>
    <d v="2025-12-22T01:09:53"/>
    <n v="98"/>
    <s v="km/h"/>
    <s v="00:02:30"/>
    <n v="2.5"/>
    <m/>
    <m/>
    <s v="Mombasa Road, Salama, Kilome, Makueni, KE"/>
    <s v="Mombasa Road, Salama, Kilome, Makueni, KE"/>
    <s v="-1.9030, 37.2750"/>
    <s v="-1.9314, 37.2934"/>
    <n v="3.8"/>
    <n v="1"/>
  </r>
  <r>
    <x v="0"/>
    <x v="34"/>
    <x v="35"/>
    <x v="3"/>
    <d v="2025-12-21T19:43:15"/>
    <s v="Sun"/>
    <n v="2025"/>
    <x v="0"/>
    <x v="1"/>
    <d v="2025-12-21T19:43:16"/>
    <n v="17"/>
    <s v="km/h/s"/>
    <s v="00:00:01"/>
    <n v="1.6666666666666666E-2"/>
    <s v="Kiambu"/>
    <m/>
    <s v="Garissa Road, Maguguni, Ngoliba ward, Thika Town, Kiambu, Central Kenya, 01000, Kenya"/>
    <m/>
    <s v="-1.06192 , 37.29002"/>
    <m/>
    <n v="0"/>
    <n v="1"/>
  </r>
  <r>
    <x v="2"/>
    <x v="35"/>
    <x v="36"/>
    <x v="2"/>
    <d v="2025-12-21T18:40:23"/>
    <s v="Sun"/>
    <n v="2025"/>
    <x v="0"/>
    <x v="1"/>
    <d v="2025-12-21T18:41:53"/>
    <n v="94"/>
    <s v="km/h"/>
    <s v="00:01:29"/>
    <n v="1.4833333333333334"/>
    <m/>
    <m/>
    <s v="A8, Kinanie ward, Mavoko, Machakos County, KE"/>
    <s v="A8, Kinanie ward, Mavoko, Machakos County, KE"/>
    <s v="-1.5055, 37.0902"/>
    <s v="-1.4969, 37.0732"/>
    <n v="2.1"/>
    <n v="1"/>
  </r>
  <r>
    <x v="0"/>
    <x v="29"/>
    <x v="31"/>
    <x v="1"/>
    <d v="2025-12-21T17:50:44"/>
    <s v="Sun"/>
    <n v="2025"/>
    <x v="0"/>
    <x v="1"/>
    <d v="2025-12-21T17:51:15"/>
    <n v="79"/>
    <s v="km/h"/>
    <s v="00:00:31"/>
    <n v="0.51666666666666672"/>
    <s v="Kirinyaga"/>
    <s v="Murang'a"/>
    <s v="Embu-Nairobi Highway, Mbeere South, Embu, Eastern, Kenya"/>
    <s v="A2, Manaja ward, Masinga, Machakos, Eastern, Kenya"/>
    <s v="-0.78293 , 37.26839"/>
    <s v="-0.78838 , 37.26834"/>
    <n v="0.68799999999999994"/>
    <n v="1"/>
  </r>
  <r>
    <x v="1"/>
    <x v="31"/>
    <x v="29"/>
    <x v="1"/>
    <d v="2025-12-21T14:12:38"/>
    <s v="Sun"/>
    <n v="2025"/>
    <x v="0"/>
    <x v="1"/>
    <d v="2025-12-21T14:12:41"/>
    <n v="34"/>
    <s v="km/h"/>
    <s v="00:00:03"/>
    <n v="0.05"/>
    <s v="Uasin Gishu"/>
    <s v="Uasin Gishu"/>
    <s v="B14, Soy, Kipsomba ward, Soy, Uasin Gishu, Rift Valley, Kenya"/>
    <s v="B14, Soy, Kipsomba ward, Soy, Uasin Gishu, Rift Valley, Kenya"/>
    <s v="0.72094 , 35.15897"/>
    <s v="0.72139 , 35.15889"/>
    <n v="0"/>
    <n v="1"/>
  </r>
  <r>
    <x v="1"/>
    <x v="36"/>
    <x v="37"/>
    <x v="1"/>
    <d v="2025-12-21T11:41:06"/>
    <s v="Sun"/>
    <n v="2025"/>
    <x v="0"/>
    <x v="1"/>
    <d v="2025-12-21T11:41:06"/>
    <n v="37"/>
    <s v="km/h"/>
    <s v="00:00:00"/>
    <n v="0"/>
    <s v="Trans Nzoia"/>
    <s v="Trans Nzoia"/>
    <s v="Kakamega-Kitale Road, Kitale, Saboti, Trans Nzoia, Rift Valley, 30200, Kenya"/>
    <s v="Kakamega-Kitale Road, Kitale, Saboti, Trans Nzoia, Rift Valley, 30200, Kenya"/>
    <s v="1.007 , 35.00867"/>
    <s v="1.007 , 35.00867"/>
    <n v="0"/>
    <n v="1"/>
  </r>
  <r>
    <x v="2"/>
    <x v="37"/>
    <x v="38"/>
    <x v="2"/>
    <d v="2025-12-21T07:19:16"/>
    <s v="Sun"/>
    <n v="2025"/>
    <x v="0"/>
    <x v="1"/>
    <d v="2025-12-21T07:23:26"/>
    <n v="86"/>
    <s v="km/h"/>
    <s v="00:04:10"/>
    <n v="4.166666666666667"/>
    <m/>
    <m/>
    <s v="Naivasha-Mai Mahiu-Limuru Road, Mai Mahiu sublocation, Jikaze, Mai Mahiu ward, Naivasha, Nakuru, Rift Valley, 00221, KE"/>
    <s v="Naivasha-Mai Mahiu-Limuru Road, Mai Mahiu sublocation, Jikaze, Mai Mahiu ward, Naivasha, Nakuru, Rift Valley, 00221, KE"/>
    <s v="-0.9035, 36.5123"/>
    <s v="-0.9441, 36.5448"/>
    <n v="5.8"/>
    <n v="1"/>
  </r>
  <r>
    <x v="2"/>
    <x v="38"/>
    <x v="39"/>
    <x v="2"/>
    <d v="2025-12-20T21:19:51"/>
    <s v="Sat"/>
    <n v="2025"/>
    <x v="0"/>
    <x v="2"/>
    <d v="2025-12-20T21:20:18"/>
    <n v="90"/>
    <s v="km/h"/>
    <s v="00:00:26"/>
    <n v="0.43333333333333335"/>
    <m/>
    <m/>
    <s v="Eldoret-Malaba Road, Gatimu sublocation, Sigona ward, Kikuyu, Kiambu, 00217, KE"/>
    <s v="Eldoret-Malaba Road, Gatimu sublocation, Sigona ward, Kikuyu, Kiambu, 00217, KE"/>
    <s v="-1.1808, 36.6446"/>
    <s v="-1.1866, 36.6475"/>
    <n v="0.7"/>
    <n v="1"/>
  </r>
  <r>
    <x v="2"/>
    <x v="3"/>
    <x v="3"/>
    <x v="2"/>
    <d v="2025-12-19T17:26:42"/>
    <s v="Fri"/>
    <n v="2025"/>
    <x v="0"/>
    <x v="2"/>
    <d v="2025-12-19T17:27:32"/>
    <n v="94"/>
    <s v="km/h"/>
    <s v="00:00:49"/>
    <n v="0.81666666666666665"/>
    <m/>
    <m/>
    <s v="Mombasa Road, Mua ward, Machakos Town, Machakos County, KE"/>
    <s v="Mombasa Road, Mua ward, Machakos Town, Machakos County, KE"/>
    <s v="-1.5801, 37.1568"/>
    <s v="-1.5901, 37.1618"/>
    <n v="1.2"/>
    <n v="1"/>
  </r>
  <r>
    <x v="0"/>
    <x v="2"/>
    <x v="2"/>
    <x v="1"/>
    <d v="2025-12-19T14:26:19"/>
    <s v="Fri"/>
    <n v="2025"/>
    <x v="0"/>
    <x v="2"/>
    <d v="2025-12-19T14:26:23"/>
    <n v="45"/>
    <s v="km/h"/>
    <s v="00:00:04"/>
    <n v="6.6666666666666666E-2"/>
    <s v="Uasin Gishu"/>
    <s v="Uasin Gishu"/>
    <s v="B14, Soy, Soy ward, Soy, Uasin Gishu, Rift Valley, Kenya"/>
    <s v="Eldoret-Kitale Road, Maili Tisa, Longisa, Kiplombe ward, Turbo, Uasin Gishu, Rift Valley, Kenya"/>
    <s v="0.66873 , 35.16299"/>
    <s v="0.66821 , 35.16317"/>
    <n v="0"/>
    <n v="1"/>
  </r>
  <r>
    <x v="2"/>
    <x v="4"/>
    <x v="4"/>
    <x v="2"/>
    <d v="2025-12-19T13:08:22"/>
    <s v="Fri"/>
    <n v="2025"/>
    <x v="0"/>
    <x v="2"/>
    <d v="2025-12-19T13:09:32"/>
    <n v="93"/>
    <s v="km/h"/>
    <s v="00:01:09"/>
    <n v="1.1499999999999999"/>
    <m/>
    <m/>
    <s v="Maanzoni Conservancy, A8, Kinanie ward, Mavoko, Machakos County, KE"/>
    <s v="Maanzoni Conservancy, A8, Kinanie ward, Mavoko, Machakos County, KE"/>
    <s v="-1.5232, 37.1180"/>
    <s v="-1.5150, 37.1052"/>
    <n v="1.7"/>
    <n v="1"/>
  </r>
  <r>
    <x v="3"/>
    <x v="39"/>
    <x v="40"/>
    <x v="1"/>
    <d v="2025-12-19T10:48:05"/>
    <s v="Fri"/>
    <n v="2025"/>
    <x v="0"/>
    <x v="2"/>
    <d v="2025-12-19T10:48:06"/>
    <n v="33"/>
    <s v="km/h"/>
    <s v="00:00:01"/>
    <n v="1.6666666666666666E-2"/>
    <s v="Makueni"/>
    <s v="Makueni"/>
    <s v="Mombasa Road, Thange, Kibwezi East, Makueni, Eastern, Kenya"/>
    <s v="Mombasa Road, Thange, Kibwezi East, Makueni, Eastern, Kenya"/>
    <s v="-2.416 , 37.95988"/>
    <s v="-2.41606 , 37.95993"/>
    <n v="0"/>
    <n v="1"/>
  </r>
  <r>
    <x v="2"/>
    <x v="27"/>
    <x v="28"/>
    <x v="2"/>
    <d v="2025-12-19T09:25:26"/>
    <s v="Fri"/>
    <n v="2025"/>
    <x v="0"/>
    <x v="2"/>
    <d v="2025-12-19T09:27:06"/>
    <n v="90"/>
    <s v="km/h"/>
    <s v="00:01:40"/>
    <n v="1.6666666666666665"/>
    <m/>
    <m/>
    <s v="Kericho-Kisumu Highway, Kapsoit, Kapsoit ward, Ainamoi, Kericho County, Rift Valley, 20205, KE"/>
    <s v="Kericho-Kisumu Highway, Kapsoit, Kapsoit ward, Ainamoi, Kericho County, Rift Valley, 20205, KE"/>
    <s v="-0.3046, 35.1898"/>
    <s v="-0.3082, 35.1690"/>
    <n v="2.2999999999999998"/>
    <n v="1"/>
  </r>
  <r>
    <x v="2"/>
    <x v="13"/>
    <x v="13"/>
    <x v="2"/>
    <d v="2025-12-19T09:03:37"/>
    <s v="Fri"/>
    <n v="2025"/>
    <x v="0"/>
    <x v="2"/>
    <d v="2025-12-19T09:04:31"/>
    <n v="95"/>
    <s v="km/h"/>
    <s v="00:00:54"/>
    <n v="0.9"/>
    <m/>
    <m/>
    <s v="Mombasa Road, Maji ya Chumvi, Mwavumbo ward, Kinango, Kwale, KE"/>
    <s v="Mombasa Road, Mariakani, Kaloleni, Kilifi County, KE"/>
    <s v="-3.7881, 39.3732"/>
    <s v="-3.7935, 39.3852"/>
    <n v="1.5"/>
    <n v="1"/>
  </r>
  <r>
    <x v="2"/>
    <x v="13"/>
    <x v="13"/>
    <x v="2"/>
    <d v="2025-12-18T21:56:06"/>
    <s v="Thu"/>
    <n v="2025"/>
    <x v="0"/>
    <x v="2"/>
    <d v="2025-12-18T21:56:56"/>
    <n v="91"/>
    <s v="km/h"/>
    <s v="00:00:50"/>
    <n v="0.83333333333333337"/>
    <m/>
    <m/>
    <s v="Mombasa Road, Mua ward, Machakos Town, Machakos County, KE"/>
    <s v="Mombasa Road, Mua ward, Machakos Town, Machakos County, KE"/>
    <s v="-1.5819, 37.1578"/>
    <s v="-1.5919, 37.1626"/>
    <n v="1.2"/>
    <n v="1"/>
  </r>
  <r>
    <x v="0"/>
    <x v="0"/>
    <x v="0"/>
    <x v="2"/>
    <d v="2025-12-18T06:35:51"/>
    <s v="Thu"/>
    <n v="2025"/>
    <x v="0"/>
    <x v="2"/>
    <d v="2025-12-18T06:35:52"/>
    <n v="81"/>
    <s v="km/h"/>
    <s v="00:00:01"/>
    <n v="1.6666666666666666E-2"/>
    <s v="Kirinyaga"/>
    <s v="Kirinyaga"/>
    <s v="C73, Sagana, Kirinyaga West, Kirinyaga, Central Kenya, Kenya"/>
    <s v="C73, Sagana, Kirinyaga West, Kirinyaga, Central Kenya, Kenya"/>
    <s v="-0.64703 , 37.22789"/>
    <s v="-0.64693 , 37.22806"/>
    <n v="0"/>
    <n v="1"/>
  </r>
  <r>
    <x v="3"/>
    <x v="5"/>
    <x v="5"/>
    <x v="3"/>
    <d v="2025-12-18T06:27:05"/>
    <s v="Thu"/>
    <n v="2025"/>
    <x v="0"/>
    <x v="2"/>
    <d v="2025-12-18T06:27:06"/>
    <n v="20"/>
    <s v="km/h/s"/>
    <s v="00:00:01"/>
    <n v="1.6666666666666666E-2"/>
    <s v="Kiambu"/>
    <m/>
    <s v="Thika Road, Murera ward, Juja, Kiambu, Central Kenya, 01001, Kenya"/>
    <m/>
    <s v="-1.13478 , 36.97206"/>
    <m/>
    <n v="0"/>
    <n v="1"/>
  </r>
  <r>
    <x v="1"/>
    <x v="40"/>
    <x v="41"/>
    <x v="1"/>
    <d v="2025-12-17T14:22:09"/>
    <s v="Wed"/>
    <n v="2025"/>
    <x v="0"/>
    <x v="2"/>
    <d v="2025-12-17T14:22:11"/>
    <n v="37"/>
    <s v="km/h"/>
    <s v="00:00:02"/>
    <n v="3.3333333333333333E-2"/>
    <s v="Kajiado"/>
    <s v="Kajiado"/>
    <s v="Mombasa Road, Emali, Kibwezi West, Makueni, Eastern, Kenya"/>
    <s v="Mombasa Road, Emali, Kibwezi West, Makueni, Eastern, Kenya"/>
    <s v="-2.08125 , 37.47667"/>
    <s v="-2.08108 , 37.47644"/>
    <n v="0.125"/>
    <n v="1"/>
  </r>
  <r>
    <x v="2"/>
    <x v="22"/>
    <x v="23"/>
    <x v="2"/>
    <d v="2025-12-17T14:08:44"/>
    <s v="Wed"/>
    <n v="2025"/>
    <x v="0"/>
    <x v="2"/>
    <d v="2025-12-17T14:09:54"/>
    <n v="91"/>
    <s v="km/h"/>
    <s v="00:01:10"/>
    <n v="1.1666666666666667"/>
    <m/>
    <m/>
    <s v="Mombasa Road, Salama, Kilome, Makueni, KE"/>
    <s v="Mombasa Road, Salama, Kilome, Makueni, KE"/>
    <s v="-1.9026, 37.2747"/>
    <s v="-1.9153, 37.2829"/>
    <n v="1.7"/>
    <n v="1"/>
  </r>
  <r>
    <x v="1"/>
    <x v="40"/>
    <x v="41"/>
    <x v="4"/>
    <d v="2025-12-17T13:02:15"/>
    <s v="Wed"/>
    <n v="2025"/>
    <x v="0"/>
    <x v="2"/>
    <d v="2025-12-17T13:02:15"/>
    <n v="12"/>
    <s v="km/h/s"/>
    <s v="00:00:00"/>
    <n v="0"/>
    <s v="Makueni"/>
    <s v="Makueni"/>
    <s v="Mombasa Road, Thange, Kibwezi West, Makueni, Eastern, Kenya"/>
    <s v="Mombasa Road, Thange, Kibwezi West, Makueni, Eastern, Kenya"/>
    <s v="-2.35847 , 37.89083"/>
    <s v="-2.35847 , 37.89083"/>
    <n v="0"/>
    <n v="1"/>
  </r>
  <r>
    <x v="2"/>
    <x v="11"/>
    <x v="11"/>
    <x v="2"/>
    <d v="2025-12-17T03:55:54"/>
    <s v="Wed"/>
    <n v="2025"/>
    <x v="0"/>
    <x v="2"/>
    <d v="2025-12-17T03:56:54"/>
    <n v="92"/>
    <s v="km/h"/>
    <s v="00:00:59"/>
    <n v="0.98333333333333328"/>
    <m/>
    <m/>
    <s v="Mombasa Road, Maji ya Chumvi, Mwavumbo ward, Kinango, Kwale, KE"/>
    <s v="Mombasa Road, Mariakani, Kaloleni, Kilifi County, KE"/>
    <s v="-3.7881, 39.3716"/>
    <s v="-3.7930, 39.3838"/>
    <n v="1.5"/>
    <n v="1"/>
  </r>
  <r>
    <x v="2"/>
    <x v="11"/>
    <x v="11"/>
    <x v="2"/>
    <d v="2025-12-16T16:44:39"/>
    <s v="Tue"/>
    <n v="2025"/>
    <x v="0"/>
    <x v="2"/>
    <d v="2025-12-16T16:45:09"/>
    <n v="103"/>
    <s v="km/h"/>
    <s v="00:00:30"/>
    <n v="0.5"/>
    <m/>
    <m/>
    <s v="Mombasa Road, Salama, Kilome, Makueni, KE"/>
    <s v="Mombasa Road, Salama, Kilome, Makueni, KE"/>
    <s v="-1.8217, 37.2389"/>
    <s v="-1.8281, 37.2421"/>
    <n v="0.8"/>
    <n v="1"/>
  </r>
  <r>
    <x v="2"/>
    <x v="9"/>
    <x v="9"/>
    <x v="2"/>
    <d v="2025-12-16T13:20:20"/>
    <s v="Tue"/>
    <n v="2025"/>
    <x v="0"/>
    <x v="2"/>
    <d v="2025-12-16T13:21:37"/>
    <n v="85"/>
    <s v="km/h"/>
    <s v="00:01:16"/>
    <n v="1.2666666666666666"/>
    <m/>
    <m/>
    <s v="Mombasa Road, Kibwezi East, Makueni, KE"/>
    <s v="Mombasa Road, Kibwezi East, Makueni, KE"/>
    <s v="-2.8889, 38.3543"/>
    <s v="-2.9020, 38.3642"/>
    <n v="1.8"/>
    <n v="1"/>
  </r>
  <r>
    <x v="2"/>
    <x v="41"/>
    <x v="42"/>
    <x v="2"/>
    <d v="2025-12-16T03:48:03"/>
    <s v="Tue"/>
    <n v="2025"/>
    <x v="0"/>
    <x v="2"/>
    <d v="2025-12-16T03:49:03"/>
    <n v="93"/>
    <s v="km/h"/>
    <s v="00:00:59"/>
    <n v="0.98333333333333328"/>
    <m/>
    <m/>
    <s v="Kisii-Kisumu Road, East Kadiang'a sublocation, Kabongo Kamuoso, South East Nyakach ward, Nyakach, Kisumu County, Nyanza, KE"/>
    <s v="Kisii-Kisumu Road, Thim, Kandaria sublocation, Dol, Central Nyakach ward, Nyakach, Kisumu County, Nyanza, KE"/>
    <s v="-0.3619, 35.0047"/>
    <s v="-0.3489, 35.0032"/>
    <n v="1.5"/>
    <n v="1"/>
  </r>
  <r>
    <x v="3"/>
    <x v="42"/>
    <x v="43"/>
    <x v="0"/>
    <d v="2025-12-16T00:36:00"/>
    <s v="Tue"/>
    <n v="2025"/>
    <x v="0"/>
    <x v="2"/>
    <d v="2025-12-16T02:09:34"/>
    <n v="52.1"/>
    <s v="km"/>
    <s v="01:33:34"/>
    <n v="93.566666666666663"/>
    <s v="Kiambu"/>
    <s v="Nairobi"/>
    <s v="Limuru-Maimahiu Road, Mai Mahiu sublocation, Lari/Kirenya ward, Lari, Kiambu, Central Kenya, 00221, Kenya"/>
    <s v="Total Energies - Opposite Garden City"/>
    <s v="-1.05284 , 36.6017"/>
    <s v="-1.23433 , 36.8732"/>
    <n v="51.905999999999999"/>
    <n v="1"/>
  </r>
  <r>
    <x v="0"/>
    <x v="43"/>
    <x v="44"/>
    <x v="0"/>
    <d v="2025-12-15T23:43:45"/>
    <s v="Mon"/>
    <n v="2025"/>
    <x v="0"/>
    <x v="2"/>
    <d v="2025-12-15T23:46:35"/>
    <n v="52.6"/>
    <s v="km"/>
    <s v="00:02:50"/>
    <n v="2.8333333333333335"/>
    <s v="Nairobi"/>
    <s v="Nairobi"/>
    <s v="Tusker Village, Kasarani sublocation, Ruaraka, Nairobi, Kasarani, Nairobi, 00620, Kenya"/>
    <s v="KBL FACTORY"/>
    <s v="-1.22983 , 36.88006"/>
    <s v="-1.23572 , 36.88117"/>
    <n v="0.79700000000000004"/>
    <n v="1"/>
  </r>
  <r>
    <x v="0"/>
    <x v="43"/>
    <x v="44"/>
    <x v="0"/>
    <d v="2025-12-15T23:00:01"/>
    <s v="Mon"/>
    <n v="2025"/>
    <x v="0"/>
    <x v="2"/>
    <d v="2025-12-15T23:41:09"/>
    <n v="50"/>
    <s v="km"/>
    <s v="00:41:08"/>
    <n v="41.133333333333333"/>
    <s v="Murang'a"/>
    <s v="Nairobi"/>
    <s v="Meru-Nairobi Highway, Kenol, Gatanga, Murang`a, Central Kenya, 01000, Kenya"/>
    <s v="DHL-Kasarani"/>
    <s v="-1.01244 , 37.07453"/>
    <s v="-1.21911 , 36.89208"/>
    <n v="31.202999999999999"/>
    <n v="1"/>
  </r>
  <r>
    <x v="2"/>
    <x v="4"/>
    <x v="4"/>
    <x v="2"/>
    <d v="2025-12-15T14:06:19"/>
    <s v="Mon"/>
    <n v="2025"/>
    <x v="0"/>
    <x v="2"/>
    <d v="2025-12-15T14:07:28"/>
    <n v="92"/>
    <s v="km/h"/>
    <s v="00:01:08"/>
    <n v="1.1333333333333333"/>
    <m/>
    <m/>
    <s v="Maanzoni Conservancy, A8, Kinanie ward, Mavoko, Machakos County, KE"/>
    <s v="Maanzoni Conservancy, A8, Kinanie ward, Mavoko, Machakos County, KE"/>
    <s v="-1.5232, 37.1180"/>
    <s v="-1.5151, 37.1054"/>
    <n v="1.7"/>
    <n v="1"/>
  </r>
  <r>
    <x v="0"/>
    <x v="44"/>
    <x v="45"/>
    <x v="1"/>
    <d v="2025-12-15T12:45:21"/>
    <s v="Mon"/>
    <n v="2025"/>
    <x v="0"/>
    <x v="2"/>
    <d v="2025-12-15T12:45:59"/>
    <n v="55"/>
    <s v="km/h"/>
    <s v="00:00:38"/>
    <n v="0.6333333333333333"/>
    <s v="Murang'a"/>
    <s v="Murang'a"/>
    <s v="C71, Kenol, Murang`a South, Murang`a, Central Kenya, Kenya"/>
    <s v="C71, Kenol, Murang`a South, Murang`a, Central Kenya, Kenya"/>
    <s v="-0.92741 , 37.12603"/>
    <s v="-0.9228 , 37.12674"/>
    <n v="0.5"/>
    <n v="1"/>
  </r>
  <r>
    <x v="3"/>
    <x v="45"/>
    <x v="46"/>
    <x v="1"/>
    <d v="2025-12-15T07:47:20"/>
    <s v="Mon"/>
    <n v="2025"/>
    <x v="0"/>
    <x v="2"/>
    <d v="2025-12-15T07:47:21"/>
    <n v="36"/>
    <s v="km/h"/>
    <s v="00:00:01"/>
    <n v="1.6666666666666666E-2"/>
    <s v="Kericho"/>
    <s v="Kericho"/>
    <s v="Muhoroni-Fort Ternan-Londiani Rd., Martamat, Kipkelion ward, Kipkelion West, Kericho, Rift Valley, Kenya"/>
    <s v="Muhoroni-Fort Ternan-Londiani Rd., Martamat, Kipkelion ward, Kipkelion West, Kericho, Rift Valley, Kenya"/>
    <s v="-0.14941 , 35.49399"/>
    <s v="-0.14942 , 35.49417"/>
    <n v="9.4E-2"/>
    <n v="1"/>
  </r>
  <r>
    <x v="1"/>
    <x v="14"/>
    <x v="47"/>
    <x v="0"/>
    <d v="2025-12-14T23:00:01"/>
    <s v="Sun"/>
    <n v="2025"/>
    <x v="0"/>
    <x v="2"/>
    <d v="2025-12-14T23:38:57"/>
    <n v="67"/>
    <s v="km"/>
    <s v="00:38:56"/>
    <n v="38.93333333333333"/>
    <s v="Murang'a"/>
    <s v="Nairobi"/>
    <s v="Meru-Nairobi Highway, Kenol, Gatanga, Murang`a, Central Kenya, 01000, Kenya"/>
    <s v="DHL-Kasarani"/>
    <s v="-1.00833 , 37.07694"/>
    <s v="-1.21903 , 36.89217"/>
    <n v="30.390999999999998"/>
    <n v="1"/>
  </r>
  <r>
    <x v="2"/>
    <x v="46"/>
    <x v="48"/>
    <x v="2"/>
    <d v="2025-12-14T06:21:16"/>
    <s v="Sun"/>
    <n v="2025"/>
    <x v="0"/>
    <x v="2"/>
    <d v="2025-12-14T06:23:27"/>
    <n v="92"/>
    <s v="km/h"/>
    <s v="00:02:10"/>
    <n v="2.1666666666666665"/>
    <m/>
    <m/>
    <s v="Naivasha-Mai Mahiu-Limuru Road, Mai Mahiu sublocation, Jikaze, Mai Mahiu ward, Naivasha, Nakuru, Rift Valley, 00221, KE"/>
    <s v="Naivasha-Mai Mahiu-Limuru Road, Mai Mahiu sublocation, Jikaze, Mai Mahiu ward, Naivasha, Nakuru, Rift Valley, 00221, KE"/>
    <s v="-0.9514, 36.5506"/>
    <s v="-0.9705, 36.5712"/>
    <n v="3.1"/>
    <n v="1"/>
  </r>
  <r>
    <x v="1"/>
    <x v="47"/>
    <x v="49"/>
    <x v="1"/>
    <d v="2025-12-13T10:16:32"/>
    <s v="Sat"/>
    <n v="2025"/>
    <x v="0"/>
    <x v="3"/>
    <d v="2025-12-13T10:16:32"/>
    <n v="35"/>
    <s v="km/h"/>
    <s v="00:00:00"/>
    <n v="0"/>
    <s v="Nairobi"/>
    <s v="Nairobi"/>
    <s v="Thika Road, Kasarani sublocation, Ruaraka, Nairobi, Kasarani, Nairobi, 00620, Kenya"/>
    <s v="Thika Road, Kasarani sublocation, Ruaraka, Nairobi, Kasarani, Nairobi, 00620, Kenya"/>
    <s v="-1.23822 , 36.87086"/>
    <s v="-1.23822 , 36.87086"/>
    <n v="0"/>
    <n v="1"/>
  </r>
  <r>
    <x v="1"/>
    <x v="48"/>
    <x v="50"/>
    <x v="0"/>
    <d v="2025-12-12T23:00:01"/>
    <s v="Fri"/>
    <n v="2025"/>
    <x v="0"/>
    <x v="3"/>
    <d v="2025-12-13T00:09:32"/>
    <n v="240.3"/>
    <s v="km"/>
    <s v="01:09:31"/>
    <n v="69.516666666666666"/>
    <s v="Machakos"/>
    <s v="Nairobi"/>
    <s v="Old Mombasa Road, Mlolongo, Syokimau-Mulolongo ward, Mavoko, Machakos, Eastern, 00519, Kenya"/>
    <s v="DHL KASARANI"/>
    <s v="-1.40167 , 36.94367"/>
    <s v="-1.22325 , 36.91094"/>
    <n v="34.688000000000002"/>
    <n v="1"/>
  </r>
  <r>
    <x v="1"/>
    <x v="48"/>
    <x v="50"/>
    <x v="1"/>
    <d v="2025-12-12T18:47:27"/>
    <s v="Fri"/>
    <n v="2025"/>
    <x v="0"/>
    <x v="3"/>
    <d v="2025-12-12T18:47:27"/>
    <n v="35"/>
    <s v="km/h"/>
    <s v="00:00:00"/>
    <n v="0"/>
    <s v="Makueni"/>
    <s v="Makueni"/>
    <s v="Mombasa Road, Makindu, Kibwezi West, Makueni, Eastern, Kenya"/>
    <s v="Mombasa Road, Makindu, Kibwezi West, Makueni, Eastern, Kenya"/>
    <s v="-2.29261 , 37.83094"/>
    <s v="-2.29261 , 37.83094"/>
    <n v="0"/>
    <n v="1"/>
  </r>
  <r>
    <x v="1"/>
    <x v="48"/>
    <x v="50"/>
    <x v="1"/>
    <d v="2025-12-12T18:47:16"/>
    <s v="Fri"/>
    <n v="2025"/>
    <x v="0"/>
    <x v="3"/>
    <d v="2025-12-12T18:47:16"/>
    <n v="37"/>
    <s v="km/h"/>
    <s v="00:00:00"/>
    <n v="0"/>
    <s v="Makueni"/>
    <s v="Makueni"/>
    <s v="Mombasa Road, Makindu, Kibwezi West, Makueni, Eastern, Kenya"/>
    <s v="Mombasa Road, Makindu, Kibwezi West, Makueni, Eastern, Kenya"/>
    <s v="-2.29336 , 37.83161"/>
    <s v="-2.29336 , 37.83161"/>
    <n v="9.4E-2"/>
    <n v="1"/>
  </r>
  <r>
    <x v="2"/>
    <x v="49"/>
    <x v="51"/>
    <x v="2"/>
    <d v="2025-12-12T18:02:31"/>
    <s v="Fri"/>
    <n v="2025"/>
    <x v="0"/>
    <x v="3"/>
    <d v="2025-12-12T18:04:10"/>
    <n v="100"/>
    <s v="km/h"/>
    <s v="00:01:38"/>
    <n v="1.6333333333333333"/>
    <m/>
    <m/>
    <s v="Kisii-Kisumu Road, East Kadiang'a sublocation, Kabongo Kamuoso, South East Nyakach ward, Nyakach, Kisumu County, Nyanza, KE"/>
    <s v="Kisii-Kisumu Road, Thim, Kandaria sublocation, Dol, Central Nyakach ward, Nyakach, Kisumu County, Nyanza, KE"/>
    <s v="-0.3693, 35.0011"/>
    <s v="-0.3476, 35.0034"/>
    <n v="2.4"/>
    <n v="1"/>
  </r>
  <r>
    <x v="1"/>
    <x v="26"/>
    <x v="27"/>
    <x v="1"/>
    <d v="2025-12-12T17:06:39"/>
    <s v="Fri"/>
    <n v="2025"/>
    <x v="0"/>
    <x v="3"/>
    <d v="2025-12-12T17:06:42"/>
    <n v="38"/>
    <s v="km/h"/>
    <s v="00:00:03"/>
    <n v="0.05"/>
    <s v="Makueni"/>
    <s v="Makueni"/>
    <s v="Mombasa Road, Salama, Kilome, Makueni, Eastern, Kenya"/>
    <s v="Mombasa Road, Salama, Kilome, Makueni, Eastern, Kenya"/>
    <s v="-1.77586 , 37.21061"/>
    <s v="-1.7755 , 37.2105"/>
    <n v="0"/>
    <n v="1"/>
  </r>
  <r>
    <x v="2"/>
    <x v="3"/>
    <x v="3"/>
    <x v="2"/>
    <d v="2025-12-12T13:34:53"/>
    <s v="Fri"/>
    <n v="2025"/>
    <x v="0"/>
    <x v="3"/>
    <d v="2025-12-12T13:36:03"/>
    <n v="93"/>
    <s v="km/h"/>
    <s v="00:01:09"/>
    <n v="1.1499999999999999"/>
    <m/>
    <m/>
    <s v="Mombasa Road, Mua ward, Machakos Town, Machakos County, KE"/>
    <s v="Mombasa Road, Mua ward, Machakos Town, Machakos County, KE"/>
    <s v="-1.5793, 37.1565"/>
    <s v="-1.5932, 37.1633"/>
    <n v="1.7"/>
    <n v="1"/>
  </r>
  <r>
    <x v="2"/>
    <x v="35"/>
    <x v="36"/>
    <x v="2"/>
    <d v="2025-12-12T12:19:29"/>
    <s v="Fri"/>
    <n v="2025"/>
    <x v="0"/>
    <x v="3"/>
    <d v="2025-12-12T12:20:19"/>
    <n v="90"/>
    <s v="km/h"/>
    <s v="00:00:49"/>
    <n v="0.81666666666666665"/>
    <m/>
    <m/>
    <s v="Mombasa Road, Mua ward, Machakos Town, Machakos County, KE"/>
    <s v="Mombasa Road, Mua ward, Machakos Town, Machakos County, KE"/>
    <s v="-1.5823, 37.1579"/>
    <s v="-1.5923, 37.1628"/>
    <n v="1.2"/>
    <n v="1"/>
  </r>
  <r>
    <x v="1"/>
    <x v="48"/>
    <x v="50"/>
    <x v="1"/>
    <d v="2025-12-12T12:03:06"/>
    <s v="Fri"/>
    <n v="2025"/>
    <x v="0"/>
    <x v="3"/>
    <d v="2025-12-12T12:03:20"/>
    <n v="36"/>
    <s v="km/h"/>
    <s v="00:00:14"/>
    <n v="0.23333333333333334"/>
    <s v="Taita-Taveta"/>
    <s v="Taita-Taveta"/>
    <s v="Mombasa Road, Mackinnon Road, Mackinon Road ward, Voi, Kwale, Coastal Kenya, Kenya"/>
    <s v="Mombasa Road, Mackinnon Road, Mackinon Road ward, Voi, Kwale, Coastal Kenya, Kenya"/>
    <s v="-3.60567 , 38.83136"/>
    <s v="-3.60503 , 38.83017"/>
    <n v="0.188"/>
    <n v="1"/>
  </r>
  <r>
    <x v="1"/>
    <x v="48"/>
    <x v="50"/>
    <x v="1"/>
    <d v="2025-12-12T09:44:30"/>
    <s v="Fri"/>
    <n v="2025"/>
    <x v="0"/>
    <x v="3"/>
    <d v="2025-12-12T09:44:37"/>
    <n v="33"/>
    <s v="km/h"/>
    <s v="00:00:07"/>
    <n v="0.11666666666666667"/>
    <s v="Kilifi"/>
    <s v="Kilifi"/>
    <s v="Mombasa Road, Mariakani ward, Kaloleni, Kilifi, Coastal Kenya, Kenya"/>
    <s v="Mombasa Road, Mariakani ward, Kaloleni, Kilifi, Coastal Kenya, Kenya"/>
    <s v="-3.89483 , 39.50142"/>
    <s v="-3.89419 , 39.50133"/>
    <n v="9.4E-2"/>
    <n v="1"/>
  </r>
  <r>
    <x v="0"/>
    <x v="29"/>
    <x v="31"/>
    <x v="2"/>
    <d v="2025-12-11T16:06:13"/>
    <s v="Thu"/>
    <n v="2025"/>
    <x v="0"/>
    <x v="3"/>
    <d v="2025-12-11T16:06:14"/>
    <n v="82"/>
    <s v="km/h"/>
    <s v="00:00:01"/>
    <n v="1.6666666666666666E-2"/>
    <s v="Kirinyaga"/>
    <s v="Kirinyaga"/>
    <s v="A2, Mwea West, Kirinyaga, Central Kenya, Kenya"/>
    <s v="A2, Mwea West, Kirinyaga, Central Kenya, Kenya"/>
    <s v="-0.74916 , 37.27652"/>
    <s v="-0.74876 , 37.27649"/>
    <n v="0.125"/>
    <n v="1"/>
  </r>
  <r>
    <x v="3"/>
    <x v="50"/>
    <x v="52"/>
    <x v="1"/>
    <d v="2025-12-11T12:32:51"/>
    <s v="Thu"/>
    <n v="2025"/>
    <x v="0"/>
    <x v="3"/>
    <d v="2025-12-11T12:32:52"/>
    <n v="31"/>
    <s v="km/h"/>
    <s v="00:00:01"/>
    <n v="1.6666666666666666E-2"/>
    <s v="Machakos"/>
    <s v="Machakos"/>
    <s v="Mombasa Road, South C ward, Mlolongo, Syokimau-Mulolongo ward, Mavoko, Machakos, Eastern, 00603, Kenya"/>
    <s v="Mombasa Road, South C ward, Mlolongo, Syokimau-Mulolongo ward, Mavoko, Machakos, Eastern, 00603, Kenya"/>
    <s v="-1.40439 , 36.9456"/>
    <s v="-1.40454 , 36.94568"/>
    <n v="0"/>
    <n v="1"/>
  </r>
  <r>
    <x v="1"/>
    <x v="51"/>
    <x v="53"/>
    <x v="1"/>
    <d v="2025-12-11T12:06:32"/>
    <s v="Thu"/>
    <n v="2025"/>
    <x v="0"/>
    <x v="3"/>
    <d v="2025-12-11T12:06:32"/>
    <n v="54"/>
    <s v="km/h"/>
    <s v="00:00:00"/>
    <n v="0"/>
    <s v="Murang'a"/>
    <s v="Murang'a"/>
    <s v="C71, Kenol, Kandara, Murang`a, Central Kenya, Kenya"/>
    <s v="C71, Kenol, Kandara, Murang`a, Central Kenya, Kenya"/>
    <s v="-0.91911 , 37.12703"/>
    <s v="-0.91911 , 37.12703"/>
    <n v="0"/>
    <n v="1"/>
  </r>
  <r>
    <x v="3"/>
    <x v="52"/>
    <x v="54"/>
    <x v="1"/>
    <d v="2025-12-10T21:09:18"/>
    <s v="Wed"/>
    <n v="2025"/>
    <x v="0"/>
    <x v="3"/>
    <d v="2025-12-10T21:09:40"/>
    <n v="36"/>
    <s v="km/h"/>
    <s v="00:00:22"/>
    <n v="0.36666666666666664"/>
    <s v="Nakuru"/>
    <s v="Nakuru"/>
    <s v="Nakuru-Eldoret Rd., Sumeek sublocation, Kimanyi A, Molo ward, Molo, Nakuru, Rift Valley, Kenya"/>
    <s v="Nakuru-Eldoret Rd., Sumeek sublocation, Kimanyi A, Molo ward, Molo, Nakuru, Rift Valley, Kenya"/>
    <s v="-0.20468 , 35.8053"/>
    <s v="-0.20469 , 35.80716"/>
    <n v="0.29699999999999999"/>
    <n v="1"/>
  </r>
  <r>
    <x v="1"/>
    <x v="48"/>
    <x v="50"/>
    <x v="1"/>
    <d v="2025-12-10T19:44:22"/>
    <s v="Wed"/>
    <n v="2025"/>
    <x v="0"/>
    <x v="3"/>
    <d v="2025-12-10T19:44:25"/>
    <n v="38"/>
    <s v="km/h"/>
    <s v="00:00:03"/>
    <n v="0.05"/>
    <s v="Taita-Taveta"/>
    <s v="Makueni"/>
    <s v="Mombasa Road, Wundanyi, Taita Taveta, Coastal Kenya, Kenya"/>
    <s v="Mombasa Road, Wundanyi, Taita Taveta, Coastal Kenya, Kenya"/>
    <s v="-2.97253 , 38.44719"/>
    <s v="-2.97278 , 38.44747"/>
    <n v="0"/>
    <n v="1"/>
  </r>
  <r>
    <x v="1"/>
    <x v="1"/>
    <x v="55"/>
    <x v="2"/>
    <d v="2025-12-10T19:31:12"/>
    <s v="Wed"/>
    <n v="2025"/>
    <x v="0"/>
    <x v="3"/>
    <d v="2025-12-10T19:31:14"/>
    <n v="81"/>
    <s v="km/h"/>
    <s v="00:00:02"/>
    <n v="3.3333333333333333E-2"/>
    <s v="Kiambu"/>
    <s v="Kiambu"/>
    <s v="Eldoret-Malaba Road, Gatimu sublocation, Sigona ward, Kikuyu, Kiambu, Central Kenya, 00217, Kenya"/>
    <s v="Eldoret-Malaba Road, Gatimu sublocation, Sigona ward, Kikuyu, Kiambu, Central Kenya, 00217, Kenya"/>
    <s v="-1.18267 , 36.64544"/>
    <s v="-1.18342 , 36.64581"/>
    <n v="0.125"/>
    <n v="1"/>
  </r>
  <r>
    <x v="1"/>
    <x v="1"/>
    <x v="55"/>
    <x v="2"/>
    <d v="2025-12-10T19:30:52"/>
    <s v="Wed"/>
    <n v="2025"/>
    <x v="0"/>
    <x v="3"/>
    <d v="2025-12-10T19:30:58"/>
    <n v="83"/>
    <s v="km/h"/>
    <s v="00:00:06"/>
    <n v="0.1"/>
    <s v="Kiambu"/>
    <s v="Kiambu"/>
    <s v="Eldoret-Malaba Road, Gatimu sublocation, Sigona ward, Kikuyu, Kiambu, Central Kenya, 00217, Kenya"/>
    <s v="Eldoret-Malaba Road, Gatimu sublocation, Sigona ward, Kikuyu, Kiambu, Central Kenya, 00217, Kenya"/>
    <s v="-1.17908 , 36.64369"/>
    <s v="-1.18022 , 36.64425"/>
    <n v="0.125"/>
    <n v="1"/>
  </r>
  <r>
    <x v="1"/>
    <x v="53"/>
    <x v="56"/>
    <x v="2"/>
    <d v="2025-12-10T15:28:06"/>
    <s v="Wed"/>
    <n v="2025"/>
    <x v="0"/>
    <x v="3"/>
    <d v="2025-12-10T15:28:07"/>
    <n v="82"/>
    <s v="km/h"/>
    <s v="00:00:01"/>
    <n v="1.6666666666666666E-2"/>
    <s v="Nairobi"/>
    <s v="Nairobi"/>
    <s v="Thika Road, Kasarani sublocation, Nairobi, Kasarani, Nairobi, 00620, Kenya"/>
    <s v="Thika Road, Garden sublocation, Babadogo ward, Kasarani, Nairobi, 00620, Kenya"/>
    <s v="-1.23847 , 36.87061"/>
    <s v="-1.23883 , 36.87044"/>
    <n v="0"/>
    <n v="1"/>
  </r>
  <r>
    <x v="3"/>
    <x v="54"/>
    <x v="57"/>
    <x v="3"/>
    <d v="2025-12-10T13:58:03"/>
    <s v="Wed"/>
    <n v="2025"/>
    <x v="0"/>
    <x v="3"/>
    <d v="2025-12-10T13:58:04"/>
    <n v="20"/>
    <s v="km/h/s"/>
    <s v="00:00:01"/>
    <n v="1.6666666666666666E-2"/>
    <s v="Nakuru"/>
    <m/>
    <s v="Geoffery Kamau Avenue, Milimani Estate, Afraha sublocation, Railways Quaters, London ward, Nakuru West, Nakuru, Rift Valley, 20100, Kenya"/>
    <m/>
    <s v="-0.28473 , 36.06548"/>
    <m/>
    <n v="0"/>
    <n v="1"/>
  </r>
  <r>
    <x v="0"/>
    <x v="55"/>
    <x v="58"/>
    <x v="1"/>
    <d v="2025-12-10T13:26:16"/>
    <s v="Wed"/>
    <n v="2025"/>
    <x v="0"/>
    <x v="3"/>
    <d v="2025-12-10T13:26:18"/>
    <n v="36"/>
    <s v="km/h"/>
    <s v="00:00:02"/>
    <n v="3.3333333333333333E-2"/>
    <s v="Kiambu"/>
    <s v="Kiambu"/>
    <s v="Thika Road, Kihunguro, Biashara ward, Ruiru, Kiambu, Central Kenya, 01001, Kenya"/>
    <s v="Thika Road, Ruiru, Kiambu, Central Kenya, Kenya"/>
    <s v="-1.16189 , 36.95808"/>
    <s v="-1.16169 , 36.95814"/>
    <n v="0"/>
    <n v="1"/>
  </r>
  <r>
    <x v="1"/>
    <x v="56"/>
    <x v="29"/>
    <x v="1"/>
    <d v="2025-12-10T13:23:06"/>
    <s v="Wed"/>
    <n v="2025"/>
    <x v="0"/>
    <x v="3"/>
    <d v="2025-12-10T13:23:18"/>
    <n v="40"/>
    <s v="km/h"/>
    <s v="00:00:12"/>
    <n v="0.2"/>
    <s v="Nakuru"/>
    <s v="Nakuru"/>
    <s v="Nairobi-Nakuru Road, weigh bridge, Gilgil ward, Gilgil, Nakuru, Rift Valley, Kenya"/>
    <s v="Nairobi-Nakuru Road, weigh bridge, Gilgil ward, Gilgil, Nakuru, Rift Valley, Kenya"/>
    <s v="-0.57286 , 36.36208"/>
    <s v="-0.57375 , 36.36289"/>
    <n v="6.2E-2"/>
    <n v="1"/>
  </r>
  <r>
    <x v="1"/>
    <x v="56"/>
    <x v="29"/>
    <x v="1"/>
    <d v="2025-12-10T11:07:41"/>
    <s v="Wed"/>
    <n v="2025"/>
    <x v="0"/>
    <x v="3"/>
    <d v="2025-12-10T11:07:41"/>
    <n v="39"/>
    <s v="km/h"/>
    <s v="00:00:00"/>
    <n v="0"/>
    <s v="Nakuru"/>
    <s v="Nakuru"/>
    <s v="Old Nairobi Road, Lanet, Free Area, Menengai ward, Nakuru, Nakuru East, Nakuru, Rift Valley, 20100, Kenya"/>
    <s v="Old Nairobi Road, Lanet, Free Area, Menengai ward, Nakuru, Nakuru East, Nakuru, Rift Valley, 20100, Kenya"/>
    <s v="-0.29892 , 36.13711"/>
    <s v="-0.29892 , 36.13711"/>
    <n v="0"/>
    <n v="1"/>
  </r>
  <r>
    <x v="2"/>
    <x v="57"/>
    <x v="59"/>
    <x v="2"/>
    <d v="2025-12-09T20:18:38"/>
    <s v="Tue"/>
    <n v="2025"/>
    <x v="0"/>
    <x v="3"/>
    <d v="2025-12-09T20:19:09"/>
    <n v="93"/>
    <s v="km/h"/>
    <s v="00:00:31"/>
    <n v="0.51666666666666672"/>
    <m/>
    <m/>
    <s v="Kakamega-Kitale Road, Matulo ward, Webuye West, Bungoma County, Western, KE"/>
    <s v="Kakamega-Kitale Road, Matulo ward, Webuye West, Bungoma County, Western, KE"/>
    <s v="0.6460, 34.7589"/>
    <s v="0.6379, 34.7576"/>
    <n v="0.9"/>
    <n v="1"/>
  </r>
  <r>
    <x v="1"/>
    <x v="56"/>
    <x v="29"/>
    <x v="1"/>
    <d v="2025-12-09T20:15:29"/>
    <s v="Tue"/>
    <n v="2025"/>
    <x v="0"/>
    <x v="3"/>
    <d v="2025-12-09T20:16:10"/>
    <n v="43"/>
    <s v="km/h"/>
    <s v="00:00:41"/>
    <n v="0.68333333333333335"/>
    <s v="Kericho"/>
    <s v="Kericho"/>
    <s v="Kericho-Kisumu Highway, Kochogo North sublocation, Awasi, Soin ward, Sigowet/Soin, Kericho, Rift Valley, Kenya"/>
    <s v="Kericho-Kisumu Highway, Kochogo North sublocation, Awasi, Soin ward, Sigowet/Soin, Kericho, Rift Valley, Kenya"/>
    <s v="-0.20525 , 35.15153"/>
    <s v="-0.20969 , 35.15231"/>
    <n v="0.5"/>
    <n v="1"/>
  </r>
  <r>
    <x v="1"/>
    <x v="56"/>
    <x v="29"/>
    <x v="1"/>
    <d v="2025-12-09T17:01:49"/>
    <s v="Tue"/>
    <n v="2025"/>
    <x v="0"/>
    <x v="3"/>
    <d v="2025-12-09T17:02:07"/>
    <n v="41"/>
    <s v="km/h"/>
    <s v="00:00:18"/>
    <n v="0.3"/>
    <s v="Siaya"/>
    <s v="Siaya"/>
    <s v="Kisumu-Busia Highway, Umiru Town C, Yala Township ward, Gem, Siaya, Kenya"/>
    <s v="Kisumu-Busia Highway, Umiru Town C, Yala Township ward, Gem, Siaya, Kenya"/>
    <s v="0.09494 , 34.527"/>
    <s v="0.094 , 34.52861"/>
    <n v="0.188"/>
    <n v="1"/>
  </r>
  <r>
    <x v="2"/>
    <x v="58"/>
    <x v="60"/>
    <x v="2"/>
    <d v="2025-12-09T09:21:58"/>
    <s v="Tue"/>
    <n v="2025"/>
    <x v="0"/>
    <x v="3"/>
    <d v="2025-12-09T09:22:30"/>
    <n v="105"/>
    <s v="km/h"/>
    <s v="00:00:31"/>
    <n v="0.51666666666666672"/>
    <m/>
    <m/>
    <s v="Limuru Road, Redhill, Kabuku, Ngecha Tigoni ward, Limuru, Kiambu, 00217, KE"/>
    <s v="Limuru Road, Redhill, Kabuku, Ngecha Tigoni ward, Limuru, Kiambu, 00217, KE"/>
    <s v="-1.1745, 36.7140"/>
    <s v="-1.1781, 36.7227"/>
    <n v="1"/>
    <n v="1"/>
  </r>
  <r>
    <x v="2"/>
    <x v="38"/>
    <x v="39"/>
    <x v="2"/>
    <d v="2025-12-08T20:00:43"/>
    <s v="Mon"/>
    <n v="2025"/>
    <x v="0"/>
    <x v="3"/>
    <d v="2025-12-08T20:01:13"/>
    <n v="110"/>
    <s v="km/h"/>
    <s v="00:00:29"/>
    <n v="0.48333333333333334"/>
    <m/>
    <m/>
    <s v="Eldoret-Nakuru Road, Tarakwa ward, Kesses, Uasin Gishu County, KE"/>
    <s v="Eldoret-Nakuru Road, Tarakwa ward, Kesses, Uasin Gishu County, KE"/>
    <s v="0.0998, 35.4935"/>
    <s v="0.0990, 35.4864"/>
    <n v="0.8"/>
    <n v="1"/>
  </r>
  <r>
    <x v="0"/>
    <x v="59"/>
    <x v="61"/>
    <x v="1"/>
    <d v="2025-12-08T15:35:38"/>
    <s v="Mon"/>
    <n v="2025"/>
    <x v="0"/>
    <x v="3"/>
    <d v="2025-12-08T15:35:42"/>
    <n v="36"/>
    <s v="km/h"/>
    <s v="00:00:04"/>
    <n v="6.6666666666666666E-2"/>
    <s v="Kiambu"/>
    <s v="Kiambu"/>
    <s v="Thika Road, Clay City sublocation, Kasarani, Mwiki ward, Ruiru, Kiambu, Central Kenya, 00608, Kenya"/>
    <s v="Thika Road, Clay City sublocation, Kasarani, Mwiki ward, Ruiru, Kiambu, Central Kenya, 00608, Kenya"/>
    <s v="-1.20766 , 36.91355"/>
    <s v="-1.20802 , 36.91328"/>
    <n v="0"/>
    <n v="1"/>
  </r>
  <r>
    <x v="1"/>
    <x v="56"/>
    <x v="29"/>
    <x v="1"/>
    <d v="2025-12-08T13:50:54"/>
    <s v="Mon"/>
    <n v="2025"/>
    <x v="0"/>
    <x v="3"/>
    <d v="2025-12-08T13:50:58"/>
    <n v="41"/>
    <s v="km/h"/>
    <s v="00:00:04"/>
    <n v="6.6666666666666666E-2"/>
    <s v="Kisumu"/>
    <s v="Kisumu"/>
    <s v="Kisumu-Busia Road, Korando B sublocation, Central Kisumu ward, Kisumu, City of Kisumu, Kisumu West, Kisumu, Nyanza, 40100, Kenya"/>
    <s v="Kisumu-Busia Road, Korando B sublocation, Central Kisumu ward, Kisumu, City of Kisumu, Kisumu West, Kisumu, Nyanza, 40100, Kenya"/>
    <s v="-0.07089 , 34.66819"/>
    <s v="-0.07092 , 34.66767"/>
    <n v="0.125"/>
    <n v="1"/>
  </r>
  <r>
    <x v="2"/>
    <x v="9"/>
    <x v="9"/>
    <x v="2"/>
    <d v="2025-12-08T12:05:34"/>
    <s v="Mon"/>
    <n v="2025"/>
    <x v="0"/>
    <x v="3"/>
    <d v="2025-12-08T12:05:49"/>
    <n v="82"/>
    <s v="km/h"/>
    <s v="00:00:14"/>
    <n v="0.23333333333333334"/>
    <m/>
    <m/>
    <s v="Naivasha-Mai Mahiu-Limuru Rd., Longonot sublocation, Astu, Hells Gate ward, Naivasha, Nakuru, Rift Valley, KE"/>
    <s v="Naivasha-Mai Mahiu-Limuru Rd., Longonot sublocation, Astu, Hells Gate ward, Naivasha, Nakuru, Rift Valley, KE"/>
    <s v="-0.8659, 36.4824"/>
    <s v="-0.8621, 36.4813"/>
    <n v="0.4"/>
    <n v="1"/>
  </r>
  <r>
    <x v="0"/>
    <x v="0"/>
    <x v="0"/>
    <x v="0"/>
    <d v="2025-12-08T03:57:35"/>
    <s v="Mon"/>
    <n v="2025"/>
    <x v="0"/>
    <x v="3"/>
    <d v="2025-12-08T03:59:58"/>
    <n v="5.5"/>
    <s v="km"/>
    <s v="00:02:23"/>
    <n v="2.3833333333333333"/>
    <s v="Nairobi"/>
    <s v="Nairobi"/>
    <s v="Thika Road, Clay City sublocation, Clay City ward, Kasarani, Nairobi, 00608, Kenya"/>
    <s v="Thika Road, Zimmerman, Nairobi, Kasarani, Nairobi, 00608, Kenya"/>
    <s v="-1.21894 , 36.89212"/>
    <s v="-1.20916 , 36.91167"/>
    <n v="2.5"/>
    <n v="1"/>
  </r>
  <r>
    <x v="0"/>
    <x v="0"/>
    <x v="0"/>
    <x v="3"/>
    <d v="2025-12-07T17:50:36"/>
    <s v="Sun"/>
    <n v="2025"/>
    <x v="0"/>
    <x v="3"/>
    <d v="2025-12-07T17:50:37"/>
    <n v="16"/>
    <s v="km/h/s"/>
    <s v="00:00:01"/>
    <n v="1.6666666666666666E-2"/>
    <s v="Kiambu"/>
    <m/>
    <s v="Thika Road, Nairobi, Kasarani, Nairobi, 00608, Kenya"/>
    <m/>
    <s v="-1.2003 , 36.92007"/>
    <m/>
    <n v="0"/>
    <n v="1"/>
  </r>
  <r>
    <x v="2"/>
    <x v="30"/>
    <x v="32"/>
    <x v="2"/>
    <d v="2025-12-07T14:19:53"/>
    <s v="Sun"/>
    <n v="2025"/>
    <x v="0"/>
    <x v="3"/>
    <d v="2025-12-07T14:20:26"/>
    <n v="88"/>
    <s v="km/h"/>
    <s v="00:00:32"/>
    <n v="0.53333333333333333"/>
    <m/>
    <m/>
    <s v="Kisumu Road, Ngeria ward, Kapseret, Uasin Gishu County, KE"/>
    <s v="Eldoret Kapsabet Road, Musoriot, Lelmoko/Ngechek ward, Chesumei, Nandi County, Rift Valley, KE"/>
    <s v="0.3953, 35.2058"/>
    <s v="0.3936, 35.1977"/>
    <n v="0.9"/>
    <n v="1"/>
  </r>
  <r>
    <x v="2"/>
    <x v="3"/>
    <x v="3"/>
    <x v="2"/>
    <d v="2025-12-07T13:28:13"/>
    <s v="Sun"/>
    <n v="2025"/>
    <x v="0"/>
    <x v="3"/>
    <d v="2025-12-07T13:29:23"/>
    <n v="90"/>
    <s v="km/h"/>
    <s v="00:01:10"/>
    <n v="1.1666666666666667"/>
    <m/>
    <m/>
    <s v="Mombasa Road, Mua ward, Machakos Town, Machakos County, KE"/>
    <s v="Mombasa Road, Mua ward, Machakos Town, Machakos County, KE"/>
    <s v="-1.5791, 37.1563"/>
    <s v="-1.5927, 37.1630"/>
    <n v="1.7"/>
    <n v="1"/>
  </r>
  <r>
    <x v="0"/>
    <x v="60"/>
    <x v="62"/>
    <x v="1"/>
    <d v="2025-12-07T11:58:53"/>
    <s v="Sun"/>
    <n v="2025"/>
    <x v="0"/>
    <x v="3"/>
    <d v="2025-12-07T11:59:00"/>
    <n v="62"/>
    <s v="km/h"/>
    <s v="00:00:07"/>
    <n v="0.11666666666666667"/>
    <s v="Kiambu"/>
    <s v="Kiambu"/>
    <s v="Thika Road, Kalimoni ward, Juja, Kiambu, Central Kenya, 01001, Kenya"/>
    <s v="Thika Road, Kalimoni ward, Juja, Kiambu, Central Kenya, 01001, Kenya"/>
    <s v="-1.1291 , 36.99766"/>
    <s v="-1.12934 , 36.99648"/>
    <n v="0.109"/>
    <n v="1"/>
  </r>
  <r>
    <x v="2"/>
    <x v="61"/>
    <x v="63"/>
    <x v="0"/>
    <d v="2025-12-07T03:26:47"/>
    <s v="Sun"/>
    <n v="2025"/>
    <x v="0"/>
    <x v="3"/>
    <d v="2025-12-07T03:51:01"/>
    <m/>
    <m/>
    <s v="00:24:14"/>
    <n v="24.233333333333334"/>
    <m/>
    <m/>
    <s v="Suswa W/B weighing room &amp; Duty manager's office, Kaplong-Narok-Maai Road, Sattelite sublocation, Kitet B, Mai Mahiu ward, Naivasha, Nakuru, Rift Valley, KE"/>
    <s v="Rubis, Limuru-Maimahiu Road, Mai Mahiu sublocation, Mai Mahiu ward, Naivasha, Nakuru, Rift Valley, 00221, KE"/>
    <s v="-1.0119, 36.4936"/>
    <s v="-0.9842, 36.5878"/>
    <n v="11.3"/>
    <n v="1"/>
  </r>
  <r>
    <x v="3"/>
    <x v="54"/>
    <x v="57"/>
    <x v="3"/>
    <d v="2025-12-06T20:49:24"/>
    <s v="Sat"/>
    <n v="2025"/>
    <x v="0"/>
    <x v="4"/>
    <d v="2025-12-06T20:49:25"/>
    <n v="24"/>
    <s v="km/h/s"/>
    <s v="00:00:01"/>
    <n v="1.6666666666666666E-2"/>
    <s v="Nakuru"/>
    <m/>
    <s v="Naivasha-Mai Mahiu-Limuru Road, Longonot sublocation, Jikaze, Mai Mahiu ward, Naivasha, Nakuru, Rift Valley, 00221, Kenya"/>
    <m/>
    <s v="-0.88935 , 36.50159"/>
    <m/>
    <n v="0"/>
    <n v="1"/>
  </r>
  <r>
    <x v="1"/>
    <x v="12"/>
    <x v="55"/>
    <x v="1"/>
    <d v="2025-12-05T17:30:06"/>
    <s v="Fri"/>
    <n v="2025"/>
    <x v="0"/>
    <x v="4"/>
    <d v="2025-12-05T17:30:09"/>
    <n v="35"/>
    <s v="km/h"/>
    <s v="00:00:03"/>
    <n v="0.05"/>
    <s v="Machakos"/>
    <s v="Machakos"/>
    <s v="Mombasa Road, Mua ward, Machakos Town, Machakos, Eastern, Kenya"/>
    <s v="Mombasa Road, Mua ward, Machakos Town, Machakos, Eastern, Kenya"/>
    <s v="-1.56842 , 37.15119"/>
    <s v="-1.56797 , 37.15103"/>
    <n v="9.8000000000000004E-2"/>
    <n v="1"/>
  </r>
  <r>
    <x v="2"/>
    <x v="62"/>
    <x v="64"/>
    <x v="2"/>
    <d v="2025-12-05T16:46:53"/>
    <s v="Fri"/>
    <n v="2025"/>
    <x v="0"/>
    <x v="4"/>
    <d v="2025-12-05T16:47:38"/>
    <n v="92"/>
    <s v="km/h"/>
    <s v="00:00:45"/>
    <n v="0.75"/>
    <m/>
    <m/>
    <s v="Eldoret-Kitale Road, Moi's Bridge ward, Kiminini, Trans-Nzoia County, KE"/>
    <s v="Eldoret-Kitale Road, Moi's Bridge ward, Kiminini, Trans-Nzoia County, KE"/>
    <s v="0.9159, 35.0914"/>
    <s v="0.9058, 35.0956"/>
    <n v="1.2"/>
    <n v="1"/>
  </r>
  <r>
    <x v="1"/>
    <x v="63"/>
    <x v="65"/>
    <x v="4"/>
    <d v="2025-12-05T15:36:30"/>
    <s v="Fri"/>
    <n v="2025"/>
    <x v="0"/>
    <x v="4"/>
    <d v="2025-12-05T15:36:30"/>
    <n v="11"/>
    <s v="km/h/s"/>
    <s v="00:00:00"/>
    <n v="0"/>
    <s v="Makueni"/>
    <s v="Makueni"/>
    <s v="Mombasa Road, Salama, Kilome, Makueni, Eastern, Kenya"/>
    <s v="Mombasa Road, Salama, Kilome, Makueni, Eastern, Kenya"/>
    <s v="-1.86611 , 37.26458"/>
    <s v="-1.86611 , 37.26458"/>
    <n v="0"/>
    <n v="1"/>
  </r>
  <r>
    <x v="1"/>
    <x v="26"/>
    <x v="66"/>
    <x v="1"/>
    <d v="2025-12-05T14:29:41"/>
    <s v="Fri"/>
    <n v="2025"/>
    <x v="0"/>
    <x v="4"/>
    <d v="2025-12-05T14:29:50"/>
    <n v="46"/>
    <s v="km/h"/>
    <s v="00:00:09"/>
    <n v="0.15"/>
    <s v="Kiambu"/>
    <s v="Kiambu"/>
    <s v="Limuru Road, Redhill, Kabuku, Ngecha Tigoni ward, Limuru, Kiambu, Central Kenya, 00217, Kenya"/>
    <s v="Limuru Road, Redhill, Kabuku, Ngecha Tigoni ward, Limuru, Kiambu, Central Kenya, 00217, Kenya"/>
    <s v="-1.134 , 36.65164"/>
    <s v="-1.13372 , 36.65267"/>
    <n v="6.2E-2"/>
    <n v="1"/>
  </r>
  <r>
    <x v="2"/>
    <x v="35"/>
    <x v="36"/>
    <x v="2"/>
    <d v="2025-12-05T13:16:22"/>
    <s v="Fri"/>
    <n v="2025"/>
    <x v="0"/>
    <x v="4"/>
    <d v="2025-12-05T13:17:32"/>
    <n v="96"/>
    <s v="km/h"/>
    <s v="00:01:10"/>
    <n v="1.1666666666666667"/>
    <m/>
    <m/>
    <s v="Mombasa Road, Mua ward, Machakos Town, Machakos County, KE"/>
    <s v="Mombasa Road, Mua ward, Machakos Town, Machakos County, KE"/>
    <s v="-1.5800, 37.1568"/>
    <s v="-1.5942, 37.1637"/>
    <n v="1.8"/>
    <n v="1"/>
  </r>
  <r>
    <x v="1"/>
    <x v="12"/>
    <x v="55"/>
    <x v="1"/>
    <d v="2025-12-05T06:29:31"/>
    <s v="Fri"/>
    <n v="2025"/>
    <x v="0"/>
    <x v="4"/>
    <d v="2025-12-05T06:29:31"/>
    <n v="39"/>
    <s v="km/h"/>
    <s v="00:00:00"/>
    <n v="0"/>
    <s v="Kwale"/>
    <s v="Kwale"/>
    <s v="Mombasa Road, Samburu/Chengoni ward, Kinango, Kwale, Coastal Kenya, Kenya"/>
    <s v="Mombasa Road, Samburu/Chengoni ward, Kinango, Kwale, Coastal Kenya, Kenya"/>
    <s v="-3.76597 , 39.22272"/>
    <s v="-3.76597 , 39.22272"/>
    <n v="0"/>
    <n v="1"/>
  </r>
  <r>
    <x v="1"/>
    <x v="12"/>
    <x v="55"/>
    <x v="1"/>
    <d v="2025-12-05T06:29:17"/>
    <s v="Fri"/>
    <n v="2025"/>
    <x v="0"/>
    <x v="4"/>
    <d v="2025-12-05T06:29:19"/>
    <n v="39"/>
    <s v="km/h"/>
    <s v="00:00:02"/>
    <n v="3.3333333333333333E-2"/>
    <s v="Kwale"/>
    <s v="Kwale"/>
    <s v="Mombasa Road, Samburu/Chengoni ward, Kinango, Kwale, Coastal Kenya, Kenya"/>
    <s v="Mombasa Road, Samburu/Chengoni ward, Kinango, Kwale, Coastal Kenya, Kenya"/>
    <s v="-3.76575 , 39.22408"/>
    <s v="-3.76578 , 39.22386"/>
    <n v="0.10199999999999999"/>
    <n v="1"/>
  </r>
  <r>
    <x v="1"/>
    <x v="12"/>
    <x v="55"/>
    <x v="1"/>
    <d v="2025-12-05T05:56:27"/>
    <s v="Fri"/>
    <n v="2025"/>
    <x v="0"/>
    <x v="4"/>
    <d v="2025-12-05T05:56:30"/>
    <n v="39"/>
    <s v="km/h"/>
    <s v="00:00:03"/>
    <n v="0.05"/>
    <s v="Kilifi"/>
    <s v="Kilifi"/>
    <s v="Mombasa Road, Mariakani ward, Kaloleni, Kilifi, Coastal Kenya, Kenya"/>
    <s v="Mombasa Road, Mariakani ward, Kaloleni, Kilifi, Coastal Kenya, Kenya"/>
    <s v="-3.82083 , 39.42658"/>
    <s v="-3.82039 , 39.42628"/>
    <n v="0"/>
    <n v="1"/>
  </r>
  <r>
    <x v="2"/>
    <x v="64"/>
    <x v="67"/>
    <x v="2"/>
    <d v="2025-12-04T22:38:26"/>
    <s v="Thu"/>
    <n v="2025"/>
    <x v="0"/>
    <x v="4"/>
    <d v="2025-12-04T22:40:10"/>
    <n v="99"/>
    <s v="km/h"/>
    <s v="00:01:43"/>
    <n v="1.7166666666666668"/>
    <m/>
    <m/>
    <s v="Nairobi Road, Tegat, Sobea Highway, Mosop ward, Rongai, Nakuru, Rift Valley, KE"/>
    <s v="Nairobi Road, Tegat, Sobea Highway, Mosop ward, Rongai, Nakuru, Rift Valley, KE"/>
    <s v="-0.2388, 35.9156"/>
    <s v="-0.2279, 35.8935"/>
    <n v="2.7"/>
    <n v="1"/>
  </r>
  <r>
    <x v="3"/>
    <x v="39"/>
    <x v="40"/>
    <x v="1"/>
    <d v="2025-12-04T10:13:14"/>
    <s v="Thu"/>
    <n v="2025"/>
    <x v="0"/>
    <x v="4"/>
    <d v="2025-12-04T10:13:15"/>
    <n v="34"/>
    <s v="km/h"/>
    <s v="00:00:01"/>
    <n v="1.6666666666666666E-2"/>
    <s v="Nakuru"/>
    <s v="Nakuru"/>
    <s v="Nairobi-Nakuru Road, weigh bridge, Gilgil ward, Gilgil, Nakuru, Rift Valley, Kenya"/>
    <s v="Nairobi-Nakuru Road, weigh bridge, Gilgil ward, Gilgil, Nakuru, Rift Valley, Kenya"/>
    <s v="-0.57434 , 36.3634"/>
    <s v="-0.5744 , 36.36345"/>
    <n v="0"/>
    <n v="1"/>
  </r>
  <r>
    <x v="2"/>
    <x v="64"/>
    <x v="67"/>
    <x v="2"/>
    <d v="2025-12-04T00:00:07"/>
    <s v="Thu"/>
    <n v="2025"/>
    <x v="0"/>
    <x v="4"/>
    <d v="2025-12-04T00:01:08"/>
    <n v="103"/>
    <s v="km/h"/>
    <s v="00:01:00"/>
    <n v="1"/>
    <m/>
    <m/>
    <s v="Naivasha-Mai Mahiu-Limuru Road, Mai Mahiu sublocation, Jikaze, Mai Mahiu ward, Naivasha, Nakuru, Rift Valley, 00221, KE"/>
    <s v="Naivasha-Mai Mahiu-Limuru Road, Mai Mahiu sublocation, Jikaze, Mai Mahiu ward, Naivasha, Nakuru, Rift Valley, 00221, KE"/>
    <s v="-0.9412, 36.5425"/>
    <s v="-0.9528, 36.5515"/>
    <n v="1.6"/>
    <n v="1"/>
  </r>
  <r>
    <x v="0"/>
    <x v="65"/>
    <x v="68"/>
    <x v="1"/>
    <d v="2025-12-03T00:29:10"/>
    <s v="Wed"/>
    <n v="2025"/>
    <x v="0"/>
    <x v="4"/>
    <d v="2025-12-03T00:29:32"/>
    <n v="36"/>
    <s v="km/h"/>
    <s v="00:00:22"/>
    <n v="0.36666666666666664"/>
    <s v="Nairobi"/>
    <s v="Nairobi"/>
    <m/>
    <m/>
    <s v="-1.28478 , 36.95669"/>
    <s v="-1.28367 , 36.95847"/>
    <n v="0.29699999999999999"/>
    <n v="1"/>
  </r>
  <r>
    <x v="0"/>
    <x v="65"/>
    <x v="68"/>
    <x v="1"/>
    <d v="2025-12-03T00:14:26"/>
    <s v="Wed"/>
    <n v="2025"/>
    <x v="0"/>
    <x v="4"/>
    <d v="2025-12-03T00:14:34"/>
    <n v="36"/>
    <s v="km/h"/>
    <s v="00:00:08"/>
    <n v="0.13333333333333333"/>
    <s v="Nairobi"/>
    <s v="Nairobi"/>
    <m/>
    <m/>
    <s v="-1.33158 , 36.88786"/>
    <s v="-1.33108 , 36.88719"/>
    <n v="9.4E-2"/>
    <n v="1"/>
  </r>
  <r>
    <x v="1"/>
    <x v="66"/>
    <x v="33"/>
    <x v="1"/>
    <d v="2025-12-02T21:35:40"/>
    <s v="Tue"/>
    <n v="2025"/>
    <x v="0"/>
    <x v="4"/>
    <d v="2025-12-02T21:35:57"/>
    <n v="38"/>
    <s v="km/h"/>
    <s v="00:00:17"/>
    <n v="0.28333333333333333"/>
    <s v="Kericho"/>
    <s v="Kericho"/>
    <m/>
    <m/>
    <s v="-0.35336 , 35.30378"/>
    <s v="-0.35472 , 35.30267"/>
    <n v="6.2E-2"/>
    <n v="1"/>
  </r>
  <r>
    <x v="1"/>
    <x v="66"/>
    <x v="33"/>
    <x v="1"/>
    <d v="2025-12-02T20:29:59"/>
    <s v="Tue"/>
    <n v="2025"/>
    <x v="0"/>
    <x v="4"/>
    <d v="2025-12-02T20:30:05"/>
    <n v="39"/>
    <s v="km/h"/>
    <s v="00:00:06"/>
    <n v="0.1"/>
    <s v="Kericho"/>
    <s v="Kericho"/>
    <m/>
    <m/>
    <s v="-0.17711 , 35.61781"/>
    <s v="-0.17764 , 35.61753"/>
    <n v="0.125"/>
    <n v="1"/>
  </r>
  <r>
    <x v="1"/>
    <x v="66"/>
    <x v="33"/>
    <x v="1"/>
    <d v="2025-12-02T20:29:02"/>
    <s v="Tue"/>
    <n v="2025"/>
    <x v="0"/>
    <x v="4"/>
    <d v="2025-12-02T20:29:14"/>
    <n v="36"/>
    <s v="km/h"/>
    <s v="00:00:12"/>
    <n v="0.2"/>
    <s v="Kericho"/>
    <s v="Kericho"/>
    <m/>
    <m/>
    <s v="-0.17378 , 35.62069"/>
    <s v="-0.17464 , 35.61978"/>
    <n v="0.125"/>
    <n v="1"/>
  </r>
  <r>
    <x v="0"/>
    <x v="29"/>
    <x v="31"/>
    <x v="1"/>
    <d v="2025-12-02T20:22:10"/>
    <s v="Tue"/>
    <n v="2025"/>
    <x v="0"/>
    <x v="4"/>
    <d v="2025-12-02T20:22:32"/>
    <n v="51"/>
    <s v="km/h"/>
    <s v="00:00:22"/>
    <n v="0.36666666666666664"/>
    <s v="Kirinyaga"/>
    <s v="Kirinyaga"/>
    <m/>
    <m/>
    <s v="-0.57158 , 37.31509"/>
    <s v="-0.57338 , 37.31317"/>
    <n v="0.312"/>
    <n v="1"/>
  </r>
  <r>
    <x v="1"/>
    <x v="67"/>
    <x v="69"/>
    <x v="3"/>
    <d v="2025-12-02T14:43:39"/>
    <s v="Tue"/>
    <n v="2025"/>
    <x v="0"/>
    <x v="4"/>
    <d v="2025-12-02T14:43:39"/>
    <n v="17"/>
    <s v="km/h/s"/>
    <s v="00:00:00"/>
    <n v="0"/>
    <s v="Nairobi"/>
    <s v="Nairobi"/>
    <m/>
    <m/>
    <s v="-1.31694 , 36.86228"/>
    <s v="-1.31694 , 36.86228"/>
    <n v="0"/>
    <n v="1"/>
  </r>
  <r>
    <x v="1"/>
    <x v="12"/>
    <x v="55"/>
    <x v="1"/>
    <d v="2025-12-02T13:14:30"/>
    <s v="Tue"/>
    <n v="2025"/>
    <x v="0"/>
    <x v="4"/>
    <d v="2025-12-02T13:14:32"/>
    <n v="36"/>
    <s v="km/h"/>
    <s v="00:00:02"/>
    <n v="3.3333333333333333E-2"/>
    <s v="Kwale"/>
    <s v="Kwale"/>
    <m/>
    <m/>
    <s v="-3.68358 , 38.96392"/>
    <s v="-3.68372 , 38.96417"/>
    <n v="0.10199999999999999"/>
    <n v="1"/>
  </r>
  <r>
    <x v="2"/>
    <x v="68"/>
    <x v="70"/>
    <x v="2"/>
    <d v="2025-12-02T00:00:00"/>
    <s v="Tue"/>
    <n v="2025"/>
    <x v="0"/>
    <x v="4"/>
    <d v="2025-12-02T00:00:00"/>
    <n v="84"/>
    <s v="km/h"/>
    <s v="00:00:25"/>
    <n v="0.41666666666666669"/>
    <m/>
    <m/>
    <s v="C781, Ikolomani, Kisa Central ward, Khwisero, Kakamega County, Western, 50101, KE"/>
    <s v="C781, Marenyo-Shianda ward, Butere, Kakamega County, Western, 50101, KE"/>
    <s v="0.2007,34.5412"/>
    <s v="0.2058,34.5378"/>
    <n v="0.7"/>
    <n v="1"/>
  </r>
  <r>
    <x v="2"/>
    <x v="62"/>
    <x v="64"/>
    <x v="2"/>
    <d v="2025-12-02T00:00:00"/>
    <s v="Tue"/>
    <n v="2025"/>
    <x v="0"/>
    <x v="4"/>
    <d v="2025-12-02T00:00:00"/>
    <n v="89"/>
    <s v="km/h"/>
    <s v="00:00:26"/>
    <n v="0.43333333333333335"/>
    <m/>
    <m/>
    <s v="Eldoret-Nakuru Road, Tarakwa ward, Kesses, Uasin Gishu County, KE"/>
    <s v="Eldoret-Nakuru Road, Tarakwa ward, Kesses, Uasin Gishu County, KE"/>
    <s v="0.0998,35.4948"/>
    <s v="0.0992,35.4884"/>
    <n v="0.7"/>
    <n v="1"/>
  </r>
  <r>
    <x v="3"/>
    <x v="69"/>
    <x v="71"/>
    <x v="4"/>
    <d v="2025-12-01T18:37:53"/>
    <s v="Mon"/>
    <n v="2025"/>
    <x v="0"/>
    <x v="4"/>
    <d v="2025-12-01T18:37:54"/>
    <n v="21"/>
    <s v="km/h/s"/>
    <s v="00:00:01"/>
    <n v="1.6666666666666666E-2"/>
    <s v="Nairobi"/>
    <m/>
    <s v="Kenya Breweries Limited; 1. Zone 12 - Loaded Trucks; KBL FACTORY; Zone 12-Loaded Trucks"/>
    <m/>
    <s v="-1.23702 , 36.87629"/>
    <m/>
    <n v="0"/>
    <n v="1"/>
  </r>
  <r>
    <x v="0"/>
    <x v="70"/>
    <x v="72"/>
    <x v="2"/>
    <d v="2025-12-01T11:12:18"/>
    <s v="Mon"/>
    <n v="2025"/>
    <x v="0"/>
    <x v="4"/>
    <d v="2025-12-01T11:12:22"/>
    <n v="82"/>
    <s v="km/h"/>
    <s v="00:00:04"/>
    <n v="6.6666666666666666E-2"/>
    <s v="Murang'a"/>
    <s v="Murang'a"/>
    <m/>
    <m/>
    <s v="-0.82037 , 37.24067"/>
    <s v="-0.81972 , 37.24146"/>
    <n v="0.125"/>
    <n v="1"/>
  </r>
  <r>
    <x v="0"/>
    <x v="70"/>
    <x v="72"/>
    <x v="2"/>
    <d v="2025-12-01T11:09:00"/>
    <s v="Mon"/>
    <n v="2025"/>
    <x v="0"/>
    <x v="4"/>
    <d v="2025-12-01T11:09:05"/>
    <n v="83"/>
    <s v="km/h"/>
    <s v="00:00:05"/>
    <n v="8.3333333333333329E-2"/>
    <s v="Machakos"/>
    <s v="Machakos"/>
    <m/>
    <m/>
    <s v="-0.84525 , 37.23246"/>
    <s v="-0.84404 , 37.23232"/>
    <n v="9.4E-2"/>
    <n v="1"/>
  </r>
  <r>
    <x v="0"/>
    <x v="71"/>
    <x v="61"/>
    <x v="4"/>
    <d v="2025-12-01T08:41:44"/>
    <s v="Mon"/>
    <n v="2025"/>
    <x v="0"/>
    <x v="4"/>
    <d v="2025-12-01T08:41:45"/>
    <n v="11"/>
    <s v="km/h/s"/>
    <s v="00:00:01"/>
    <n v="1.6666666666666666E-2"/>
    <s v="Nairobi"/>
    <m/>
    <s v="TONY WEST LIMITED"/>
    <m/>
    <s v="-1.29843 , 36.75933"/>
    <m/>
    <n v="0"/>
    <n v="1"/>
  </r>
  <r>
    <x v="3"/>
    <x v="72"/>
    <x v="73"/>
    <x v="3"/>
    <d v="2025-12-01T06:14:18"/>
    <s v="Mon"/>
    <n v="2025"/>
    <x v="0"/>
    <x v="4"/>
    <d v="2025-12-01T06:14:19"/>
    <n v="25"/>
    <s v="km/h/s"/>
    <s v="00:00:01"/>
    <n v="1.6666666666666666E-2"/>
    <s v="Kiambu"/>
    <m/>
    <m/>
    <m/>
    <s v="-1.05933 , 37.14192"/>
    <m/>
    <n v="0"/>
    <n v="1"/>
  </r>
  <r>
    <x v="2"/>
    <x v="73"/>
    <x v="74"/>
    <x v="2"/>
    <d v="2025-12-01T00:00:00"/>
    <s v="Mon"/>
    <n v="2025"/>
    <x v="0"/>
    <x v="4"/>
    <d v="2025-12-01T00:00:00"/>
    <n v="88"/>
    <s v="km/h"/>
    <s v="00:02:44"/>
    <n v="2.7333333333333334"/>
    <m/>
    <m/>
    <s v="Naivasha-Mai Mahiu-Limuru Road, Mai Mahiu sublocation, Jikaze, Mai Mahiu ward, Naivasha, Nakuru, Rift Valley, 00221, KE"/>
    <s v="Naivasha-Mai Mahiu-Limuru Road, Mai Mahiu sublocation, Jikaze, Mai Mahiu ward, Naivasha, Nakuru, Rift Valley, 00221, KE"/>
    <s v="-0.9192,36.5241"/>
    <s v="-0.9467,36.5469"/>
    <n v="4"/>
    <n v="1"/>
  </r>
  <r>
    <x v="0"/>
    <x v="74"/>
    <x v="75"/>
    <x v="1"/>
    <d v="2025-11-29T15:23:03"/>
    <s v="Sat"/>
    <n v="2025"/>
    <x v="1"/>
    <x v="5"/>
    <d v="2025-11-29T15:23:05"/>
    <n v="69"/>
    <s v="km/h"/>
    <s v="00:00:02"/>
    <n v="3.3333333333333333E-2"/>
    <s v="Murang'a"/>
    <s v="Murang'a"/>
    <m/>
    <m/>
    <s v="-0.99895 , 37.08243"/>
    <s v="-0.99938 , 37.08217"/>
    <n v="9.4E-2"/>
    <n v="1"/>
  </r>
  <r>
    <x v="2"/>
    <x v="73"/>
    <x v="74"/>
    <x v="2"/>
    <d v="2025-11-29T00:00:00"/>
    <s v="Sat"/>
    <n v="2025"/>
    <x v="1"/>
    <x v="5"/>
    <d v="2025-11-29T00:00:00"/>
    <n v="89"/>
    <s v="km/h"/>
    <s v="00:01:09"/>
    <n v="1.1499999999999999"/>
    <m/>
    <m/>
    <s v="Thika Road, Witeithie ward, Juja, Kiambu, 01000, KE"/>
    <s v="Thika Road, Witeithie ward, Juja, Kiambu, 01001, KE"/>
    <s v="-1.0761,37.0460"/>
    <s v="-1.0879,37.0368"/>
    <n v="1.7"/>
    <n v="1"/>
  </r>
  <r>
    <x v="3"/>
    <x v="17"/>
    <x v="18"/>
    <x v="1"/>
    <d v="2025-11-28T21:25:29"/>
    <s v="Fri"/>
    <n v="2025"/>
    <x v="1"/>
    <x v="5"/>
    <d v="2025-11-28T21:25:51"/>
    <n v="71"/>
    <s v="km/h"/>
    <s v="00:00:22"/>
    <n v="0.36666666666666664"/>
    <s v="Machakos"/>
    <s v="Machakos"/>
    <m/>
    <m/>
    <s v="-1.44299 , 36.98817"/>
    <s v="-1.44213 , 36.98448"/>
    <n v="0.5"/>
    <n v="1"/>
  </r>
  <r>
    <x v="3"/>
    <x v="17"/>
    <x v="18"/>
    <x v="1"/>
    <d v="2025-11-28T21:23:41"/>
    <s v="Fri"/>
    <n v="2025"/>
    <x v="1"/>
    <x v="5"/>
    <d v="2025-11-28T21:24:42"/>
    <n v="72"/>
    <s v="km/h"/>
    <s v="00:01:01"/>
    <n v="1.0166666666666666"/>
    <s v="Machakos"/>
    <s v="Machakos"/>
    <m/>
    <m/>
    <s v="-1.45191 , 37.00065"/>
    <s v="-1.44452 , 36.9944"/>
    <n v="1.0980000000000001"/>
    <n v="1"/>
  </r>
  <r>
    <x v="3"/>
    <x v="17"/>
    <x v="18"/>
    <x v="1"/>
    <d v="2025-11-28T21:21:18"/>
    <s v="Fri"/>
    <n v="2025"/>
    <x v="1"/>
    <x v="5"/>
    <d v="2025-11-28T21:22:20"/>
    <n v="75"/>
    <s v="km/h"/>
    <s v="00:01:02"/>
    <n v="1.0333333333333334"/>
    <s v="Machakos"/>
    <s v="Machakos"/>
    <m/>
    <m/>
    <s v="-1.46596 , 37.01727"/>
    <s v="-1.46039 , 37.00869"/>
    <n v="1.0980000000000001"/>
    <n v="1"/>
  </r>
  <r>
    <x v="3"/>
    <x v="17"/>
    <x v="18"/>
    <x v="1"/>
    <d v="2025-11-28T21:20:29"/>
    <s v="Fri"/>
    <n v="2025"/>
    <x v="1"/>
    <x v="5"/>
    <d v="2025-11-28T21:20:48"/>
    <n v="66"/>
    <s v="km/h"/>
    <s v="00:00:19"/>
    <n v="0.31666666666666665"/>
    <s v="Machakos"/>
    <s v="Machakos"/>
    <m/>
    <m/>
    <s v="-1.46922 , 37.0236"/>
    <s v="-1.46776 , 37.02092"/>
    <n v="0.40200000000000002"/>
    <n v="1"/>
  </r>
  <r>
    <x v="2"/>
    <x v="75"/>
    <x v="76"/>
    <x v="2"/>
    <d v="2025-11-28T00:00:00"/>
    <s v="Fri"/>
    <n v="2025"/>
    <x v="1"/>
    <x v="5"/>
    <d v="2025-11-28T00:00:00"/>
    <n v="88"/>
    <s v="km/h"/>
    <s v="00:00:35"/>
    <n v="0.58333333333333337"/>
    <m/>
    <m/>
    <s v="Majengo, Central Maragoli ward, Vihiga Subcounty, Vihiga County, Western, KE"/>
    <s v="Kisumu-Vihiga Road, Gambogi, Jepkoyai ward, Hamisi, Vihiga County, Western, KE"/>
    <s v="0.0447,34.7266"/>
    <s v="0.0363,34.7279"/>
    <n v="0.9"/>
    <n v="1"/>
  </r>
  <r>
    <x v="1"/>
    <x v="76"/>
    <x v="41"/>
    <x v="1"/>
    <d v="2025-11-27T18:28:52"/>
    <s v="Thu"/>
    <n v="2025"/>
    <x v="1"/>
    <x v="5"/>
    <d v="2025-11-27T18:29:07"/>
    <n v="37"/>
    <s v="km/h"/>
    <s v="00:00:15"/>
    <n v="0.25"/>
    <s v="Machakos"/>
    <s v="Machakos"/>
    <m/>
    <m/>
    <s v="-1.65103 , 37.27767"/>
    <s v="-1.65094 , 37.27917"/>
    <n v="0.219"/>
    <n v="1"/>
  </r>
  <r>
    <x v="2"/>
    <x v="11"/>
    <x v="11"/>
    <x v="2"/>
    <d v="2025-11-27T00:00:00"/>
    <s v="Thu"/>
    <n v="2025"/>
    <x v="1"/>
    <x v="5"/>
    <d v="2025-11-27T00:00:00"/>
    <n v="94"/>
    <s v="km/h"/>
    <s v="00:00:40"/>
    <n v="0.66666666666666663"/>
    <m/>
    <m/>
    <s v="Mombasa Road, Maji ya Chumvi, Mwavumbo ward, Kinango, Kwale, KE"/>
    <s v="Mombasa Road, Mariakani, Kaloleni, Kilifi County, KE"/>
    <s v="-3.7884,39.3747"/>
    <s v="-3.7925,39.3828"/>
    <n v="1"/>
    <n v="1"/>
  </r>
  <r>
    <x v="2"/>
    <x v="3"/>
    <x v="3"/>
    <x v="2"/>
    <d v="2025-11-27T00:00:00"/>
    <s v="Thu"/>
    <n v="2025"/>
    <x v="1"/>
    <x v="5"/>
    <d v="2025-11-27T00:00:00"/>
    <n v="94"/>
    <s v="km/h"/>
    <s v="00:00:59"/>
    <n v="0.98333333333333328"/>
    <m/>
    <m/>
    <s v="Mombasa Road, Mua ward, Machakos Town, Machakos County, KE"/>
    <s v="Mombasa Road, Mua ward, Machakos Town, Machakos County, KE"/>
    <s v="-1.5805,37.1570"/>
    <s v="-1.5930,37.1631"/>
    <n v="1.5"/>
    <n v="1"/>
  </r>
  <r>
    <x v="3"/>
    <x v="72"/>
    <x v="73"/>
    <x v="3"/>
    <d v="2025-11-26T17:52:54"/>
    <s v="Wed"/>
    <n v="2025"/>
    <x v="1"/>
    <x v="5"/>
    <d v="2025-11-26T17:52:55"/>
    <n v="16"/>
    <s v="km/h/s"/>
    <s v="00:00:01"/>
    <n v="1.6666666666666666E-2"/>
    <s v="Machakos"/>
    <m/>
    <m/>
    <m/>
    <s v="-1.48436 , 37.04958"/>
    <m/>
    <n v="0"/>
    <n v="1"/>
  </r>
  <r>
    <x v="0"/>
    <x v="77"/>
    <x v="77"/>
    <x v="1"/>
    <d v="2025-11-26T07:02:40"/>
    <s v="Wed"/>
    <n v="2025"/>
    <x v="1"/>
    <x v="5"/>
    <d v="2025-11-26T07:06:56"/>
    <n v="51"/>
    <s v="km/h"/>
    <s v="00:04:16"/>
    <n v="4.2666666666666666"/>
    <s v="Nairobi"/>
    <s v="Nairobi"/>
    <m/>
    <m/>
    <s v="-1.24639 , 36.86883"/>
    <s v="-1.26808 , 36.88036"/>
    <n v="3.1880000000000002"/>
    <n v="1"/>
  </r>
  <r>
    <x v="0"/>
    <x v="74"/>
    <x v="75"/>
    <x v="1"/>
    <d v="2025-11-25T14:18:20"/>
    <s v="Tue"/>
    <n v="2025"/>
    <x v="1"/>
    <x v="5"/>
    <d v="2025-11-25T14:18:21"/>
    <n v="34"/>
    <s v="km/h"/>
    <s v="00:00:01"/>
    <n v="1.6666666666666666E-2"/>
    <s v="Kiambu"/>
    <s v="Kiambu"/>
    <m/>
    <m/>
    <s v="-1.09649 , 37.02689"/>
    <s v="-1.0964 , 37.02701"/>
    <n v="0"/>
    <n v="1"/>
  </r>
  <r>
    <x v="0"/>
    <x v="65"/>
    <x v="68"/>
    <x v="1"/>
    <d v="2025-11-25T11:37:05"/>
    <s v="Tue"/>
    <n v="2025"/>
    <x v="1"/>
    <x v="5"/>
    <d v="2025-11-25T11:37:09"/>
    <n v="33"/>
    <s v="km/h"/>
    <s v="00:00:04"/>
    <n v="6.6666666666666666E-2"/>
    <s v="Kirinyaga"/>
    <s v="Kirinyaga"/>
    <m/>
    <m/>
    <s v="-0.66525 , 37.21214"/>
    <s v="-0.66556 , 37.21192"/>
    <n v="9.4E-2"/>
    <n v="1"/>
  </r>
  <r>
    <x v="0"/>
    <x v="78"/>
    <x v="78"/>
    <x v="2"/>
    <d v="2025-11-25T07:04:12"/>
    <s v="Tue"/>
    <n v="2025"/>
    <x v="1"/>
    <x v="5"/>
    <d v="2025-11-25T07:04:12"/>
    <n v="81"/>
    <s v="km/h"/>
    <s v="00:00:00"/>
    <n v="0"/>
    <s v="Nairobi"/>
    <s v="Nairobi"/>
    <m/>
    <m/>
    <s v="-1.2635 , 36.83847"/>
    <s v="-1.2635 , 36.83847"/>
    <n v="0"/>
    <n v="1"/>
  </r>
  <r>
    <x v="1"/>
    <x v="63"/>
    <x v="33"/>
    <x v="4"/>
    <d v="2025-11-24T12:16:57"/>
    <s v="Mon"/>
    <n v="2025"/>
    <x v="1"/>
    <x v="5"/>
    <d v="2025-11-24T12:16:57"/>
    <n v="11"/>
    <s v="km/h/s"/>
    <s v="00:00:00"/>
    <n v="0"/>
    <s v="Nairobi"/>
    <s v="Nairobi"/>
    <m/>
    <m/>
    <s v="-1.27442 , 36.8105"/>
    <s v="-1.27442 , 36.8105"/>
    <n v="0"/>
    <n v="1"/>
  </r>
  <r>
    <x v="0"/>
    <x v="65"/>
    <x v="68"/>
    <x v="1"/>
    <d v="2025-11-23T17:24:55"/>
    <s v="Sun"/>
    <n v="2025"/>
    <x v="1"/>
    <x v="5"/>
    <d v="2025-11-23T17:24:56"/>
    <n v="32"/>
    <s v="km/h"/>
    <s v="00:00:01"/>
    <n v="1.6666666666666666E-2"/>
    <s v="Nyeri"/>
    <s v="Nyeri"/>
    <m/>
    <m/>
    <s v="-0.42967 , 36.95794"/>
    <s v="-0.42975 , 36.95806"/>
    <n v="0"/>
    <n v="1"/>
  </r>
  <r>
    <x v="1"/>
    <x v="53"/>
    <x v="33"/>
    <x v="3"/>
    <d v="2025-11-22T18:12:14"/>
    <s v="Sat"/>
    <n v="2025"/>
    <x v="1"/>
    <x v="6"/>
    <d v="2025-11-22T18:12:14"/>
    <n v="16"/>
    <s v="km/h/s"/>
    <s v="00:00:00"/>
    <n v="0"/>
    <s v="Nakuru"/>
    <s v="Nakuru"/>
    <m/>
    <m/>
    <s v="-0.20467 , 35.80753"/>
    <s v="-0.20467 , 35.80753"/>
    <n v="0"/>
    <n v="1"/>
  </r>
  <r>
    <x v="1"/>
    <x v="66"/>
    <x v="49"/>
    <x v="2"/>
    <d v="2025-11-22T13:10:15"/>
    <s v="Sat"/>
    <n v="2025"/>
    <x v="1"/>
    <x v="6"/>
    <d v="2025-11-22T13:10:21"/>
    <n v="83"/>
    <s v="km/h"/>
    <s v="00:00:06"/>
    <n v="0.1"/>
    <s v="Kiambu"/>
    <s v="Kiambu"/>
    <m/>
    <m/>
    <s v="-1.19947 , 36.92083"/>
    <s v="-1.20053 , 36.91983"/>
    <n v="0.188"/>
    <n v="1"/>
  </r>
  <r>
    <x v="1"/>
    <x v="1"/>
    <x v="79"/>
    <x v="1"/>
    <d v="2025-11-22T13:09:32"/>
    <s v="Sat"/>
    <n v="2025"/>
    <x v="1"/>
    <x v="6"/>
    <d v="2025-11-22T13:09:49"/>
    <n v="37"/>
    <s v="km/h"/>
    <s v="00:00:17"/>
    <n v="0.28333333333333333"/>
    <s v="Nairobi"/>
    <s v="Nairobi"/>
    <m/>
    <m/>
    <s v="-1.26094 , 36.79683"/>
    <s v="-1.26136 , 36.79842"/>
    <n v="0.125"/>
    <n v="1"/>
  </r>
  <r>
    <x v="1"/>
    <x v="66"/>
    <x v="49"/>
    <x v="2"/>
    <d v="2025-11-22T12:51:18"/>
    <s v="Sat"/>
    <n v="2025"/>
    <x v="1"/>
    <x v="6"/>
    <d v="2025-11-22T12:51:56"/>
    <n v="87"/>
    <s v="km/h"/>
    <s v="00:00:38"/>
    <n v="0.6333333333333333"/>
    <s v="Kiambu"/>
    <s v="Kiambu"/>
    <m/>
    <m/>
    <s v="-1.08186 , 37.04217"/>
    <s v="-1.08833 , 37.03636"/>
    <n v="0.875"/>
    <n v="1"/>
  </r>
  <r>
    <x v="1"/>
    <x v="66"/>
    <x v="49"/>
    <x v="2"/>
    <d v="2025-11-22T12:49:09"/>
    <s v="Sat"/>
    <n v="2025"/>
    <x v="1"/>
    <x v="6"/>
    <d v="2025-11-22T12:49:13"/>
    <n v="82"/>
    <s v="km/h"/>
    <s v="00:00:04"/>
    <n v="6.6666666666666666E-2"/>
    <s v="Kiambu"/>
    <s v="Kiambu"/>
    <m/>
    <m/>
    <s v="-1.06078 , 37.05436"/>
    <s v="-1.06175 , 37.054"/>
    <n v="6.2E-2"/>
    <n v="1"/>
  </r>
  <r>
    <x v="1"/>
    <x v="79"/>
    <x v="80"/>
    <x v="1"/>
    <d v="2025-11-22T10:10:31"/>
    <s v="Sat"/>
    <n v="2025"/>
    <x v="1"/>
    <x v="6"/>
    <d v="2025-11-22T10:10:46"/>
    <n v="40"/>
    <s v="km/h"/>
    <s v="00:00:15"/>
    <n v="0.25"/>
    <s v="Taita-Taveta"/>
    <s v="Taita-Taveta"/>
    <m/>
    <m/>
    <s v="-3.39664 , 38.54344"/>
    <s v="-3.39775 , 38.54475"/>
    <n v="9.4E-2"/>
    <n v="1"/>
  </r>
  <r>
    <x v="1"/>
    <x v="40"/>
    <x v="41"/>
    <x v="1"/>
    <d v="2025-11-21T16:58:44"/>
    <s v="Fri"/>
    <n v="2025"/>
    <x v="1"/>
    <x v="6"/>
    <d v="2025-11-21T16:58:55"/>
    <n v="36"/>
    <s v="km/h"/>
    <s v="00:00:11"/>
    <n v="0.18333333333333332"/>
    <s v="Nakuru"/>
    <s v="Nakuru"/>
    <m/>
    <m/>
    <s v="-0.21233 , 35.862"/>
    <s v="-0.21186 , 35.86106"/>
    <n v="0.125"/>
    <n v="1"/>
  </r>
  <r>
    <x v="0"/>
    <x v="80"/>
    <x v="81"/>
    <x v="1"/>
    <d v="2025-11-20T17:47:00"/>
    <s v="Thu"/>
    <n v="2025"/>
    <x v="1"/>
    <x v="6"/>
    <d v="2025-11-20T17:47:02"/>
    <n v="34"/>
    <s v="km/h"/>
    <s v="00:00:02"/>
    <n v="3.3333333333333333E-2"/>
    <s v="Nairobi"/>
    <s v="Nairobi"/>
    <m/>
    <m/>
    <s v="-1.29463 , 36.88552"/>
    <s v="-1.29444 , 36.88565"/>
    <n v="9.4E-2"/>
    <n v="1"/>
  </r>
  <r>
    <x v="1"/>
    <x v="48"/>
    <x v="50"/>
    <x v="1"/>
    <d v="2025-11-19T17:41:51"/>
    <s v="Wed"/>
    <n v="2025"/>
    <x v="1"/>
    <x v="6"/>
    <d v="2025-11-19T17:42:02"/>
    <n v="36"/>
    <s v="km/h"/>
    <s v="00:00:11"/>
    <n v="0.18333333333333332"/>
    <s v="Kirinyaga"/>
    <s v="Kirinyaga"/>
    <m/>
    <m/>
    <s v="-0.72861 , 37.27219"/>
    <s v="-0.72958 , 37.27286"/>
    <n v="0.125"/>
    <n v="1"/>
  </r>
  <r>
    <x v="1"/>
    <x v="48"/>
    <x v="50"/>
    <x v="1"/>
    <d v="2025-11-19T17:07:41"/>
    <s v="Wed"/>
    <n v="2025"/>
    <x v="1"/>
    <x v="6"/>
    <d v="2025-11-19T17:07:44"/>
    <n v="38"/>
    <s v="km/h"/>
    <s v="00:00:03"/>
    <n v="0.05"/>
    <s v="Kirinyaga"/>
    <s v="Kirinyaga"/>
    <m/>
    <m/>
    <s v="-0.55947 , 37.18725"/>
    <s v="-0.55994 , 37.18731"/>
    <n v="0.125"/>
    <n v="1"/>
  </r>
  <r>
    <x v="1"/>
    <x v="48"/>
    <x v="50"/>
    <x v="1"/>
    <d v="2025-11-19T17:06:41"/>
    <s v="Wed"/>
    <n v="2025"/>
    <x v="1"/>
    <x v="6"/>
    <d v="2025-11-19T17:06:42"/>
    <n v="38"/>
    <s v="km/h"/>
    <s v="00:00:01"/>
    <n v="1.6666666666666666E-2"/>
    <s v="Kirinyaga"/>
    <s v="Kirinyaga"/>
    <m/>
    <m/>
    <s v="-0.55344 , 37.18667"/>
    <s v="-0.55361 , 37.18669"/>
    <n v="9.4E-2"/>
    <n v="1"/>
  </r>
  <r>
    <x v="1"/>
    <x v="48"/>
    <x v="50"/>
    <x v="1"/>
    <d v="2025-11-19T17:06:20"/>
    <s v="Wed"/>
    <n v="2025"/>
    <x v="1"/>
    <x v="6"/>
    <d v="2025-11-19T17:06:29"/>
    <n v="38"/>
    <s v="km/h"/>
    <s v="00:00:09"/>
    <n v="0.15"/>
    <s v="Kirinyaga"/>
    <s v="Kirinyaga"/>
    <m/>
    <m/>
    <s v="-0.55147 , 37.18644"/>
    <s v="-0.55242 , 37.18656"/>
    <n v="9.4E-2"/>
    <n v="1"/>
  </r>
  <r>
    <x v="0"/>
    <x v="80"/>
    <x v="81"/>
    <x v="1"/>
    <d v="2025-11-19T11:27:31"/>
    <s v="Wed"/>
    <n v="2025"/>
    <x v="1"/>
    <x v="6"/>
    <d v="2025-11-19T11:27:32"/>
    <n v="34"/>
    <s v="km/h"/>
    <s v="00:00:01"/>
    <n v="1.6666666666666666E-2"/>
    <s v="Embu"/>
    <s v="Embu"/>
    <m/>
    <m/>
    <s v="-0.4761 , 37.4721"/>
    <s v="-0.47609 , 37.47224"/>
    <n v="0"/>
    <n v="1"/>
  </r>
  <r>
    <x v="2"/>
    <x v="3"/>
    <x v="3"/>
    <x v="2"/>
    <d v="2025-11-18T16:32:07"/>
    <s v="Tue"/>
    <n v="2025"/>
    <x v="1"/>
    <x v="6"/>
    <d v="2025-11-18T16:33:17"/>
    <n v="84.4"/>
    <s v="km/h"/>
    <s v="00:01:10"/>
    <n v="1.1666666666666667"/>
    <m/>
    <m/>
    <s v="Mombasa Road, Mua ward, Machakos Town, Machakos County, KE"/>
    <s v="Mombasa Road, Mua ward, Machakos Town, Machakos County, KE"/>
    <s v="-1.5784,37.1560"/>
    <s v="-1.5926,37.1630"/>
    <n v="1.8"/>
    <n v="1"/>
  </r>
  <r>
    <x v="2"/>
    <x v="81"/>
    <x v="82"/>
    <x v="2"/>
    <d v="2025-11-18T01:45:14"/>
    <s v="Tue"/>
    <n v="2025"/>
    <x v="1"/>
    <x v="6"/>
    <d v="2025-11-18T01:46:53"/>
    <n v="91.9"/>
    <s v="km/h"/>
    <s v="00:01:39"/>
    <n v="1.65"/>
    <m/>
    <m/>
    <s v="A1 Kisii-Keroka-Sotik-Litein-Chemosit-A12 Kericho, Nyansiongo ward, Borabu, Nyamira County, Nyanza, KE"/>
    <s v="A1 Kisii-Keroka-Sotik-Litein-Chemosit-A12 Kericho, Kijauri, Nyansiongo ward, Borabu, Nyamira County, Nyanza, KE"/>
    <s v="-0.7674,34.9925"/>
    <s v="-0.7593,35.0150"/>
    <n v="2.7"/>
    <n v="1"/>
  </r>
  <r>
    <x v="0"/>
    <x v="0"/>
    <x v="0"/>
    <x v="0"/>
    <d v="2025-11-17T23:33:16"/>
    <s v="Mon"/>
    <n v="2025"/>
    <x v="1"/>
    <x v="6"/>
    <d v="2025-11-17T23:33:17"/>
    <n v="77.400000000000006"/>
    <s v="km"/>
    <s v="00:00:01"/>
    <n v="1.6666666666666666E-2"/>
    <s v="Nairobi"/>
    <s v="Nairobi"/>
    <m/>
    <m/>
    <s v="-1.23567 , 36.87436"/>
    <s v="-1.2357 , 36.87442"/>
    <n v="0"/>
    <n v="1"/>
  </r>
  <r>
    <x v="2"/>
    <x v="82"/>
    <x v="83"/>
    <x v="2"/>
    <d v="2025-11-17T18:23:04"/>
    <s v="Mon"/>
    <n v="2025"/>
    <x v="1"/>
    <x v="6"/>
    <d v="2025-11-17T18:23:19"/>
    <n v="85.9"/>
    <s v="km/h"/>
    <s v="00:00:15"/>
    <n v="0.25"/>
    <m/>
    <m/>
    <s v="Kakamega Road, Makhokho, Idakho East ward, Ikolomani, Kakamega County, Western, KE"/>
    <s v="Kakamega Road, Makhokho, Idakho East ward, Ikolomani, Kakamega County, Western, KE"/>
    <s v="0.1682,34.7465"/>
    <s v="0.1643,34.7447"/>
    <n v="0.5"/>
    <n v="1"/>
  </r>
  <r>
    <x v="2"/>
    <x v="64"/>
    <x v="67"/>
    <x v="2"/>
    <d v="2025-11-17T18:10:36"/>
    <s v="Mon"/>
    <n v="2025"/>
    <x v="1"/>
    <x v="6"/>
    <d v="2025-11-17T18:11:26"/>
    <n v="82.3"/>
    <s v="km/h"/>
    <s v="00:00:49"/>
    <n v="0.81666666666666665"/>
    <m/>
    <m/>
    <s v="Nakuru - Eldoret Road, Equator, Eldama Ravine, Baringo, Rift Valley, KE"/>
    <s v="Nakuru - Eldoret Road, Equator, Eldama Ravine, Baringo, Rift Valley, KE"/>
    <s v="-0.0072,35.5901"/>
    <s v="-0.0143,35.5989"/>
    <n v="1.3"/>
    <n v="1"/>
  </r>
  <r>
    <x v="2"/>
    <x v="83"/>
    <x v="84"/>
    <x v="2"/>
    <d v="2025-11-17T16:14:33"/>
    <s v="Mon"/>
    <n v="2025"/>
    <x v="1"/>
    <x v="6"/>
    <d v="2025-11-17T16:16:32"/>
    <n v="82.8"/>
    <s v="km/h"/>
    <s v="00:01:59"/>
    <n v="1.9833333333333334"/>
    <m/>
    <m/>
    <s v="Limuru Road, Rwenu, Ndenderu, Ndenderu ward, Kiambaa, Kiambu, 11403, KE"/>
    <s v="Limuru Road, Ndenderu, Ndenderu ward, Kiambaa, Kiambu, 11403, KE"/>
    <s v="-1.1950,36.7513"/>
    <s v="-1.2045,36.7753"/>
    <n v="2.9"/>
    <n v="1"/>
  </r>
  <r>
    <x v="1"/>
    <x v="26"/>
    <x v="85"/>
    <x v="1"/>
    <d v="2025-11-16T19:32:39"/>
    <s v="Sun"/>
    <n v="2025"/>
    <x v="1"/>
    <x v="6"/>
    <d v="2025-11-16T19:32:39"/>
    <n v="43"/>
    <s v="km/h"/>
    <s v="00:00:00"/>
    <n v="0"/>
    <s v="Machakos"/>
    <s v="Machakos"/>
    <m/>
    <m/>
    <s v="-1.46594 , 37.01719"/>
    <s v="-1.46594 , 37.01719"/>
    <n v="0.125"/>
    <n v="1"/>
  </r>
  <r>
    <x v="3"/>
    <x v="69"/>
    <x v="71"/>
    <x v="1"/>
    <d v="2025-11-16T11:50:39"/>
    <s v="Sun"/>
    <n v="2025"/>
    <x v="1"/>
    <x v="6"/>
    <d v="2025-11-16T11:50:54"/>
    <n v="46"/>
    <s v="km/h"/>
    <s v="00:00:15"/>
    <n v="0.25"/>
    <s v="Kericho"/>
    <s v="Kericho"/>
    <m/>
    <m/>
    <s v="-0.17001 , 35.48178"/>
    <s v="-0.17022 , 35.48016"/>
    <n v="0.188"/>
    <n v="1"/>
  </r>
  <r>
    <x v="2"/>
    <x v="81"/>
    <x v="82"/>
    <x v="2"/>
    <d v="2025-11-16T06:12:15"/>
    <s v="Sun"/>
    <n v="2025"/>
    <x v="1"/>
    <x v="6"/>
    <d v="2025-11-16T06:13:14"/>
    <n v="94.1"/>
    <s v="km/h"/>
    <s v="00:00:58"/>
    <n v="0.96666666666666667"/>
    <m/>
    <m/>
    <s v="Kaplong-Narok-Maai Road, Ntulele, Mosiro ward, Narok East, Narok, Rift Valley, KE"/>
    <s v="Kaplong-Narok-Maai Road, Ntulele, Mosiro ward, Narok East, Narok, Rift Valley, KE"/>
    <s v="-1.0923,36.1071"/>
    <s v="-1.0934,36.0921"/>
    <n v="1.7"/>
    <n v="1"/>
  </r>
  <r>
    <x v="2"/>
    <x v="81"/>
    <x v="82"/>
    <x v="2"/>
    <d v="2025-11-15T22:04:01"/>
    <s v="Sat"/>
    <n v="2025"/>
    <x v="1"/>
    <x v="7"/>
    <d v="2025-11-15T22:04:59"/>
    <n v="80.3"/>
    <s v="km/h"/>
    <s v="00:00:57"/>
    <n v="0.95"/>
    <m/>
    <m/>
    <s v="Kaplong-Narok-Maai Road, Mai Mahiu sublocation, Pcea, Mai Mahiu ward, Naivasha, Nakuru, Rift Valley, 00221, KE"/>
    <s v="Kaplong-Narok-Maai Road, Sattelite sublocation, Kitet B, Mai Mahiu ward, Naivasha, Nakuru, Rift Valley, KE"/>
    <s v="-1.0055,36.5256"/>
    <s v="-1.0087,36.5135"/>
    <n v="1.4"/>
    <n v="1"/>
  </r>
  <r>
    <x v="2"/>
    <x v="82"/>
    <x v="83"/>
    <x v="2"/>
    <d v="2025-11-15T18:30:00"/>
    <s v="Sat"/>
    <n v="2025"/>
    <x v="1"/>
    <x v="7"/>
    <d v="2025-11-15T18:31:35"/>
    <n v="81.599999999999994"/>
    <s v="km/h"/>
    <s v="00:00:50"/>
    <n v="0.83333333333333337"/>
    <m/>
    <m/>
    <s v="Kakamega-Kitale Road, Kiminini, Trans-Nzoia County, KE"/>
    <s v="Kakamega-Kitale Road, Kiminini, Trans-Nzoia County, KE"/>
    <s v="0.8663,34.8762"/>
    <s v="0.8714,34.8862"/>
    <n v="1.2"/>
    <n v="1"/>
  </r>
  <r>
    <x v="3"/>
    <x v="54"/>
    <x v="57"/>
    <x v="1"/>
    <d v="2025-11-14T19:16:41"/>
    <s v="Fri"/>
    <n v="2025"/>
    <x v="1"/>
    <x v="7"/>
    <d v="2025-11-14T19:16:46"/>
    <n v="36"/>
    <s v="km/h"/>
    <s v="00:00:05"/>
    <n v="8.3333333333333329E-2"/>
    <s v="Makueni"/>
    <s v="Makueni"/>
    <m/>
    <m/>
    <s v="-2.59986 , 38.06696"/>
    <s v="-2.59938 , 38.06678"/>
    <n v="9.4E-2"/>
    <n v="1"/>
  </r>
  <r>
    <x v="3"/>
    <x v="39"/>
    <x v="40"/>
    <x v="1"/>
    <d v="2025-11-14T09:28:48"/>
    <s v="Fri"/>
    <n v="2025"/>
    <x v="1"/>
    <x v="7"/>
    <d v="2025-11-14T09:28:51"/>
    <n v="31"/>
    <s v="km/h"/>
    <s v="00:00:03"/>
    <n v="0.05"/>
    <s v="Nakuru"/>
    <s v="Nakuru"/>
    <m/>
    <m/>
    <s v="-0.57711 , 36.36563"/>
    <s v="-0.57734 , 36.36581"/>
    <n v="9.4E-2"/>
    <n v="1"/>
  </r>
  <r>
    <x v="3"/>
    <x v="39"/>
    <x v="40"/>
    <x v="1"/>
    <d v="2025-11-14T05:31:34"/>
    <s v="Fri"/>
    <n v="2025"/>
    <x v="1"/>
    <x v="7"/>
    <d v="2025-11-14T05:31:36"/>
    <n v="34"/>
    <s v="km/h"/>
    <s v="00:00:02"/>
    <n v="3.3333333333333333E-2"/>
    <s v="Nakuru"/>
    <s v="Nakuru"/>
    <m/>
    <m/>
    <s v="-0.21973 , 35.73623"/>
    <s v="-0.21987 , 35.73641"/>
    <n v="0"/>
    <n v="1"/>
  </r>
  <r>
    <x v="2"/>
    <x v="84"/>
    <x v="86"/>
    <x v="2"/>
    <d v="2025-11-13T12:31:49"/>
    <s v="Thu"/>
    <n v="2025"/>
    <x v="1"/>
    <x v="7"/>
    <d v="2025-11-13T12:32:49"/>
    <n v="84.5"/>
    <s v="km/h"/>
    <s v="00:01:00"/>
    <n v="1"/>
    <m/>
    <m/>
    <s v="Mombasa Road, Salama, Kilome, Makueni, KE"/>
    <s v="Mombasa Road, Salama, Kilome, Makueni, KE"/>
    <s v="-1.8184,37.2373"/>
    <s v="-1.8305,37.2438"/>
    <n v="1.5"/>
    <n v="1"/>
  </r>
  <r>
    <x v="2"/>
    <x v="81"/>
    <x v="82"/>
    <x v="2"/>
    <d v="2025-11-13T07:28:26"/>
    <s v="Thu"/>
    <n v="2025"/>
    <x v="1"/>
    <x v="7"/>
    <d v="2025-11-13T07:29:26"/>
    <n v="89.1"/>
    <s v="km/h"/>
    <s v="00:00:59"/>
    <n v="0.98333333333333328"/>
    <m/>
    <m/>
    <s v="Eldoret-Malaba Road, Gatimu sublocation, Sigona ward, Kikuyu, Kiambu, 00217, KE"/>
    <s v="Eldoret-Malaba Road, Kiambaa, Muguga ward, Kabete, Kiambu, KE"/>
    <s v="-1.1757,36.6423"/>
    <s v="-1.1888,36.6484"/>
    <n v="1.6"/>
    <n v="1"/>
  </r>
  <r>
    <x v="2"/>
    <x v="85"/>
    <x v="87"/>
    <x v="2"/>
    <d v="2025-11-11T20:33:49"/>
    <s v="Tue"/>
    <n v="2025"/>
    <x v="1"/>
    <x v="7"/>
    <d v="2025-11-11T20:34:16"/>
    <n v="96"/>
    <s v="km/h"/>
    <s v="00:00:27"/>
    <n v="0.45"/>
    <m/>
    <m/>
    <s v="Naivasha-Mai Mahiu-Limuru Rd., Longonot sublocation, Astu, Hells Gate ward, Naivasha, Nakuru, Rift Valley, KE"/>
    <s v="Naivasha-Mai Mahiu-Limuru Rd., Longonot sublocation, Astu, Hells Gate ward, Naivasha, Nakuru, Rift Valley, KE"/>
    <s v="-0.9599,37.1086"/>
    <s v="-0.9629,37.1027"/>
    <n v="0.7"/>
    <n v="1"/>
  </r>
  <r>
    <x v="1"/>
    <x v="10"/>
    <x v="20"/>
    <x v="1"/>
    <d v="2025-11-10T10:38:52"/>
    <s v="Mon"/>
    <n v="2025"/>
    <x v="1"/>
    <x v="7"/>
    <d v="2025-11-10T10:39:01"/>
    <n v="69"/>
    <s v="km/h"/>
    <s v="00:00:09"/>
    <n v="0.15"/>
    <s v="Murang'a"/>
    <s v="Murang'a"/>
    <m/>
    <m/>
    <s v="-0.96197 , 37.10403"/>
    <s v="-0.96125 , 37.10575"/>
    <n v="0.188"/>
    <n v="1"/>
  </r>
  <r>
    <x v="2"/>
    <x v="86"/>
    <x v="88"/>
    <x v="2"/>
    <d v="2025-11-10T06:53:42"/>
    <s v="Mon"/>
    <n v="2025"/>
    <x v="1"/>
    <x v="7"/>
    <d v="2025-11-10T06:53:57"/>
    <n v="82"/>
    <s v="km/h"/>
    <s v="00:00:14"/>
    <n v="0.23333333333333334"/>
    <m/>
    <m/>
    <s v="Kaplong-Narok-Maai Road, Ololulung'a ward, Narok South, Narok, Rift Valley, KE"/>
    <s v="Kaplong-Narok-Maai Road, Ololulung'a ward, Narok South, Narok, Rift Valley, KE"/>
    <s v="-0.5427,36.3396"/>
    <s v="-0.5454,36.3426"/>
    <n v="0.4"/>
    <n v="1"/>
  </r>
  <r>
    <x v="1"/>
    <x v="66"/>
    <x v="89"/>
    <x v="0"/>
    <d v="2025-11-09T23:09:20"/>
    <s v="Sun"/>
    <n v="2025"/>
    <x v="1"/>
    <x v="7"/>
    <d v="2025-11-09T23:36:35"/>
    <n v="18.3"/>
    <s v="km"/>
    <s v="00:27:15"/>
    <n v="27.25"/>
    <s v="Nakuru"/>
    <s v="Nakuru"/>
    <m/>
    <m/>
    <s v="-0.86033 , 36.48083"/>
    <s v="-0.98297 , 36.58628"/>
    <n v="18.125"/>
    <n v="1"/>
  </r>
  <r>
    <x v="3"/>
    <x v="39"/>
    <x v="40"/>
    <x v="0"/>
    <d v="2025-11-09T23:00:00"/>
    <s v="Sun"/>
    <n v="2025"/>
    <x v="1"/>
    <x v="7"/>
    <d v="2025-11-09T23:01:28"/>
    <n v="1.4"/>
    <s v="km"/>
    <s v="00:01:28"/>
    <n v="1.4666666666666668"/>
    <s v="Nakuru"/>
    <s v="Nakuru"/>
    <m/>
    <m/>
    <s v="-0.81512 , 36.46747"/>
    <s v="-0.8122 , 36.46675"/>
    <n v="0.312"/>
    <n v="1"/>
  </r>
  <r>
    <x v="1"/>
    <x v="24"/>
    <x v="20"/>
    <x v="1"/>
    <d v="2025-11-09T16:57:15"/>
    <s v="Sun"/>
    <n v="2025"/>
    <x v="1"/>
    <x v="7"/>
    <d v="2025-11-09T16:57:24"/>
    <n v="51"/>
    <s v="km/h"/>
    <s v="00:00:09"/>
    <n v="0.15"/>
    <s v="Kiambu"/>
    <s v="Kiambu"/>
    <m/>
    <m/>
    <s v="-1.15472 , 36.67308"/>
    <s v="-1.15469 , 36.67436"/>
    <n v="0.125"/>
    <n v="1"/>
  </r>
  <r>
    <x v="2"/>
    <x v="87"/>
    <x v="90"/>
    <x v="2"/>
    <d v="2025-11-09T13:27:40"/>
    <s v="Sun"/>
    <n v="2025"/>
    <x v="1"/>
    <x v="7"/>
    <d v="2025-11-09T13:29:10"/>
    <n v="89"/>
    <s v="km/h"/>
    <s v="00:01:30"/>
    <n v="1.5"/>
    <m/>
    <m/>
    <s v="Naivasha-Mai Mahiu-Limuru Road, Mai Mahiu sublocation, Jikaze, Mai Mahiu ward, Naivasha, Nakuru, Rift Valley, 00221, KE"/>
    <s v="Naivasha-Mai Mahiu-Limuru Road, Mai Mahiu sublocation, Jikaze, Mai Mahiu ward, Naivasha, Nakuru, Rift Valley, 00221, KE"/>
    <s v="-0.9278,36.5311"/>
    <s v="-0.9425,36.5435"/>
    <n v="2.1"/>
    <n v="1"/>
  </r>
  <r>
    <x v="2"/>
    <x v="88"/>
    <x v="91"/>
    <x v="2"/>
    <d v="2025-11-09T10:44:44"/>
    <s v="Sun"/>
    <n v="2025"/>
    <x v="1"/>
    <x v="7"/>
    <d v="2025-11-09T10:45:54"/>
    <n v="99"/>
    <s v="km/h"/>
    <s v="00:01:09"/>
    <n v="1.1499999999999999"/>
    <m/>
    <m/>
    <s v="Nakuru-Kisumu Road, Industrial Area, Soilo 2, London ward, Nakuru West, Nakuru, Rift Valley, KE"/>
    <s v="Nakuru-Kisumu Road, Industrial Area, Soilo 2, London ward, Nakuru West, Nakuru, Rift Valley, KE"/>
    <s v="-0.9229,36.5271"/>
    <s v="-0.9350,36.5372"/>
    <n v="1.8"/>
    <n v="1"/>
  </r>
  <r>
    <x v="2"/>
    <x v="88"/>
    <x v="91"/>
    <x v="2"/>
    <d v="2025-11-09T06:17:59"/>
    <s v="Sun"/>
    <n v="2025"/>
    <x v="1"/>
    <x v="7"/>
    <d v="2025-11-09T06:18:26"/>
    <n v="88"/>
    <s v="km/h"/>
    <s v="00:00:26"/>
    <n v="0.43333333333333335"/>
    <m/>
    <m/>
    <s v="Nairobi-Nakuru Road, Eburu sublocation, Mbaruk/Eburu ward, Gilgil, Nakuru, Rift Valley, 20116, KE"/>
    <s v="Nairobi-Nakuru Road, Eburu sublocation, Mbaruk/Eburu ward, Gilgil, Nakuru, Rift Valley, 20116, KE"/>
    <s v="-0.2794,36.0288"/>
    <s v="-0.2821,36.0347"/>
    <n v="0.7"/>
    <n v="1"/>
  </r>
  <r>
    <x v="1"/>
    <x v="89"/>
    <x v="55"/>
    <x v="0"/>
    <d v="2025-11-08T23:00:41"/>
    <s v="Sat"/>
    <n v="2025"/>
    <x v="1"/>
    <x v="8"/>
    <d v="2025-11-09T00:03:05"/>
    <n v="30.8"/>
    <s v="km"/>
    <s v="01:02:24"/>
    <n v="62.4"/>
    <s v="Nakuru"/>
    <s v="Nakuru"/>
    <m/>
    <m/>
    <s v="-0.23314 , 35.90422"/>
    <s v="-0.31994 , 36.147"/>
    <n v="30.687999999999999"/>
    <n v="1"/>
  </r>
  <r>
    <x v="1"/>
    <x v="31"/>
    <x v="92"/>
    <x v="0"/>
    <d v="2025-11-08T23:00:19"/>
    <s v="Sat"/>
    <n v="2025"/>
    <x v="1"/>
    <x v="8"/>
    <d v="2025-11-08T23:14:45"/>
    <n v="1.5"/>
    <s v="km"/>
    <s v="00:14:26"/>
    <n v="14.433333333333334"/>
    <s v="Nakuru"/>
    <s v="Nakuru"/>
    <m/>
    <m/>
    <s v="-0.28469 , 36.10336"/>
    <s v="-0.28242 , 36.09317"/>
    <n v="1.4019999999999999"/>
    <n v="1"/>
  </r>
  <r>
    <x v="3"/>
    <x v="39"/>
    <x v="40"/>
    <x v="1"/>
    <d v="2025-11-08T16:12:27"/>
    <s v="Sat"/>
    <n v="2025"/>
    <x v="1"/>
    <x v="8"/>
    <d v="2025-11-08T16:12:30"/>
    <n v="35"/>
    <s v="km/h"/>
    <s v="00:00:03"/>
    <n v="0.05"/>
    <s v="Nakuru"/>
    <s v="Nakuru"/>
    <m/>
    <m/>
    <s v="-1.01222 , 36.49113"/>
    <s v="-1.01219 , 36.49148"/>
    <n v="9.4E-2"/>
    <n v="1"/>
  </r>
  <r>
    <x v="2"/>
    <x v="90"/>
    <x v="93"/>
    <x v="2"/>
    <d v="2025-11-08T12:59:42"/>
    <s v="Sat"/>
    <n v="2025"/>
    <x v="1"/>
    <x v="8"/>
    <d v="2025-11-08T13:01:11"/>
    <n v="86"/>
    <s v="km/h"/>
    <s v="00:01:29"/>
    <n v="1.4833333333333334"/>
    <m/>
    <m/>
    <m/>
    <m/>
    <s v="-0.8297,36.4717"/>
    <s v="-0.8116,36.4664"/>
    <n v="2.1"/>
    <n v="1"/>
  </r>
  <r>
    <x v="1"/>
    <x v="25"/>
    <x v="94"/>
    <x v="1"/>
    <d v="2025-11-07T18:14:20"/>
    <s v="Fri"/>
    <n v="2025"/>
    <x v="1"/>
    <x v="8"/>
    <d v="2025-11-07T18:14:23"/>
    <n v="36"/>
    <s v="km/h"/>
    <s v="00:00:03"/>
    <n v="0.05"/>
    <s v="Kisumu"/>
    <s v="Kisumu"/>
    <m/>
    <m/>
    <s v="-0.15903 , 35.07017"/>
    <s v="-0.15919 , 35.07053"/>
    <n v="9.8000000000000004E-2"/>
    <n v="1"/>
  </r>
  <r>
    <x v="2"/>
    <x v="91"/>
    <x v="95"/>
    <x v="2"/>
    <d v="2025-11-07T15:20:03"/>
    <s v="Fri"/>
    <n v="2025"/>
    <x v="1"/>
    <x v="8"/>
    <d v="2025-11-07T15:20:19"/>
    <n v="84"/>
    <s v="km/h"/>
    <s v="00:00:16"/>
    <n v="0.26666666666666666"/>
    <m/>
    <m/>
    <s v="Meru-Nairobi Highway, Kenol, Gatanga, Murang'a County, 01000, KE"/>
    <s v="Meru-Nairobi Highway, Kenol, Gatanga, Murang'a County, 01000, KE"/>
    <s v="-1.0193,35.6593"/>
    <s v="-1.0188,35.6635"/>
    <n v="0.5"/>
    <n v="1"/>
  </r>
  <r>
    <x v="1"/>
    <x v="92"/>
    <x v="96"/>
    <x v="1"/>
    <d v="2025-11-07T05:27:30"/>
    <s v="Fri"/>
    <n v="2025"/>
    <x v="1"/>
    <x v="8"/>
    <d v="2025-11-07T05:28:08"/>
    <n v="68"/>
    <s v="km/h"/>
    <s v="00:00:38"/>
    <n v="0.6333333333333333"/>
    <s v="Kiambu"/>
    <s v="Kiambu"/>
    <m/>
    <m/>
    <s v="-1.14988 , 36.96197"/>
    <s v="-1.14454 , 36.96463"/>
    <n v="0.68799999999999994"/>
    <n v="1"/>
  </r>
  <r>
    <x v="1"/>
    <x v="92"/>
    <x v="96"/>
    <x v="1"/>
    <d v="2025-11-07T05:22:49"/>
    <s v="Fri"/>
    <n v="2025"/>
    <x v="1"/>
    <x v="8"/>
    <d v="2025-11-07T05:22:56"/>
    <n v="66"/>
    <s v="km/h"/>
    <s v="00:00:07"/>
    <n v="0.11666666666666667"/>
    <s v="Kiambu"/>
    <s v="Kiambu"/>
    <m/>
    <m/>
    <s v="-1.17637 , 36.94244"/>
    <s v="-1.17539 , 36.94332"/>
    <n v="0.188"/>
    <n v="1"/>
  </r>
  <r>
    <x v="1"/>
    <x v="92"/>
    <x v="96"/>
    <x v="1"/>
    <d v="2025-11-07T05:19:12"/>
    <s v="Fri"/>
    <n v="2025"/>
    <x v="1"/>
    <x v="8"/>
    <d v="2025-11-07T05:19:29"/>
    <n v="74"/>
    <s v="km/h"/>
    <s v="00:00:17"/>
    <n v="0.28333333333333333"/>
    <s v="Nairobi"/>
    <s v="Nairobi"/>
    <m/>
    <m/>
    <s v="-1.20061 , 36.91962"/>
    <s v="-1.19837 , 36.92176"/>
    <n v="0.375"/>
    <n v="1"/>
  </r>
  <r>
    <x v="1"/>
    <x v="92"/>
    <x v="96"/>
    <x v="1"/>
    <d v="2025-11-07T05:16:59"/>
    <s v="Fri"/>
    <n v="2025"/>
    <x v="1"/>
    <x v="8"/>
    <d v="2025-11-07T05:17:13"/>
    <n v="75"/>
    <s v="km/h"/>
    <s v="00:00:14"/>
    <n v="0.23333333333333334"/>
    <s v="Nairobi"/>
    <s v="Nairobi"/>
    <m/>
    <m/>
    <s v="-1.21225 , 36.90335"/>
    <s v="-1.21139 , 36.90595"/>
    <n v="0.312"/>
    <n v="1"/>
  </r>
  <r>
    <x v="1"/>
    <x v="51"/>
    <x v="20"/>
    <x v="0"/>
    <d v="2025-11-06T23:31:39"/>
    <s v="Thu"/>
    <n v="2025"/>
    <x v="1"/>
    <x v="8"/>
    <d v="2025-11-06T23:49:27"/>
    <n v="1.6"/>
    <s v="km"/>
    <s v="00:17:48"/>
    <n v="17.8"/>
    <s v="Mombasa"/>
    <s v="Mombasa"/>
    <m/>
    <m/>
    <s v="-4.02503 , 39.62517"/>
    <s v="-4.02536 , 39.63342"/>
    <n v="1.5"/>
    <n v="1"/>
  </r>
  <r>
    <x v="1"/>
    <x v="93"/>
    <x v="97"/>
    <x v="0"/>
    <d v="2025-11-06T23:16:36"/>
    <s v="Thu"/>
    <n v="2025"/>
    <x v="1"/>
    <x v="8"/>
    <d v="2025-11-06T23:26:22"/>
    <n v="2.8"/>
    <s v="km"/>
    <s v="00:09:46"/>
    <n v="9.7666666666666675"/>
    <s v="Nakuru"/>
    <s v="Nakuru"/>
    <m/>
    <m/>
    <s v="-0.29303 , 36.06039"/>
    <s v="-0.28811 , 36.05889"/>
    <n v="2.625"/>
    <n v="1"/>
  </r>
  <r>
    <x v="1"/>
    <x v="51"/>
    <x v="20"/>
    <x v="0"/>
    <d v="2025-11-06T23:12:52"/>
    <s v="Thu"/>
    <n v="2025"/>
    <x v="1"/>
    <x v="8"/>
    <d v="2025-11-06T23:29:46"/>
    <n v="7.1"/>
    <s v="km"/>
    <s v="00:16:54"/>
    <n v="16.899999999999999"/>
    <s v="Mombasa"/>
    <s v="Mombasa"/>
    <m/>
    <m/>
    <s v="-4.04108 , 39.67811"/>
    <s v="-4.02436 , 39.62364"/>
    <n v="6.875"/>
    <n v="1"/>
  </r>
  <r>
    <x v="1"/>
    <x v="89"/>
    <x v="55"/>
    <x v="0"/>
    <d v="2025-11-06T23:00:01"/>
    <s v="Thu"/>
    <n v="2025"/>
    <x v="1"/>
    <x v="8"/>
    <d v="2025-11-06T23:14:26"/>
    <n v="44.5"/>
    <s v="km"/>
    <s v="00:14:25"/>
    <n v="14.416666666666666"/>
    <s v="Nakuru"/>
    <s v="Nakuru"/>
    <m/>
    <m/>
    <s v="-0.7735 , 36.45136"/>
    <s v="-0.7155 , 36.43097"/>
    <n v="6.6879999999999997"/>
    <n v="1"/>
  </r>
  <r>
    <x v="1"/>
    <x v="51"/>
    <x v="20"/>
    <x v="0"/>
    <d v="2025-11-06T23:00:01"/>
    <s v="Thu"/>
    <n v="2025"/>
    <x v="1"/>
    <x v="8"/>
    <d v="2025-11-06T23:12:24"/>
    <n v="14.4"/>
    <s v="km/h"/>
    <s v="00:12:23"/>
    <n v="12.383333333333333"/>
    <s v="Mombasa"/>
    <s v="Mombasa"/>
    <m/>
    <m/>
    <s v="-4.02367 , 39.70767"/>
    <s v="-4.03994 , 39.67967"/>
    <n v="3.625"/>
    <n v="1"/>
  </r>
  <r>
    <x v="1"/>
    <x v="31"/>
    <x v="92"/>
    <x v="0"/>
    <d v="2025-11-06T23:00:01"/>
    <s v="Thu"/>
    <n v="2025"/>
    <x v="1"/>
    <x v="8"/>
    <d v="2025-11-06T23:24:14"/>
    <n v="34.700000000000003"/>
    <s v="km"/>
    <s v="00:24:13"/>
    <n v="24.216666666666665"/>
    <s v="Nakuru"/>
    <s v="Nakuru"/>
    <s v="Naivasha-Mai Mahiu-Limuru Road, Mai Mahiu sublocation, Jikaze, Mai Mahiu ward, Naivasha, Nakuru, Rift Valley, 00221, KE"/>
    <s v="Naivasha-Mai Mahiu-Limuru Road, Mai Mahiu sublocation, Jikaze, Mai Mahiu ward, Naivasha, Nakuru, Rift Valley, 00221, KE"/>
    <s v="-0.84317 , 36.47567"/>
    <s v="-0.71533 , 36.43111"/>
    <n v="11.699"/>
    <n v="1"/>
  </r>
  <r>
    <x v="1"/>
    <x v="25"/>
    <x v="94"/>
    <x v="1"/>
    <d v="2025-11-06T18:25:17"/>
    <s v="Thu"/>
    <n v="2025"/>
    <x v="1"/>
    <x v="8"/>
    <d v="2025-11-06T18:25:23"/>
    <n v="49"/>
    <s v="km/h"/>
    <s v="00:00:06"/>
    <n v="0.1"/>
    <s v="Kericho"/>
    <s v="Kericho"/>
    <m/>
    <m/>
    <s v="-0.3015 , 35.40817"/>
    <s v="-0.302 , 35.4075"/>
    <n v="9.8000000000000004E-2"/>
    <n v="1"/>
  </r>
  <r>
    <x v="3"/>
    <x v="50"/>
    <x v="52"/>
    <x v="1"/>
    <d v="2025-11-06T16:23:28"/>
    <s v="Thu"/>
    <n v="2025"/>
    <x v="1"/>
    <x v="8"/>
    <d v="2025-11-06T16:23:32"/>
    <n v="33"/>
    <s v="km/h"/>
    <s v="00:00:04"/>
    <n v="6.6666666666666666E-2"/>
    <s v="Kericho"/>
    <s v="Kericho"/>
    <m/>
    <m/>
    <s v="-0.20615 , 35.345"/>
    <s v="-0.206 , 35.34541"/>
    <n v="0.125"/>
    <n v="1"/>
  </r>
  <r>
    <x v="1"/>
    <x v="25"/>
    <x v="94"/>
    <x v="1"/>
    <d v="2025-11-06T11:20:43"/>
    <s v="Thu"/>
    <n v="2025"/>
    <x v="1"/>
    <x v="8"/>
    <d v="2025-11-06T11:20:44"/>
    <n v="31"/>
    <s v="km/h"/>
    <s v="00:00:01"/>
    <n v="1.6666666666666666E-2"/>
    <s v="Kiambu"/>
    <s v="Kiambu"/>
    <m/>
    <m/>
    <s v="-1.12242 , 36.62483"/>
    <s v="-1.12228 , 36.62475"/>
    <n v="9.8000000000000004E-2"/>
    <n v="1"/>
  </r>
  <r>
    <x v="0"/>
    <x v="94"/>
    <x v="98"/>
    <x v="4"/>
    <d v="2025-11-06T07:59:17"/>
    <s v="Thu"/>
    <n v="2025"/>
    <x v="1"/>
    <x v="8"/>
    <d v="2025-11-06T07:59:18"/>
    <n v="11"/>
    <s v="km/h/s"/>
    <s v="00:00:01"/>
    <n v="1.6666666666666666E-2"/>
    <s v="Nairobi"/>
    <m/>
    <m/>
    <m/>
    <s v="-1.23588 , 36.87228"/>
    <m/>
    <n v="0"/>
    <n v="1"/>
  </r>
  <r>
    <x v="3"/>
    <x v="52"/>
    <x v="54"/>
    <x v="0"/>
    <d v="2025-11-05T23:00:00"/>
    <s v="Wed"/>
    <n v="2025"/>
    <x v="1"/>
    <x v="8"/>
    <d v="2025-11-05T23:00:32"/>
    <n v="47.1"/>
    <s v="km"/>
    <s v="00:00:32"/>
    <n v="0.53333333333333333"/>
    <s v="Nakuru"/>
    <s v="Nakuru"/>
    <m/>
    <m/>
    <s v="-0.15853 , 35.69334"/>
    <s v="-0.15853 , 35.69334"/>
    <n v="0"/>
    <n v="1"/>
  </r>
  <r>
    <x v="0"/>
    <x v="95"/>
    <x v="99"/>
    <x v="1"/>
    <d v="2025-11-05T17:06:40"/>
    <s v="Wed"/>
    <n v="2025"/>
    <x v="1"/>
    <x v="8"/>
    <d v="2025-11-05T17:06:46"/>
    <n v="67"/>
    <s v="km/h"/>
    <s v="00:00:06"/>
    <n v="0.1"/>
    <s v="Makueni"/>
    <s v="Makueni"/>
    <m/>
    <m/>
    <s v="-1.97601 , 37.33048"/>
    <s v="-1.9767 , 37.33143"/>
    <n v="0.109"/>
    <n v="1"/>
  </r>
  <r>
    <x v="0"/>
    <x v="95"/>
    <x v="99"/>
    <x v="1"/>
    <d v="2025-11-05T17:04:05"/>
    <s v="Wed"/>
    <n v="2025"/>
    <x v="1"/>
    <x v="8"/>
    <d v="2025-11-05T17:04:09"/>
    <n v="53"/>
    <s v="km/h"/>
    <s v="00:00:04"/>
    <n v="6.6666666666666666E-2"/>
    <s v="Makueni"/>
    <s v="Makueni"/>
    <m/>
    <m/>
    <s v="-1.96427 , 37.31708"/>
    <s v="-1.96468 , 37.31745"/>
    <n v="0.109"/>
    <n v="1"/>
  </r>
  <r>
    <x v="0"/>
    <x v="95"/>
    <x v="99"/>
    <x v="1"/>
    <d v="2025-11-05T16:53:46"/>
    <s v="Wed"/>
    <n v="2025"/>
    <x v="1"/>
    <x v="8"/>
    <d v="2025-11-05T16:53:51"/>
    <n v="70"/>
    <s v="km/h"/>
    <s v="00:00:05"/>
    <n v="8.3333333333333329E-2"/>
    <s v="Makueni"/>
    <s v="Makueni"/>
    <m/>
    <m/>
    <s v="-1.90211 , 37.27443"/>
    <s v="-1.903 , 37.27499"/>
    <n v="9.4E-2"/>
    <n v="1"/>
  </r>
  <r>
    <x v="0"/>
    <x v="95"/>
    <x v="99"/>
    <x v="1"/>
    <d v="2025-11-05T16:26:48"/>
    <s v="Wed"/>
    <n v="2025"/>
    <x v="1"/>
    <x v="8"/>
    <d v="2025-11-05T16:26:49"/>
    <n v="49"/>
    <s v="km/h"/>
    <s v="00:00:01"/>
    <n v="1.6666666666666666E-2"/>
    <s v="Makueni"/>
    <s v="Makueni"/>
    <m/>
    <m/>
    <s v="-1.73405 , 37.19824"/>
    <s v="-1.73417 , 37.19825"/>
    <n v="0"/>
    <n v="1"/>
  </r>
  <r>
    <x v="3"/>
    <x v="45"/>
    <x v="46"/>
    <x v="0"/>
    <d v="2025-11-05T03:56:13"/>
    <s v="Wed"/>
    <n v="2025"/>
    <x v="1"/>
    <x v="8"/>
    <d v="2025-11-05T03:59:58"/>
    <n v="0.4"/>
    <s v="km"/>
    <s v="00:03:45"/>
    <n v="3.75"/>
    <s v="Nakuru"/>
    <s v="Nakuru"/>
    <m/>
    <m/>
    <s v="-0.71501 , 36.43089"/>
    <s v="-0.71501 , 36.43089"/>
    <n v="0"/>
    <n v="1"/>
  </r>
  <r>
    <x v="2"/>
    <x v="37"/>
    <x v="38"/>
    <x v="2"/>
    <d v="2025-11-05T00:00:00"/>
    <s v="Wed"/>
    <n v="2025"/>
    <x v="1"/>
    <x v="8"/>
    <d v="2025-11-05T00:00:00"/>
    <n v="88"/>
    <s v="km/h"/>
    <s v="00:01:08"/>
    <n v="1.1333333333333333"/>
    <s v="Machakos"/>
    <s v="Machakos"/>
    <m/>
    <m/>
    <s v="-1.5217,37.1156"/>
    <s v="-1.5217,37.1156"/>
    <n v="1.7"/>
    <n v="1"/>
  </r>
  <r>
    <x v="2"/>
    <x v="96"/>
    <x v="100"/>
    <x v="2"/>
    <d v="2025-11-04T00:00:00"/>
    <s v="Tue"/>
    <n v="2025"/>
    <x v="1"/>
    <x v="8"/>
    <d v="2025-11-04T00:00:00"/>
    <n v="101"/>
    <s v="km/h"/>
    <s v="00:01:59"/>
    <n v="1.9833333333333334"/>
    <s v="Samburu"/>
    <s v="Samburu"/>
    <m/>
    <m/>
    <s v="0.8054,37.5509"/>
    <s v="-1.4971,37.0741"/>
    <n v="3"/>
    <n v="1"/>
  </r>
  <r>
    <x v="3"/>
    <x v="42"/>
    <x v="43"/>
    <x v="0"/>
    <d v="2025-11-03T23:00:00"/>
    <s v="Mon"/>
    <n v="2025"/>
    <x v="1"/>
    <x v="8"/>
    <d v="2025-11-03T23:23:11"/>
    <n v="92.7"/>
    <s v="km"/>
    <s v="00:23:11"/>
    <n v="23.183333333333334"/>
    <s v="Kirinyaga"/>
    <s v="Kirinyaga"/>
    <m/>
    <s v="MISTERTHREE DISTRIBUTORS LTD"/>
    <s v="-0.73183 , 37.32426"/>
    <s v="-0.66345 , 37.36374"/>
    <n v="9.609"/>
    <n v="1"/>
  </r>
  <r>
    <x v="3"/>
    <x v="97"/>
    <x v="101"/>
    <x v="0"/>
    <d v="2025-11-03T23:00:00"/>
    <s v="Mon"/>
    <n v="2025"/>
    <x v="1"/>
    <x v="8"/>
    <d v="2025-11-03T23:05:07"/>
    <n v="90.4"/>
    <s v="km"/>
    <s v="00:05:07"/>
    <n v="5.1166666666666663"/>
    <s v="Kirinyaga"/>
    <s v="Kirinyaga"/>
    <m/>
    <m/>
    <s v="-0.66835 , 37.36258"/>
    <s v="-0.66311 , 37.36391"/>
    <n v="0.60199999999999998"/>
    <n v="1"/>
  </r>
  <r>
    <x v="3"/>
    <x v="39"/>
    <x v="40"/>
    <x v="1"/>
    <d v="2025-11-03T21:16:46"/>
    <s v="Mon"/>
    <n v="2025"/>
    <x v="1"/>
    <x v="8"/>
    <d v="2025-11-03T21:16:47"/>
    <n v="32"/>
    <s v="km/h"/>
    <s v="00:00:01"/>
    <n v="1.6666666666666666E-2"/>
    <s v="Kericho"/>
    <s v="Kericho"/>
    <m/>
    <m/>
    <s v="-0.17484 , 35.61946"/>
    <s v="-0.17488 , 35.61941"/>
    <n v="0"/>
    <n v="1"/>
  </r>
  <r>
    <x v="1"/>
    <x v="98"/>
    <x v="102"/>
    <x v="1"/>
    <d v="2025-11-03T17:10:47"/>
    <s v="Mon"/>
    <n v="2025"/>
    <x v="1"/>
    <x v="8"/>
    <d v="2025-11-03T17:10:48"/>
    <n v="33"/>
    <s v="km/h"/>
    <s v="00:00:01"/>
    <n v="1.6666666666666666E-2"/>
    <s v="Kericho"/>
    <s v="Kericho"/>
    <m/>
    <m/>
    <s v="-0.2105 , 35.15247"/>
    <s v="-0.21067 , 35.1525"/>
    <n v="0"/>
    <n v="1"/>
  </r>
  <r>
    <x v="3"/>
    <x v="50"/>
    <x v="52"/>
    <x v="0"/>
    <d v="2025-11-02T23:00:00"/>
    <s v="Sun"/>
    <n v="2025"/>
    <x v="1"/>
    <x v="8"/>
    <d v="2025-11-02T23:02:41"/>
    <n v="107.8"/>
    <s v="km"/>
    <s v="00:02:41"/>
    <n v="2.6833333333333336"/>
    <s v="Nakuru"/>
    <s v="Nakuru"/>
    <m/>
    <m/>
    <s v="-0.49968 , 36.31414"/>
    <s v="-0.49968 , 36.31414"/>
    <n v="0"/>
    <n v="1"/>
  </r>
  <r>
    <x v="3"/>
    <x v="45"/>
    <x v="46"/>
    <x v="0"/>
    <d v="2025-11-02T23:00:00"/>
    <s v="Sun"/>
    <n v="2025"/>
    <x v="1"/>
    <x v="8"/>
    <d v="2025-11-02T23:06:53"/>
    <n v="223.1"/>
    <s v="km"/>
    <s v="00:06:53"/>
    <n v="6.8833333333333329"/>
    <s v="Nakuru"/>
    <s v="Nakuru"/>
    <m/>
    <m/>
    <s v="-0.49872 , 36.3132"/>
    <s v="-0.49947 , 36.31417"/>
    <n v="0.219"/>
    <n v="1"/>
  </r>
  <r>
    <x v="3"/>
    <x v="6"/>
    <x v="6"/>
    <x v="4"/>
    <d v="2025-11-02T16:06:01"/>
    <s v="Sun"/>
    <n v="2025"/>
    <x v="1"/>
    <x v="8"/>
    <d v="2025-11-02T16:06:02"/>
    <n v="15"/>
    <s v="km/h/s"/>
    <s v="00:00:01"/>
    <n v="1.6666666666666666E-2"/>
    <s v="Nairobi"/>
    <m/>
    <s v="Kenya Breweries Limited; Check Point 3 - Exit Weigh Bridge; KBL FACTORY"/>
    <m/>
    <s v="-1.23687 , 36.87538"/>
    <m/>
    <n v="0"/>
    <n v="1"/>
  </r>
  <r>
    <x v="1"/>
    <x v="48"/>
    <x v="7"/>
    <x v="1"/>
    <d v="2025-11-02T11:40:56"/>
    <s v="Sun"/>
    <n v="2025"/>
    <x v="1"/>
    <x v="8"/>
    <d v="2025-11-02T11:40:57"/>
    <n v="36"/>
    <s v="km/h"/>
    <s v="00:00:01"/>
    <n v="1.6666666666666666E-2"/>
    <s v="Kwale"/>
    <s v="Kwale"/>
    <m/>
    <m/>
    <s v="-3.79192 , 39.3215"/>
    <s v="-3.79186 , 39.32169"/>
    <n v="0"/>
    <n v="1"/>
  </r>
  <r>
    <x v="3"/>
    <x v="99"/>
    <x v="103"/>
    <x v="3"/>
    <d v="2025-11-02T08:35:52"/>
    <s v="Sun"/>
    <n v="2025"/>
    <x v="1"/>
    <x v="8"/>
    <d v="2025-11-02T08:35:53"/>
    <n v="27"/>
    <s v="km/h/s"/>
    <s v="00:00:01"/>
    <n v="1.6666666666666666E-2"/>
    <s v="Nairobi"/>
    <m/>
    <m/>
    <m/>
    <s v="-1.36009 , 36.90793"/>
    <m/>
    <n v="0"/>
    <n v="1"/>
  </r>
  <r>
    <x v="2"/>
    <x v="96"/>
    <x v="100"/>
    <x v="2"/>
    <d v="2025-11-02T00:00:00"/>
    <s v="Sun"/>
    <n v="2025"/>
    <x v="1"/>
    <x v="8"/>
    <d v="2025-11-02T00:00:00"/>
    <n v="103"/>
    <s v="km/h"/>
    <s v="00:00:59"/>
    <n v="0.98333333333333328"/>
    <s v="Narok"/>
    <s v="Narok"/>
    <m/>
    <m/>
    <s v="-1.0935,36.1235"/>
    <s v="-1.5920,37.1627"/>
    <n v="1.5"/>
    <n v="1"/>
  </r>
  <r>
    <x v="0"/>
    <x v="59"/>
    <x v="104"/>
    <x v="1"/>
    <d v="2025-11-01T16:04:52"/>
    <s v="Sat"/>
    <n v="2025"/>
    <x v="1"/>
    <x v="9"/>
    <d v="2025-11-01T16:04:56"/>
    <n v="53"/>
    <s v="km/h"/>
    <s v="00:00:04"/>
    <n v="6.6666666666666666E-2"/>
    <s v="Nairobi"/>
    <s v="Nairobi"/>
    <m/>
    <m/>
    <s v="-1.19639 , 36.92363"/>
    <s v="-1.19591 , 36.9241"/>
    <n v="0"/>
    <n v="1"/>
  </r>
  <r>
    <x v="2"/>
    <x v="100"/>
    <x v="105"/>
    <x v="2"/>
    <d v="2025-11-01T00:00:00"/>
    <s v="Sat"/>
    <n v="2025"/>
    <x v="1"/>
    <x v="9"/>
    <d v="2025-11-01T00:00:00"/>
    <n v="88"/>
    <s v="km/h"/>
    <s v="00:01:19"/>
    <n v="1.3166666666666667"/>
    <s v="Machakos"/>
    <s v="Machakos"/>
    <m/>
    <m/>
    <s v="-1.5048,37.0893"/>
    <s v="-1.1571,36.6817"/>
    <n v="1.9"/>
    <n v="1"/>
  </r>
  <r>
    <x v="2"/>
    <x v="101"/>
    <x v="106"/>
    <x v="2"/>
    <d v="2025-11-01T00:00:00"/>
    <s v="Sat"/>
    <n v="2025"/>
    <x v="1"/>
    <x v="9"/>
    <d v="2025-11-01T00:00:00"/>
    <n v="88"/>
    <s v="km/h"/>
    <s v="00:00:15"/>
    <n v="0.25"/>
    <s v="Limuru"/>
    <s v="Limuru"/>
    <m/>
    <m/>
    <s v="-1.1548,36.6782"/>
    <s v="-1.1045,36.2254"/>
    <n v="0.5"/>
    <n v="1"/>
  </r>
  <r>
    <x v="3"/>
    <x v="6"/>
    <x v="6"/>
    <x v="4"/>
    <d v="2025-10-31T16:42:15"/>
    <s v="Fri"/>
    <n v="2025"/>
    <x v="2"/>
    <x v="9"/>
    <d v="2025-10-31T16:42:16"/>
    <n v="14"/>
    <s v="km/h/s"/>
    <s v="00:00:01"/>
    <n v="1.6666666666666666E-2"/>
    <s v="Kisumu"/>
    <m/>
    <s v="Kisumu Beer; KISUMU PLANT"/>
    <m/>
    <s v="-0.0822 , 34.76274"/>
    <m/>
    <n v="0"/>
    <n v="1"/>
  </r>
  <r>
    <x v="0"/>
    <x v="102"/>
    <x v="107"/>
    <x v="2"/>
    <d v="2025-10-31T15:41:44"/>
    <s v="Fri"/>
    <n v="2025"/>
    <x v="2"/>
    <x v="9"/>
    <d v="2025-10-31T15:41:47"/>
    <n v="84"/>
    <s v="km/h"/>
    <s v="00:00:03"/>
    <n v="0.05"/>
    <s v="Machakos"/>
    <s v="Machakos"/>
    <m/>
    <m/>
    <s v="-1.14542 , 37.49888"/>
    <s v="-1.14533 , 37.49807"/>
    <n v="0.1"/>
    <n v="1"/>
  </r>
  <r>
    <x v="0"/>
    <x v="33"/>
    <x v="34"/>
    <x v="4"/>
    <d v="2025-10-31T14:13:37"/>
    <s v="Fri"/>
    <n v="2025"/>
    <x v="2"/>
    <x v="9"/>
    <d v="2025-10-31T14:13:37"/>
    <n v="12"/>
    <s v="km/h/s"/>
    <s v="00:00:00"/>
    <n v="0"/>
    <s v="Makueni"/>
    <s v="Makueni"/>
    <m/>
    <m/>
    <s v="-1.75794 , 37.55892"/>
    <s v="-1.75794 , 37.55892"/>
    <n v="0"/>
    <n v="1"/>
  </r>
  <r>
    <x v="2"/>
    <x v="103"/>
    <x v="108"/>
    <x v="2"/>
    <d v="2025-10-31T00:00:00"/>
    <s v="Fri"/>
    <n v="2025"/>
    <x v="2"/>
    <x v="9"/>
    <d v="2025-10-31T00:00:00"/>
    <n v="118"/>
    <s v="km/h"/>
    <s v="00:03:30"/>
    <n v="3.5"/>
    <s v="Narok"/>
    <s v="Narok"/>
    <m/>
    <m/>
    <s v="-1.0968,36.1698"/>
    <s v="-1.5135,37.1030"/>
    <n v="6.2"/>
    <n v="1"/>
  </r>
  <r>
    <x v="1"/>
    <x v="89"/>
    <x v="109"/>
    <x v="1"/>
    <d v="2025-10-30T20:50:27"/>
    <s v="Thu"/>
    <n v="2025"/>
    <x v="2"/>
    <x v="9"/>
    <d v="2025-10-30T20:50:30"/>
    <n v="34"/>
    <s v="km/h"/>
    <s v="00:00:03"/>
    <n v="0.05"/>
    <s v="Nakuru"/>
    <s v="Nakuru"/>
    <m/>
    <m/>
    <s v="-0.47264 , 36.28978"/>
    <s v="-0.47283 , 36.28994"/>
    <n v="0.125"/>
    <n v="1"/>
  </r>
  <r>
    <x v="1"/>
    <x v="26"/>
    <x v="110"/>
    <x v="2"/>
    <d v="2025-10-30T15:57:42"/>
    <s v="Thu"/>
    <n v="2025"/>
    <x v="2"/>
    <x v="9"/>
    <d v="2025-10-30T15:57:42"/>
    <n v="4.3"/>
    <s v="km/h"/>
    <s v="00:00:00"/>
    <n v="0"/>
    <s v="Kiambu"/>
    <s v="Kiambu"/>
    <m/>
    <m/>
    <s v="-1.20875 , 36.91233"/>
    <s v="-1.20875 , 36.91233"/>
    <n v="0"/>
    <n v="1"/>
  </r>
  <r>
    <x v="1"/>
    <x v="26"/>
    <x v="110"/>
    <x v="2"/>
    <d v="2025-10-30T15:56:10"/>
    <s v="Thu"/>
    <n v="2025"/>
    <x v="2"/>
    <x v="9"/>
    <d v="2025-10-30T15:56:37"/>
    <n v="86"/>
    <s v="km/h"/>
    <s v="00:00:27"/>
    <n v="0.45"/>
    <s v="Kiambu"/>
    <s v="Kiambu"/>
    <m/>
    <m/>
    <s v="-1.19569 , 36.92447"/>
    <s v="-1.19989 , 36.92042"/>
    <n v="0.56200000000000006"/>
    <n v="1"/>
  </r>
  <r>
    <x v="1"/>
    <x v="26"/>
    <x v="110"/>
    <x v="2"/>
    <d v="2025-10-30T15:54:33"/>
    <s v="Thu"/>
    <n v="2025"/>
    <x v="2"/>
    <x v="9"/>
    <d v="2025-10-30T15:54:42"/>
    <n v="87"/>
    <s v="km/h"/>
    <s v="00:00:09"/>
    <n v="0.15"/>
    <s v="Kiambu"/>
    <s v="Kiambu"/>
    <m/>
    <m/>
    <s v="-1.18217 , 36.93744"/>
    <s v="-1.18367 , 36.936"/>
    <n v="0.188"/>
    <n v="1"/>
  </r>
  <r>
    <x v="1"/>
    <x v="26"/>
    <x v="110"/>
    <x v="2"/>
    <d v="2025-10-30T15:54:02"/>
    <s v="Thu"/>
    <n v="2025"/>
    <x v="2"/>
    <x v="9"/>
    <d v="2025-10-30T15:54:02"/>
    <n v="81"/>
    <s v="km/h"/>
    <s v="00:00:00"/>
    <n v="0"/>
    <s v="Kiambu"/>
    <s v="Kiambu"/>
    <m/>
    <m/>
    <s v="-1.17758 , 36.94158"/>
    <s v="-1.17758 , 36.94158"/>
    <n v="0"/>
    <n v="1"/>
  </r>
  <r>
    <x v="1"/>
    <x v="26"/>
    <x v="110"/>
    <x v="2"/>
    <d v="2025-10-30T15:42:43"/>
    <s v="Thu"/>
    <n v="2025"/>
    <x v="2"/>
    <x v="9"/>
    <d v="2025-10-30T15:42:47"/>
    <n v="82"/>
    <s v="km/h"/>
    <s v="00:00:04"/>
    <n v="6.6666666666666666E-2"/>
    <s v="Kiambu"/>
    <s v="Kiambu"/>
    <m/>
    <m/>
    <s v="-1.12289 , 37.00572"/>
    <s v="-1.12356 , 37.00494"/>
    <n v="6.2E-2"/>
    <n v="1"/>
  </r>
  <r>
    <x v="1"/>
    <x v="26"/>
    <x v="110"/>
    <x v="2"/>
    <d v="2025-10-30T14:57:24"/>
    <s v="Thu"/>
    <n v="2025"/>
    <x v="2"/>
    <x v="9"/>
    <d v="2025-10-30T14:57:32"/>
    <n v="90"/>
    <s v="km/h"/>
    <s v="00:00:08"/>
    <n v="0.13333333333333333"/>
    <s v="Nairobi"/>
    <s v="Nairobi"/>
    <m/>
    <m/>
    <s v="-1.19958 , 36.92053"/>
    <s v="-1.19817 , 36.92189"/>
    <n v="0.188"/>
    <n v="1"/>
  </r>
  <r>
    <x v="2"/>
    <x v="100"/>
    <x v="105"/>
    <x v="2"/>
    <d v="2025-10-30T00:00:00"/>
    <s v="Thu"/>
    <n v="2025"/>
    <x v="2"/>
    <x v="9"/>
    <d v="2025-10-30T00:00:00"/>
    <n v="93"/>
    <s v="km/h"/>
    <s v="00:01:00"/>
    <n v="1"/>
    <s v="Machakos "/>
    <s v="Machakos "/>
    <m/>
    <m/>
    <s v="-1.5802,37.1570"/>
    <s v="0.7785,37.5556"/>
    <n v="1.5"/>
    <n v="1"/>
  </r>
  <r>
    <x v="1"/>
    <x v="48"/>
    <x v="50"/>
    <x v="1"/>
    <d v="2025-10-29T17:41:02"/>
    <s v="Wed"/>
    <n v="2025"/>
    <x v="2"/>
    <x v="9"/>
    <d v="2025-10-29T17:41:06"/>
    <n v="38"/>
    <s v="km/h"/>
    <s v="00:00:04"/>
    <n v="6.6666666666666666E-2"/>
    <s v="Makueni"/>
    <s v="Makueni"/>
    <m/>
    <m/>
    <s v="-2.92875 , 38.40306"/>
    <s v="-2.92861 , 38.40353"/>
    <n v="0"/>
    <n v="1"/>
  </r>
  <r>
    <x v="1"/>
    <x v="48"/>
    <x v="50"/>
    <x v="1"/>
    <d v="2025-10-29T16:45:13"/>
    <s v="Wed"/>
    <n v="2025"/>
    <x v="2"/>
    <x v="9"/>
    <d v="2025-10-29T16:45:47"/>
    <n v="38"/>
    <s v="km/h"/>
    <s v="00:00:34"/>
    <n v="0.56666666666666665"/>
    <s v="Makueni"/>
    <s v="Makueni"/>
    <m/>
    <m/>
    <s v="-2.67175 , 38.13269"/>
    <s v="-2.67236 , 38.13578"/>
    <n v="0.28100000000000003"/>
    <n v="1"/>
  </r>
  <r>
    <x v="1"/>
    <x v="53"/>
    <x v="56"/>
    <x v="2"/>
    <d v="2025-10-29T16:41:30"/>
    <s v="Wed"/>
    <n v="2025"/>
    <x v="2"/>
    <x v="9"/>
    <d v="2025-10-29T16:41:36"/>
    <n v="84"/>
    <s v="km/h"/>
    <s v="00:00:06"/>
    <n v="0.1"/>
    <s v="Kericho"/>
    <s v="Kericho"/>
    <m/>
    <m/>
    <s v="-0.213 , 35.57483"/>
    <s v="-0.21336 , 35.57342"/>
    <n v="0.125"/>
    <n v="1"/>
  </r>
  <r>
    <x v="1"/>
    <x v="53"/>
    <x v="56"/>
    <x v="2"/>
    <d v="2025-10-29T16:40:11"/>
    <s v="Wed"/>
    <n v="2025"/>
    <x v="2"/>
    <x v="9"/>
    <d v="2025-10-29T16:40:23"/>
    <n v="83"/>
    <s v="km/h"/>
    <s v="00:00:12"/>
    <n v="0.2"/>
    <s v="Kericho"/>
    <s v="Kericho"/>
    <m/>
    <m/>
    <s v="-0.20636 , 35.58858"/>
    <s v="-0.20869 , 35.58717"/>
    <n v="0.375"/>
    <n v="1"/>
  </r>
  <r>
    <x v="1"/>
    <x v="53"/>
    <x v="56"/>
    <x v="2"/>
    <d v="2025-10-29T16:32:59"/>
    <s v="Wed"/>
    <n v="2025"/>
    <x v="2"/>
    <x v="9"/>
    <d v="2025-10-29T16:33:02"/>
    <n v="82"/>
    <s v="km/h"/>
    <s v="00:00:03"/>
    <n v="0.05"/>
    <s v="Kericho"/>
    <s v="Kericho"/>
    <m/>
    <m/>
    <s v="-0.16828 , 35.62908"/>
    <s v="-0.16856 , 35.62853"/>
    <n v="0"/>
    <n v="1"/>
  </r>
  <r>
    <x v="1"/>
    <x v="53"/>
    <x v="56"/>
    <x v="2"/>
    <d v="2025-10-29T16:32:34"/>
    <s v="Wed"/>
    <n v="2025"/>
    <x v="2"/>
    <x v="9"/>
    <d v="2025-10-29T16:32:35"/>
    <n v="82"/>
    <s v="km/h"/>
    <s v="00:00:01"/>
    <n v="1.6666666666666666E-2"/>
    <s v="Kericho"/>
    <s v="Kericho"/>
    <m/>
    <m/>
    <s v="-0.16614 , 35.63392"/>
    <s v="-0.16628 , 35.63353"/>
    <n v="0"/>
    <n v="1"/>
  </r>
  <r>
    <x v="1"/>
    <x v="53"/>
    <x v="56"/>
    <x v="2"/>
    <d v="2025-10-29T16:32:15"/>
    <s v="Wed"/>
    <n v="2025"/>
    <x v="2"/>
    <x v="9"/>
    <d v="2025-10-29T16:32:22"/>
    <n v="82"/>
    <s v="km/h"/>
    <s v="00:00:07"/>
    <n v="0.11666666666666667"/>
    <s v="Kericho"/>
    <s v="Kericho"/>
    <m/>
    <m/>
    <s v="-0.16539 , 35.63758"/>
    <s v="-0.16558 , 35.63592"/>
    <n v="0.125"/>
    <n v="1"/>
  </r>
  <r>
    <x v="1"/>
    <x v="53"/>
    <x v="56"/>
    <x v="2"/>
    <d v="2025-10-29T16:31:06"/>
    <s v="Wed"/>
    <n v="2025"/>
    <x v="2"/>
    <x v="9"/>
    <d v="2025-10-29T16:31:13"/>
    <n v="83"/>
    <s v="km/h"/>
    <s v="00:00:07"/>
    <n v="0.11666666666666667"/>
    <s v="Kericho"/>
    <s v="Kericho"/>
    <m/>
    <m/>
    <s v="-0.16572 , 35.64903"/>
    <s v="-0.16536 , 35.64758"/>
    <n v="0.125"/>
    <n v="1"/>
  </r>
  <r>
    <x v="0"/>
    <x v="33"/>
    <x v="34"/>
    <x v="4"/>
    <d v="2025-10-29T15:31:36"/>
    <s v="Wed"/>
    <n v="2025"/>
    <x v="2"/>
    <x v="9"/>
    <d v="2025-10-29T15:31:37"/>
    <n v="13"/>
    <s v="km/h/s"/>
    <s v="00:00:01"/>
    <n v="1.6666666666666666E-2"/>
    <s v="Makueni"/>
    <m/>
    <m/>
    <m/>
    <s v="-1.67856 , 37.19483"/>
    <m/>
    <n v="0"/>
    <n v="1"/>
  </r>
  <r>
    <x v="1"/>
    <x v="53"/>
    <x v="56"/>
    <x v="2"/>
    <d v="2025-10-29T10:41:47"/>
    <s v="Wed"/>
    <n v="2025"/>
    <x v="2"/>
    <x v="9"/>
    <d v="2025-10-29T10:41:52"/>
    <n v="82"/>
    <s v="km/h"/>
    <s v="00:00:05"/>
    <n v="8.3333333333333329E-2"/>
    <s v="Nairobi"/>
    <s v="Nairobi"/>
    <m/>
    <m/>
    <s v="-1.23753 , 36.871"/>
    <s v="-1.23867 , 36.8705"/>
    <n v="0"/>
    <n v="1"/>
  </r>
  <r>
    <x v="1"/>
    <x v="12"/>
    <x v="12"/>
    <x v="1"/>
    <d v="2025-10-28T10:02:18"/>
    <s v="Tue"/>
    <n v="2025"/>
    <x v="2"/>
    <x v="9"/>
    <d v="2025-10-28T10:02:18"/>
    <n v="37"/>
    <s v="km/h"/>
    <s v="00:00:00"/>
    <n v="0"/>
    <s v="Marsabit"/>
    <s v="Marsabit"/>
    <m/>
    <m/>
    <s v="2.05267 , 37.90836"/>
    <s v="2.05267 , 37.90836"/>
    <n v="0"/>
    <n v="1"/>
  </r>
  <r>
    <x v="1"/>
    <x v="104"/>
    <x v="111"/>
    <x v="0"/>
    <d v="2025-10-27T23:00:01"/>
    <s v="Mon"/>
    <n v="2025"/>
    <x v="2"/>
    <x v="9"/>
    <d v="2025-10-27T23:42:00"/>
    <n v="26.8"/>
    <s v="km"/>
    <s v="00:41:59"/>
    <n v="41.983333333333334"/>
    <s v="Taita-Taveta"/>
    <s v="Kwale"/>
    <m/>
    <m/>
    <s v="-3.64447 , 38.89669"/>
    <s v="-3.74464 , 39.06792"/>
    <n v="18.75"/>
    <n v="1"/>
  </r>
  <r>
    <x v="1"/>
    <x v="66"/>
    <x v="55"/>
    <x v="0"/>
    <d v="2025-10-27T23:00:01"/>
    <s v="Mon"/>
    <n v="2025"/>
    <x v="2"/>
    <x v="9"/>
    <d v="2025-10-28T00:11:06"/>
    <n v="142.9"/>
    <s v="km"/>
    <s v="01:11:05"/>
    <n v="71.083333333333329"/>
    <s v="Taita-Taveta"/>
    <s v="Taita-Taveta"/>
    <m/>
    <m/>
    <s v="-3.39136 , 38.54103"/>
    <s v="-3.60078 , 38.82239"/>
    <n v="40.061999999999998"/>
    <n v="1"/>
  </r>
  <r>
    <x v="1"/>
    <x v="56"/>
    <x v="50"/>
    <x v="1"/>
    <d v="2025-10-27T16:40:01"/>
    <s v="Mon"/>
    <n v="2025"/>
    <x v="2"/>
    <x v="9"/>
    <d v="2025-10-27T16:40:14"/>
    <n v="43"/>
    <s v="km/h"/>
    <s v="00:00:13"/>
    <n v="0.21666666666666667"/>
    <s v="Kiambu"/>
    <s v="Kiambu"/>
    <m/>
    <m/>
    <s v="-1.19117 , 36.92889"/>
    <s v="-1.19214 , 36.92797"/>
    <n v="0.188"/>
    <n v="1"/>
  </r>
  <r>
    <x v="1"/>
    <x v="56"/>
    <x v="50"/>
    <x v="1"/>
    <d v="2025-10-27T16:39:42"/>
    <s v="Mon"/>
    <n v="2025"/>
    <x v="2"/>
    <x v="9"/>
    <d v="2025-10-27T16:39:45"/>
    <n v="44"/>
    <s v="km/h"/>
    <s v="00:00:03"/>
    <n v="0.05"/>
    <s v="Kiambu"/>
    <s v="Kiambu"/>
    <m/>
    <m/>
    <s v="-1.18967 , 36.93031"/>
    <s v="-1.19 , 36.93"/>
    <n v="0"/>
    <n v="1"/>
  </r>
  <r>
    <x v="1"/>
    <x v="56"/>
    <x v="50"/>
    <x v="1"/>
    <d v="2025-10-27T16:37:45"/>
    <s v="Mon"/>
    <n v="2025"/>
    <x v="2"/>
    <x v="9"/>
    <d v="2025-10-27T16:37:50"/>
    <n v="42"/>
    <s v="km/h"/>
    <s v="00:00:05"/>
    <n v="8.3333333333333329E-2"/>
    <s v="Kiambu"/>
    <s v="Kiambu"/>
    <m/>
    <m/>
    <s v="-1.18 , 36.93961"/>
    <s v="-1.18036 , 36.93925"/>
    <n v="6.2E-2"/>
    <n v="1"/>
  </r>
  <r>
    <x v="0"/>
    <x v="105"/>
    <x v="112"/>
    <x v="3"/>
    <d v="2025-10-27T15:42:50"/>
    <s v="Mon"/>
    <n v="2025"/>
    <x v="2"/>
    <x v="9"/>
    <d v="2025-10-27T15:42:51"/>
    <n v="21"/>
    <s v="km/h/s"/>
    <s v="00:00:01"/>
    <n v="1.6666666666666666E-2"/>
    <s v="Trans Nzoia"/>
    <m/>
    <m/>
    <m/>
    <s v="0.98304 , 35.01661"/>
    <m/>
    <n v="0"/>
    <n v="1"/>
  </r>
  <r>
    <x v="3"/>
    <x v="50"/>
    <x v="52"/>
    <x v="3"/>
    <d v="2025-10-25T20:58:52"/>
    <s v="Sat"/>
    <n v="2025"/>
    <x v="2"/>
    <x v="10"/>
    <d v="2025-10-25T20:58:53"/>
    <n v="16"/>
    <s v="km/h/s"/>
    <s v="00:00:01"/>
    <n v="1.6666666666666666E-2"/>
    <s v="Taita-Taveta"/>
    <m/>
    <m/>
    <m/>
    <s v="-3.40208 , 38.55169"/>
    <m/>
    <n v="0"/>
    <n v="1"/>
  </r>
  <r>
    <x v="1"/>
    <x v="32"/>
    <x v="113"/>
    <x v="1"/>
    <d v="2025-10-25T14:54:28"/>
    <s v="Sat"/>
    <n v="2025"/>
    <x v="2"/>
    <x v="10"/>
    <d v="2025-10-25T14:54:30"/>
    <n v="37"/>
    <s v="km/h"/>
    <s v="00:00:02"/>
    <n v="3.3333333333333333E-2"/>
    <s v="Nairobi"/>
    <s v="Nairobi"/>
    <m/>
    <m/>
    <s v="-1.314 , 36.85714"/>
    <s v="-1.31408 , 36.85739"/>
    <n v="0"/>
    <n v="1"/>
  </r>
  <r>
    <x v="3"/>
    <x v="39"/>
    <x v="40"/>
    <x v="3"/>
    <d v="2025-10-24T21:37:35"/>
    <s v="Fri"/>
    <n v="2025"/>
    <x v="2"/>
    <x v="10"/>
    <d v="2025-10-24T21:37:36"/>
    <n v="23"/>
    <s v="km/h/s"/>
    <s v="00:00:01"/>
    <n v="1.6666666666666666E-2"/>
    <s v="Kitui"/>
    <m/>
    <m/>
    <m/>
    <s v="-1.11097 , 37.74977"/>
    <m/>
    <n v="0"/>
    <n v="1"/>
  </r>
  <r>
    <x v="1"/>
    <x v="56"/>
    <x v="114"/>
    <x v="1"/>
    <d v="2025-10-23T15:51:55"/>
    <s v="Thu"/>
    <n v="2025"/>
    <x v="2"/>
    <x v="10"/>
    <d v="2025-10-23T15:52:07"/>
    <n v="43"/>
    <s v="km/h"/>
    <s v="00:00:12"/>
    <n v="0.2"/>
    <s v="Nairobi"/>
    <s v="Nairobi"/>
    <m/>
    <m/>
    <s v="-1.32844 , 36.79831"/>
    <s v="-1.32933 , 36.79942"/>
    <n v="0.188"/>
    <n v="1"/>
  </r>
  <r>
    <x v="0"/>
    <x v="106"/>
    <x v="115"/>
    <x v="1"/>
    <d v="2025-10-23T07:31:41"/>
    <s v="Thu"/>
    <n v="2025"/>
    <x v="2"/>
    <x v="10"/>
    <d v="2025-10-23T07:31:43"/>
    <n v="47"/>
    <s v="km/h"/>
    <s v="00:00:02"/>
    <n v="3.3333333333333333E-2"/>
    <s v="Kiambu"/>
    <s v="Kiambu"/>
    <m/>
    <m/>
    <s v="-1.15658 , 36.95953"/>
    <s v="-1.15636 , 36.95958"/>
    <n v="9.4E-2"/>
    <n v="1"/>
  </r>
  <r>
    <x v="1"/>
    <x v="48"/>
    <x v="116"/>
    <x v="3"/>
    <d v="2025-10-22T13:30:18"/>
    <s v="Wed"/>
    <n v="2025"/>
    <x v="2"/>
    <x v="10"/>
    <d v="2025-10-22T13:30:18"/>
    <n v="20"/>
    <s v="km/h/s"/>
    <s v="00:00:00"/>
    <n v="0"/>
    <s v="Nairobi"/>
    <s v="Nairobi"/>
    <m/>
    <m/>
    <s v="-1.21583 , 36.89581"/>
    <s v="-1.21583 , 36.89581"/>
    <n v="0"/>
    <n v="1"/>
  </r>
  <r>
    <x v="0"/>
    <x v="107"/>
    <x v="117"/>
    <x v="1"/>
    <d v="2025-10-22T10:48:12"/>
    <s v="Wed"/>
    <n v="2025"/>
    <x v="2"/>
    <x v="10"/>
    <d v="2025-10-22T10:48:16"/>
    <n v="43"/>
    <s v="km/h"/>
    <s v="00:00:04"/>
    <n v="6.6666666666666666E-2"/>
    <s v="Nairobi"/>
    <s v="Nairobi"/>
    <s v="Total Energies - Opposite Garden City"/>
    <s v="Total Energies - Opposite Garden City"/>
    <s v="-1.23116 , 36.87742"/>
    <s v="-1.23087 , 36.8778"/>
    <n v="0"/>
    <n v="1"/>
  </r>
  <r>
    <x v="0"/>
    <x v="107"/>
    <x v="117"/>
    <x v="1"/>
    <d v="2025-10-22T10:25:26"/>
    <s v="Wed"/>
    <n v="2025"/>
    <x v="2"/>
    <x v="10"/>
    <d v="2025-10-22T10:25:39"/>
    <n v="44"/>
    <s v="km/h"/>
    <s v="00:00:13"/>
    <n v="0.21666666666666667"/>
    <s v="Nairobi"/>
    <s v="Nairobi"/>
    <m/>
    <m/>
    <s v="-1.28144 , 36.76794"/>
    <s v="-1.28051 , 36.76883"/>
    <n v="0.188"/>
    <n v="1"/>
  </r>
  <r>
    <x v="0"/>
    <x v="107"/>
    <x v="117"/>
    <x v="1"/>
    <d v="2025-10-22T10:23:44"/>
    <s v="Wed"/>
    <n v="2025"/>
    <x v="2"/>
    <x v="10"/>
    <d v="2025-10-22T10:24:08"/>
    <n v="38"/>
    <s v="km/h"/>
    <s v="00:00:24"/>
    <n v="0.4"/>
    <s v="Nairobi"/>
    <s v="Nairobi"/>
    <m/>
    <m/>
    <s v="-1.28772 , 36.76194"/>
    <s v="-1.28578 , 36.76293"/>
    <n v="0.28100000000000003"/>
    <n v="1"/>
  </r>
  <r>
    <x v="0"/>
    <x v="107"/>
    <x v="117"/>
    <x v="1"/>
    <d v="2025-10-22T07:33:27"/>
    <s v="Wed"/>
    <n v="2025"/>
    <x v="2"/>
    <x v="10"/>
    <d v="2025-10-22T07:33:45"/>
    <n v="42"/>
    <s v="km/h"/>
    <s v="00:00:18"/>
    <n v="0.3"/>
    <s v="Nairobi"/>
    <s v="Nairobi"/>
    <m/>
    <m/>
    <s v="-1.27474 , 36.81207"/>
    <s v="-1.27495 , 36.8106"/>
    <n v="0.188"/>
    <n v="1"/>
  </r>
  <r>
    <x v="0"/>
    <x v="107"/>
    <x v="117"/>
    <x v="1"/>
    <d v="2025-10-22T06:33:25"/>
    <s v="Wed"/>
    <n v="2025"/>
    <x v="2"/>
    <x v="10"/>
    <d v="2025-10-22T06:33:40"/>
    <n v="66"/>
    <s v="km/h"/>
    <s v="00:00:15"/>
    <n v="0.25"/>
    <s v="Nairobi"/>
    <s v="Nairobi"/>
    <s v="DHL-Kasarani"/>
    <s v="DHL-Kasarani"/>
    <s v="-1.2281 , 36.88134"/>
    <s v="-1.22662 , 36.88341"/>
    <n v="0.28100000000000003"/>
    <n v="1"/>
  </r>
  <r>
    <x v="0"/>
    <x v="108"/>
    <x v="118"/>
    <x v="2"/>
    <d v="2025-10-21T06:39:15"/>
    <s v="Tue"/>
    <n v="2025"/>
    <x v="2"/>
    <x v="10"/>
    <d v="2025-10-21T06:39:16"/>
    <n v="82"/>
    <s v="km/h"/>
    <s v="00:00:01"/>
    <n v="1.6666666666666666E-2"/>
    <s v="Nairobi"/>
    <s v="Nairobi"/>
    <m/>
    <m/>
    <s v="-1.21208 , 36.90374"/>
    <s v="-1.21195 , 36.90412"/>
    <n v="0.10199999999999999"/>
    <n v="1"/>
  </r>
  <r>
    <x v="0"/>
    <x v="109"/>
    <x v="119"/>
    <x v="2"/>
    <d v="2025-10-21T06:38:42"/>
    <s v="Tue"/>
    <n v="2025"/>
    <x v="2"/>
    <x v="10"/>
    <d v="2025-10-21T06:39:06"/>
    <n v="82"/>
    <s v="km/h"/>
    <s v="00:00:24"/>
    <n v="0.4"/>
    <s v="Nairobi"/>
    <s v="Nairobi"/>
    <m/>
    <m/>
    <s v="-1.21383 , 36.89858"/>
    <s v="-1.21219 , 36.90344"/>
    <n v="0.59399999999999997"/>
    <n v="1"/>
  </r>
  <r>
    <x v="3"/>
    <x v="39"/>
    <x v="40"/>
    <x v="3"/>
    <d v="2025-10-20T18:36:55"/>
    <s v="Mon"/>
    <n v="2025"/>
    <x v="2"/>
    <x v="10"/>
    <d v="2025-10-20T18:36:56"/>
    <n v="16"/>
    <s v="km/h/s"/>
    <s v="00:00:01"/>
    <n v="1.6666666666666666E-2"/>
    <s v="Kiambu"/>
    <m/>
    <m/>
    <m/>
    <s v="-1.02678 , 37.06557"/>
    <m/>
    <n v="0"/>
    <n v="1"/>
  </r>
  <r>
    <x v="2"/>
    <x v="41"/>
    <x v="42"/>
    <x v="2"/>
    <d v="2025-10-20T16:33:17"/>
    <s v="Mon"/>
    <n v="2025"/>
    <x v="2"/>
    <x v="10"/>
    <d v="2025-10-20T16:33:52"/>
    <n v="86"/>
    <s v="km/h"/>
    <s v="00:00:35"/>
    <n v="0.58333333333333337"/>
    <m/>
    <m/>
    <m/>
    <m/>
    <s v="-0.1786, 35.0896"/>
    <s v="-0.1793, 35.0978"/>
    <n v="0.9"/>
    <n v="1"/>
  </r>
  <r>
    <x v="0"/>
    <x v="110"/>
    <x v="120"/>
    <x v="2"/>
    <d v="2025-10-20T08:57:42"/>
    <s v="Mon"/>
    <n v="2025"/>
    <x v="2"/>
    <x v="10"/>
    <d v="2025-10-20T08:57:45"/>
    <n v="85"/>
    <s v="km/h"/>
    <s v="00:00:03"/>
    <n v="0.05"/>
    <s v="Tharaka-Nithi"/>
    <s v="Tharaka-Nithi"/>
    <m/>
    <m/>
    <s v="-0.35561 , 37.61137"/>
    <s v="-0.35494 , 37.61181"/>
    <n v="0.125"/>
    <n v="1"/>
  </r>
  <r>
    <x v="0"/>
    <x v="110"/>
    <x v="120"/>
    <x v="2"/>
    <d v="2025-10-20T08:17:15"/>
    <s v="Mon"/>
    <n v="2025"/>
    <x v="2"/>
    <x v="10"/>
    <d v="2025-10-20T08:17:16"/>
    <n v="82"/>
    <s v="km/h"/>
    <s v="00:00:01"/>
    <n v="1.6666666666666666E-2"/>
    <s v="Embu"/>
    <s v="Embu"/>
    <m/>
    <m/>
    <s v="-0.47454 , 37.50885"/>
    <s v="-0.47478 , 37.50917"/>
    <n v="0.125"/>
    <n v="1"/>
  </r>
  <r>
    <x v="0"/>
    <x v="107"/>
    <x v="117"/>
    <x v="1"/>
    <d v="2025-10-19T20:23:05"/>
    <s v="Sun"/>
    <n v="2025"/>
    <x v="2"/>
    <x v="10"/>
    <d v="2025-10-19T20:23:07"/>
    <n v="32"/>
    <s v="km/h"/>
    <s v="00:00:02"/>
    <n v="3.3333333333333333E-2"/>
    <s v="Kiambu"/>
    <s v="Kiambu"/>
    <m/>
    <m/>
    <s v="-1.28161 , 36.64741"/>
    <s v="-1.28164 , 36.64763"/>
    <n v="0"/>
    <n v="1"/>
  </r>
  <r>
    <x v="0"/>
    <x v="107"/>
    <x v="117"/>
    <x v="1"/>
    <d v="2025-10-19T20:21:20"/>
    <s v="Sun"/>
    <n v="2025"/>
    <x v="2"/>
    <x v="10"/>
    <d v="2025-10-19T20:21:27"/>
    <n v="58"/>
    <s v="km/h"/>
    <s v="00:00:07"/>
    <n v="0.11666666666666667"/>
    <s v="Kiambu"/>
    <s v="Kiambu"/>
    <m/>
    <m/>
    <s v="-1.28048 , 36.63696"/>
    <s v="-1.28042 , 36.63803"/>
    <n v="9.4E-2"/>
    <n v="1"/>
  </r>
  <r>
    <x v="2"/>
    <x v="3"/>
    <x v="3"/>
    <x v="2"/>
    <d v="2025-10-19T10:27:33"/>
    <s v="Sun"/>
    <n v="2025"/>
    <x v="2"/>
    <x v="10"/>
    <d v="2025-10-19T10:28:33"/>
    <n v="100"/>
    <s v="km/h"/>
    <s v="00:01:00"/>
    <n v="1"/>
    <m/>
    <m/>
    <m/>
    <m/>
    <s v="-1.4121, 36.9497"/>
    <s v="-1.4240, 36.9567"/>
    <n v="1.5"/>
    <n v="1"/>
  </r>
  <r>
    <x v="0"/>
    <x v="111"/>
    <x v="121"/>
    <x v="3"/>
    <d v="2025-10-19T07:50:18"/>
    <s v="Sun"/>
    <n v="2025"/>
    <x v="2"/>
    <x v="10"/>
    <d v="2025-10-19T07:50:19"/>
    <n v="16"/>
    <s v="km/h/s"/>
    <s v="00:00:01"/>
    <n v="1.6666666666666666E-2"/>
    <s v="Embu"/>
    <m/>
    <m/>
    <m/>
    <s v="-0.4762 , 37.47092"/>
    <m/>
    <n v="0"/>
    <n v="1"/>
  </r>
  <r>
    <x v="2"/>
    <x v="112"/>
    <x v="122"/>
    <x v="2"/>
    <d v="2025-10-17T19:58:10"/>
    <s v="Fri"/>
    <n v="2025"/>
    <x v="2"/>
    <x v="11"/>
    <d v="2025-10-17T20:00:09"/>
    <n v="103"/>
    <s v="km/h"/>
    <s v="00:01:59"/>
    <n v="1.9833333333333334"/>
    <m/>
    <m/>
    <m/>
    <m/>
    <s v="-2.8639, 37.5228"/>
    <s v="-2.8369, 37.5237"/>
    <n v="3"/>
    <n v="1"/>
  </r>
  <r>
    <x v="3"/>
    <x v="69"/>
    <x v="71"/>
    <x v="1"/>
    <d v="2025-10-17T17:08:25"/>
    <s v="Fri"/>
    <n v="2025"/>
    <x v="2"/>
    <x v="11"/>
    <d v="2025-10-17T17:08:37"/>
    <n v="48"/>
    <s v="km/h"/>
    <s v="00:00:12"/>
    <n v="0.2"/>
    <s v="Machakos"/>
    <s v="Machakos"/>
    <m/>
    <m/>
    <s v="-1.38465 , 36.93311"/>
    <s v="-1.38545 , 36.93405"/>
    <n v="0.125"/>
    <n v="1"/>
  </r>
  <r>
    <x v="3"/>
    <x v="69"/>
    <x v="71"/>
    <x v="1"/>
    <d v="2025-10-17T17:08:00"/>
    <s v="Fri"/>
    <n v="2025"/>
    <x v="2"/>
    <x v="11"/>
    <d v="2025-10-17T17:08:08"/>
    <n v="61"/>
    <s v="km/h"/>
    <s v="00:00:08"/>
    <n v="0.13333333333333333"/>
    <s v="Machakos"/>
    <s v="Machakos"/>
    <m/>
    <m/>
    <s v="-1.38217 , 36.93103"/>
    <s v="-1.38313 , 36.93182"/>
    <n v="9.4E-2"/>
    <n v="1"/>
  </r>
  <r>
    <x v="2"/>
    <x v="49"/>
    <x v="51"/>
    <x v="2"/>
    <d v="2025-10-17T16:19:17"/>
    <s v="Fri"/>
    <n v="2025"/>
    <x v="2"/>
    <x v="11"/>
    <d v="2025-10-17T16:20:36"/>
    <n v="98"/>
    <s v="km/h"/>
    <s v="00:01:19"/>
    <n v="1.3166666666666667"/>
    <m/>
    <m/>
    <m/>
    <m/>
    <s v="-0.8231, 36.5453"/>
    <s v="-0.8087, 36.5346"/>
    <n v="2"/>
    <n v="1"/>
  </r>
  <r>
    <x v="1"/>
    <x v="40"/>
    <x v="97"/>
    <x v="3"/>
    <d v="2025-10-17T14:55:54"/>
    <s v="Fri"/>
    <n v="2025"/>
    <x v="2"/>
    <x v="11"/>
    <d v="2025-10-17T14:55:55"/>
    <n v="26"/>
    <s v="km/h/s"/>
    <s v="00:00:01"/>
    <n v="1.6666666666666666E-2"/>
    <s v="Machakos"/>
    <m/>
    <m/>
    <m/>
    <s v="-1.28633 , 37.18819"/>
    <m/>
    <n v="0"/>
    <n v="1"/>
  </r>
  <r>
    <x v="2"/>
    <x v="112"/>
    <x v="122"/>
    <x v="2"/>
    <d v="2025-10-16T13:41:32"/>
    <s v="Thu"/>
    <n v="2025"/>
    <x v="2"/>
    <x v="11"/>
    <d v="2025-10-16T13:42:32"/>
    <n v="100"/>
    <s v="km/h"/>
    <s v="00:01:00"/>
    <n v="1"/>
    <m/>
    <m/>
    <m/>
    <m/>
    <s v="-1.8159, 37.2356"/>
    <s v="-1.8285, 37.2423"/>
    <n v="1.6"/>
    <n v="1"/>
  </r>
  <r>
    <x v="2"/>
    <x v="64"/>
    <x v="67"/>
    <x v="2"/>
    <d v="2025-10-16T09:32:41"/>
    <s v="Thu"/>
    <n v="2025"/>
    <x v="2"/>
    <x v="11"/>
    <d v="2025-10-16T09:33:40"/>
    <n v="101"/>
    <s v="km/h"/>
    <s v="00:00:58"/>
    <n v="0.96666666666666667"/>
    <m/>
    <m/>
    <m/>
    <m/>
    <s v="-1.1980, 36.6535"/>
    <s v="-1.2111, 36.6589"/>
    <n v="1.6"/>
    <n v="1"/>
  </r>
  <r>
    <x v="2"/>
    <x v="13"/>
    <x v="13"/>
    <x v="2"/>
    <d v="2025-10-16T09:14:38"/>
    <s v="Thu"/>
    <n v="2025"/>
    <x v="2"/>
    <x v="11"/>
    <d v="2025-10-16T09:15:28"/>
    <n v="93"/>
    <s v="km/h"/>
    <s v="00:00:49"/>
    <n v="0.81666666666666665"/>
    <m/>
    <m/>
    <m/>
    <m/>
    <s v="-3.7881, 39.3738"/>
    <s v="-3.7930, 39.3837"/>
    <n v="1.2"/>
    <n v="1"/>
  </r>
  <r>
    <x v="3"/>
    <x v="6"/>
    <x v="6"/>
    <x v="2"/>
    <d v="2025-10-15T20:45:25"/>
    <s v="Wed"/>
    <n v="2025"/>
    <x v="2"/>
    <x v="11"/>
    <d v="2025-10-15T20:45:35"/>
    <n v="86"/>
    <s v="km/h"/>
    <s v="00:00:10"/>
    <n v="0.16666666666666666"/>
    <s v="Kajiado"/>
    <s v="Kajiado"/>
    <m/>
    <m/>
    <s v="-2.17977 , 37.64989"/>
    <s v="-2.17838 , 37.64818"/>
    <n v="0.28100000000000003"/>
    <n v="1"/>
  </r>
  <r>
    <x v="3"/>
    <x v="52"/>
    <x v="54"/>
    <x v="1"/>
    <d v="2025-10-14T15:20:26"/>
    <s v="Tue"/>
    <n v="2025"/>
    <x v="2"/>
    <x v="11"/>
    <d v="2025-10-14T15:21:08"/>
    <n v="67"/>
    <s v="km/h"/>
    <s v="00:00:42"/>
    <n v="0.7"/>
    <s v="Kisumu"/>
    <s v="Kisumu"/>
    <m/>
    <m/>
    <s v="-0.18487 , 35.24232"/>
    <s v="-0.18458 , 35.24863"/>
    <n v="0.68799999999999994"/>
    <n v="1"/>
  </r>
  <r>
    <x v="2"/>
    <x v="64"/>
    <x v="67"/>
    <x v="2"/>
    <d v="2025-10-14T00:16:08"/>
    <s v="Tue"/>
    <n v="2025"/>
    <x v="2"/>
    <x v="11"/>
    <d v="2025-10-14T00:19:08"/>
    <n v="116"/>
    <s v="km/h"/>
    <s v="00:02:59"/>
    <n v="2.9833333333333334"/>
    <m/>
    <m/>
    <m/>
    <m/>
    <s v="-1.1734, 36.6420"/>
    <s v="-1.2118, 36.6592"/>
    <n v="4.7"/>
    <n v="1"/>
  </r>
  <r>
    <x v="0"/>
    <x v="113"/>
    <x v="123"/>
    <x v="2"/>
    <d v="2025-10-13T23:12:36"/>
    <s v="Mon"/>
    <n v="2025"/>
    <x v="2"/>
    <x v="11"/>
    <d v="2025-10-13T23:12:42"/>
    <n v="82"/>
    <s v="km/h"/>
    <s v="00:00:06"/>
    <n v="0.1"/>
    <s v="Nairobi"/>
    <s v="Nairobi"/>
    <m/>
    <m/>
    <s v="-1.29586 , 36.8863"/>
    <s v="-1.29447 , 36.88603"/>
    <n v="0.125"/>
    <n v="1"/>
  </r>
  <r>
    <x v="1"/>
    <x v="24"/>
    <x v="25"/>
    <x v="1"/>
    <d v="2025-10-13T05:33:25"/>
    <s v="Mon"/>
    <n v="2025"/>
    <x v="2"/>
    <x v="11"/>
    <d v="2025-10-13T05:33:25"/>
    <n v="31"/>
    <s v="km/h"/>
    <s v="00:00:00"/>
    <n v="0"/>
    <s v="Kericho"/>
    <s v="Kericho"/>
    <m/>
    <m/>
    <s v="-0.19736 , 35.14303"/>
    <s v="-0.19736 , 35.14303"/>
    <n v="0"/>
    <n v="1"/>
  </r>
  <r>
    <x v="0"/>
    <x v="114"/>
    <x v="124"/>
    <x v="2"/>
    <d v="2025-10-13T03:06:36"/>
    <s v="Mon"/>
    <n v="2025"/>
    <x v="2"/>
    <x v="11"/>
    <d v="2025-10-13T03:06:42"/>
    <n v="87"/>
    <s v="km/h"/>
    <s v="00:00:06"/>
    <n v="0.1"/>
    <s v="Nakuru"/>
    <s v="Nakuru"/>
    <m/>
    <m/>
    <s v="-0.13828 , 35.67756"/>
    <s v="-0.13678 , 35.67775"/>
    <n v="0.20300000000000001"/>
    <n v="1"/>
  </r>
  <r>
    <x v="0"/>
    <x v="113"/>
    <x v="123"/>
    <x v="2"/>
    <d v="2025-10-13T02:40:56"/>
    <s v="Mon"/>
    <n v="2025"/>
    <x v="2"/>
    <x v="11"/>
    <d v="2025-10-13T02:40:57"/>
    <n v="81"/>
    <s v="km/h"/>
    <s v="00:00:01"/>
    <n v="1.6666666666666666E-2"/>
    <s v="Kericho"/>
    <s v="Kericho"/>
    <m/>
    <m/>
    <s v="-0.16827 , 35.66371"/>
    <s v="-0.16831 , 35.66351"/>
    <n v="0"/>
    <n v="1"/>
  </r>
  <r>
    <x v="3"/>
    <x v="54"/>
    <x v="57"/>
    <x v="1"/>
    <d v="2025-10-12T11:50:57"/>
    <s v="Sun"/>
    <n v="2025"/>
    <x v="2"/>
    <x v="11"/>
    <d v="2025-10-12T11:50:58"/>
    <n v="31"/>
    <s v="km/h"/>
    <s v="00:00:01"/>
    <n v="1.6666666666666666E-2"/>
    <s v="Kilifi"/>
    <s v="Kilifi"/>
    <m/>
    <m/>
    <s v="-3.68154 , 39.81696"/>
    <s v="-3.6816 , 39.81693"/>
    <n v="0"/>
    <n v="1"/>
  </r>
  <r>
    <x v="1"/>
    <x v="14"/>
    <x v="29"/>
    <x v="1"/>
    <d v="2025-10-11T20:38:15"/>
    <s v="Sat"/>
    <n v="2025"/>
    <x v="2"/>
    <x v="12"/>
    <d v="2025-10-11T20:38:15"/>
    <n v="32"/>
    <s v="km/h"/>
    <s v="00:00:00"/>
    <n v="0"/>
    <s v="Kiambu"/>
    <s v="Kiambu"/>
    <m/>
    <m/>
    <s v="-1.2165 , 36.66272"/>
    <s v="-1.2165 , 36.66272"/>
    <n v="0"/>
    <n v="1"/>
  </r>
  <r>
    <x v="2"/>
    <x v="49"/>
    <x v="51"/>
    <x v="2"/>
    <d v="2025-10-11T20:02:34"/>
    <s v="Sat"/>
    <n v="2025"/>
    <x v="2"/>
    <x v="12"/>
    <d v="2025-10-11T20:03:54"/>
    <n v="101"/>
    <s v="km/h"/>
    <s v="00:01:19"/>
    <n v="1.3166666666666667"/>
    <m/>
    <m/>
    <m/>
    <m/>
    <s v="-0.3658, 35.0018"/>
    <s v="-0.3488, 35.0032"/>
    <n v="1.9"/>
    <n v="1"/>
  </r>
  <r>
    <x v="2"/>
    <x v="41"/>
    <x v="42"/>
    <x v="2"/>
    <d v="2025-10-10T21:14:53"/>
    <s v="Fri"/>
    <n v="2025"/>
    <x v="2"/>
    <x v="12"/>
    <d v="2025-10-10T21:16:17"/>
    <n v="101"/>
    <s v="km/h"/>
    <s v="00:01:23"/>
    <n v="1.3833333333333333"/>
    <m/>
    <m/>
    <m/>
    <m/>
    <s v="-0.1679, 35.6648"/>
    <s v="-0.1651, 35.6464"/>
    <n v="2.1"/>
    <n v="1"/>
  </r>
  <r>
    <x v="3"/>
    <x v="5"/>
    <x v="5"/>
    <x v="3"/>
    <d v="2025-10-10T19:01:39"/>
    <s v="Fri"/>
    <n v="2025"/>
    <x v="2"/>
    <x v="12"/>
    <d v="2025-10-10T19:01:40"/>
    <n v="21"/>
    <s v="km/h/s"/>
    <s v="00:00:01"/>
    <n v="1.6666666666666666E-2"/>
    <s v="Nakuru"/>
    <m/>
    <m/>
    <m/>
    <s v="-0.22079 , 35.7384"/>
    <m/>
    <n v="0"/>
    <n v="1"/>
  </r>
  <r>
    <x v="3"/>
    <x v="99"/>
    <x v="103"/>
    <x v="3"/>
    <d v="2025-10-10T16:05:17"/>
    <s v="Fri"/>
    <n v="2025"/>
    <x v="2"/>
    <x v="12"/>
    <d v="2025-10-10T16:05:18"/>
    <n v="18"/>
    <s v="km/h/s"/>
    <s v="00:00:01"/>
    <n v="1.6666666666666666E-2"/>
    <s v="Nakuru"/>
    <m/>
    <m/>
    <m/>
    <s v="-0.31625 , 36.14149"/>
    <m/>
    <n v="0"/>
    <n v="1"/>
  </r>
  <r>
    <x v="2"/>
    <x v="115"/>
    <x v="125"/>
    <x v="2"/>
    <d v="2025-10-10T13:09:43"/>
    <s v="Fri"/>
    <n v="2025"/>
    <x v="2"/>
    <x v="12"/>
    <d v="2025-10-10T13:10:20"/>
    <n v="90"/>
    <s v="km/h"/>
    <s v="00:00:36"/>
    <n v="0.6"/>
    <m/>
    <m/>
    <m/>
    <m/>
    <s v="0.1709, 34.7480"/>
    <s v="0.1634, 34.7442"/>
    <n v="0.9"/>
    <n v="1"/>
  </r>
  <r>
    <x v="1"/>
    <x v="116"/>
    <x v="126"/>
    <x v="1"/>
    <d v="2025-10-09T20:18:35"/>
    <s v="Thu"/>
    <n v="2025"/>
    <x v="2"/>
    <x v="12"/>
    <d v="2025-10-09T20:18:37"/>
    <n v="34"/>
    <s v="km/h"/>
    <s v="00:00:02"/>
    <n v="3.3333333333333333E-2"/>
    <s v="Nakuru"/>
    <s v="Nakuru"/>
    <m/>
    <m/>
    <s v="-0.74428 , 36.44011"/>
    <s v="-0.74394 , 36.44"/>
    <n v="0"/>
    <n v="1"/>
  </r>
  <r>
    <x v="1"/>
    <x v="14"/>
    <x v="29"/>
    <x v="1"/>
    <d v="2025-10-08T17:06:13"/>
    <s v="Wed"/>
    <n v="2025"/>
    <x v="2"/>
    <x v="12"/>
    <d v="2025-10-08T17:06:20"/>
    <n v="35"/>
    <s v="km/h"/>
    <s v="00:00:07"/>
    <n v="0.11666666666666667"/>
    <s v="Nakuru"/>
    <s v="Nakuru"/>
    <m/>
    <m/>
    <s v="-0.58581 , 36.37164"/>
    <s v="-0.58519 , 36.37125"/>
    <n v="0"/>
    <n v="1"/>
  </r>
  <r>
    <x v="2"/>
    <x v="115"/>
    <x v="125"/>
    <x v="2"/>
    <d v="2025-10-08T07:44:04"/>
    <s v="Wed"/>
    <n v="2025"/>
    <x v="2"/>
    <x v="12"/>
    <d v="2025-10-08T07:44:38"/>
    <n v="87"/>
    <s v="km/h"/>
    <s v="00:00:33"/>
    <n v="0.55000000000000004"/>
    <m/>
    <m/>
    <m/>
    <m/>
    <s v="-1.0220, 37.0687"/>
    <s v="-1.0291, 37.0649"/>
    <n v="0.9"/>
    <n v="1"/>
  </r>
  <r>
    <x v="0"/>
    <x v="74"/>
    <x v="75"/>
    <x v="1"/>
    <d v="2025-10-07T19:41:08"/>
    <s v="Tue"/>
    <n v="2025"/>
    <x v="2"/>
    <x v="12"/>
    <d v="2025-10-07T19:41:15"/>
    <n v="49"/>
    <s v="km/h"/>
    <s v="00:00:07"/>
    <n v="0.11666666666666667"/>
    <s v="Kiambu"/>
    <s v="Kiambu"/>
    <m/>
    <m/>
    <s v="-1.20824 , 36.91285"/>
    <s v="-1.20886 , 36.91223"/>
    <n v="9.4E-2"/>
    <n v="1"/>
  </r>
  <r>
    <x v="2"/>
    <x v="117"/>
    <x v="127"/>
    <x v="2"/>
    <d v="2025-10-07T18:24:38"/>
    <s v="Tue"/>
    <n v="2025"/>
    <x v="2"/>
    <x v="12"/>
    <d v="2025-10-07T18:24:54"/>
    <n v="89"/>
    <s v="km/h"/>
    <s v="00:00:16"/>
    <n v="0.26666666666666666"/>
    <m/>
    <m/>
    <m/>
    <m/>
    <s v="0.1132, 34.8390"/>
    <s v="0.1162, 34.8422"/>
    <n v="0.5"/>
    <n v="1"/>
  </r>
  <r>
    <x v="3"/>
    <x v="99"/>
    <x v="103"/>
    <x v="2"/>
    <d v="2025-10-06T10:23:45"/>
    <s v="Mon"/>
    <n v="2025"/>
    <x v="2"/>
    <x v="12"/>
    <d v="2025-10-06T10:23:47"/>
    <n v="88"/>
    <s v="km/h"/>
    <s v="00:00:02"/>
    <n v="3.3333333333333333E-2"/>
    <s v="Machakos"/>
    <s v="Machakos"/>
    <m/>
    <m/>
    <s v="-1.43198 , 36.96542"/>
    <s v="-1.43229 , 36.9659"/>
    <n v="0"/>
    <n v="1"/>
  </r>
  <r>
    <x v="1"/>
    <x v="98"/>
    <x v="128"/>
    <x v="1"/>
    <d v="2025-10-05T15:29:21"/>
    <s v="Sun"/>
    <n v="2025"/>
    <x v="2"/>
    <x v="12"/>
    <d v="2025-10-05T15:29:21"/>
    <n v="31"/>
    <s v="km/h"/>
    <s v="00:00:00"/>
    <n v="0"/>
    <s v="Makueni"/>
    <s v="Makueni"/>
    <m/>
    <m/>
    <s v="-2.45875 , 37.98272"/>
    <s v="-2.45875 , 37.98272"/>
    <n v="0"/>
    <n v="1"/>
  </r>
  <r>
    <x v="1"/>
    <x v="98"/>
    <x v="128"/>
    <x v="1"/>
    <d v="2025-10-05T15:17:23"/>
    <s v="Sun"/>
    <n v="2025"/>
    <x v="2"/>
    <x v="12"/>
    <d v="2025-10-05T15:17:23"/>
    <n v="36"/>
    <s v="km/h"/>
    <s v="00:00:00"/>
    <n v="0"/>
    <s v="Makueni"/>
    <s v="Makueni"/>
    <m/>
    <m/>
    <s v="-2.40753 , 37.92983"/>
    <s v="-2.40753 , 37.92983"/>
    <n v="0"/>
    <n v="1"/>
  </r>
  <r>
    <x v="2"/>
    <x v="117"/>
    <x v="127"/>
    <x v="2"/>
    <d v="2025-10-05T11:12:09"/>
    <s v="Sun"/>
    <n v="2025"/>
    <x v="2"/>
    <x v="12"/>
    <d v="2025-10-05T11:14:18"/>
    <n v="108"/>
    <s v="km/h"/>
    <s v="00:02:09"/>
    <n v="2.15"/>
    <m/>
    <m/>
    <m/>
    <m/>
    <s v="-0.1667, 35.6680"/>
    <s v="-0.1654, 35.6385"/>
    <n v="3.3"/>
    <n v="1"/>
  </r>
  <r>
    <x v="1"/>
    <x v="56"/>
    <x v="33"/>
    <x v="1"/>
    <d v="2025-10-05T08:20:21"/>
    <s v="Sun"/>
    <n v="2025"/>
    <x v="2"/>
    <x v="12"/>
    <d v="2025-10-05T08:21:20"/>
    <n v="53"/>
    <s v="km/h"/>
    <s v="00:00:59"/>
    <n v="0.98333333333333328"/>
    <s v="Nakuru"/>
    <s v="Nakuru"/>
    <m/>
    <m/>
    <s v="-0.15781 , 35.68139"/>
    <s v="-0.15944 , 35.68842"/>
    <n v="0.81200000000000006"/>
    <n v="1"/>
  </r>
  <r>
    <x v="2"/>
    <x v="117"/>
    <x v="127"/>
    <x v="2"/>
    <d v="2025-10-03T15:35:42"/>
    <s v="Fri"/>
    <n v="2025"/>
    <x v="2"/>
    <x v="13"/>
    <d v="2025-10-03T15:37:10"/>
    <n v="93"/>
    <s v="km/h"/>
    <s v="00:01:28"/>
    <n v="1.4666666666666668"/>
    <m/>
    <m/>
    <m/>
    <m/>
    <s v="-1.5050, 37.0896"/>
    <s v="-1.4966, 37.0716"/>
    <n v="2.2000000000000002"/>
    <n v="1"/>
  </r>
  <r>
    <x v="2"/>
    <x v="83"/>
    <x v="84"/>
    <x v="2"/>
    <d v="2025-10-03T15:14:11"/>
    <s v="Fri"/>
    <n v="2025"/>
    <x v="2"/>
    <x v="13"/>
    <d v="2025-10-03T15:16:51"/>
    <n v="98"/>
    <s v="km/h"/>
    <s v="00:02:40"/>
    <n v="2.6666666666666665"/>
    <m/>
    <m/>
    <m/>
    <m/>
    <s v="0.0951, 37.3682"/>
    <s v="0.0855, 37.3344"/>
    <n v="3.9"/>
    <n v="1"/>
  </r>
  <r>
    <x v="1"/>
    <x v="32"/>
    <x v="113"/>
    <x v="1"/>
    <d v="2025-10-02T15:15:13"/>
    <s v="Thu"/>
    <n v="2025"/>
    <x v="2"/>
    <x v="13"/>
    <d v="2025-10-02T15:15:13"/>
    <n v="36"/>
    <s v="km/h"/>
    <s v="00:00:00"/>
    <n v="0"/>
    <s v="Taita-Taveta"/>
    <s v="Taita-Taveta"/>
    <m/>
    <m/>
    <s v="-3.55086 , 38.73758"/>
    <s v="-3.55086 , 38.73758"/>
    <n v="0"/>
    <n v="1"/>
  </r>
  <r>
    <x v="2"/>
    <x v="118"/>
    <x v="129"/>
    <x v="2"/>
    <d v="2025-10-01T20:14:56"/>
    <s v="Wed"/>
    <n v="2025"/>
    <x v="2"/>
    <x v="13"/>
    <d v="2025-10-01T20:15:21"/>
    <n v="83"/>
    <s v="km/h"/>
    <s v="00:00:25"/>
    <n v="0.41666666666666669"/>
    <m/>
    <m/>
    <m/>
    <m/>
    <s v="-0.1540, 35.0590"/>
    <s v="-0.1519, 35.0533"/>
    <n v="0.7"/>
    <n v="1"/>
  </r>
  <r>
    <x v="1"/>
    <x v="14"/>
    <x v="47"/>
    <x v="1"/>
    <d v="2025-10-01T18:50:49"/>
    <s v="Wed"/>
    <n v="2025"/>
    <x v="2"/>
    <x v="13"/>
    <d v="2025-10-01T18:50:52"/>
    <n v="32"/>
    <s v="km/h"/>
    <s v="00:00:03"/>
    <n v="0.05"/>
    <s v="Nakuru"/>
    <s v="Nakuru"/>
    <m/>
    <m/>
    <s v="-0.49189 , 36.30561"/>
    <s v="-0.49158 , 36.30544"/>
    <n v="0"/>
    <n v="1"/>
  </r>
  <r>
    <x v="0"/>
    <x v="119"/>
    <x v="130"/>
    <x v="1"/>
    <d v="2025-10-01T18:39:20"/>
    <s v="Wed"/>
    <n v="2025"/>
    <x v="2"/>
    <x v="13"/>
    <d v="2025-10-01T18:40:13"/>
    <n v="68"/>
    <s v="km/h"/>
    <s v="00:00:53"/>
    <n v="0.8833333333333333"/>
    <s v="Nyandarua"/>
    <s v="Nyandarua"/>
    <m/>
    <m/>
    <s v="-0.04387 , 36.512"/>
    <s v="-0.03691 , 36.50756"/>
    <n v="0.90600000000000003"/>
    <n v="1"/>
  </r>
  <r>
    <x v="3"/>
    <x v="5"/>
    <x v="5"/>
    <x v="3"/>
    <d v="2025-09-30T14:15:35"/>
    <s v="Tue"/>
    <n v="2025"/>
    <x v="3"/>
    <x v="13"/>
    <d v="2025-09-30T14:15:36"/>
    <n v="27"/>
    <s v="km/h/s"/>
    <s v="00:00:01"/>
    <n v="1.6666666666666666E-2"/>
    <s v="Machakos"/>
    <m/>
    <m/>
    <m/>
    <s v="-1.36539 , 36.91172"/>
    <m/>
    <n v="0"/>
    <n v="1"/>
  </r>
  <r>
    <x v="3"/>
    <x v="50"/>
    <x v="52"/>
    <x v="1"/>
    <d v="2025-09-29T17:02:51"/>
    <s v="Mon"/>
    <n v="2025"/>
    <x v="3"/>
    <x v="13"/>
    <d v="2025-09-29T17:02:52"/>
    <n v="33"/>
    <s v="km/h"/>
    <s v="00:00:01"/>
    <n v="1.6666666666666666E-2"/>
    <s v="Kiambu"/>
    <s v="Kiambu"/>
    <m/>
    <m/>
    <s v="-1.05622 , 37.20257"/>
    <s v="-1.05623 , 37.20266"/>
    <n v="0"/>
    <n v="1"/>
  </r>
  <r>
    <x v="3"/>
    <x v="50"/>
    <x v="52"/>
    <x v="1"/>
    <d v="2025-09-29T04:48:48"/>
    <s v="Mon"/>
    <n v="2025"/>
    <x v="3"/>
    <x v="13"/>
    <d v="2025-09-29T04:48:51"/>
    <n v="32"/>
    <s v="km/h"/>
    <s v="00:00:03"/>
    <n v="0.05"/>
    <s v="Nakuru"/>
    <s v="Nakuru"/>
    <m/>
    <m/>
    <s v="-0.96489 , 36.56461"/>
    <s v="-0.96512 , 36.56488"/>
    <n v="0"/>
    <n v="1"/>
  </r>
  <r>
    <x v="3"/>
    <x v="50"/>
    <x v="52"/>
    <x v="1"/>
    <d v="2025-09-28T20:02:37"/>
    <s v="Sun"/>
    <n v="2025"/>
    <x v="3"/>
    <x v="13"/>
    <d v="2025-09-28T20:02:38"/>
    <n v="33"/>
    <s v="km/h"/>
    <s v="00:00:01"/>
    <n v="1.6666666666666666E-2"/>
    <s v="Nakuru"/>
    <s v="Nakuru"/>
    <m/>
    <m/>
    <s v="-0.36262 , 36.20852"/>
    <s v="-0.36269 , 36.20859"/>
    <n v="0"/>
    <n v="1"/>
  </r>
  <r>
    <x v="0"/>
    <x v="105"/>
    <x v="112"/>
    <x v="3"/>
    <d v="2025-09-28T05:54:07"/>
    <s v="Sun"/>
    <n v="2025"/>
    <x v="3"/>
    <x v="13"/>
    <d v="2025-09-28T05:54:08"/>
    <n v="31"/>
    <s v="km/h/s"/>
    <s v="00:00:01"/>
    <n v="1.6666666666666666E-2"/>
    <s v="Tanga"/>
    <m/>
    <m/>
    <m/>
    <s v="-5.12772 , 38.38486"/>
    <m/>
    <n v="0"/>
    <n v="1"/>
  </r>
  <r>
    <x v="0"/>
    <x v="105"/>
    <x v="112"/>
    <x v="3"/>
    <d v="2025-09-28T05:30:53"/>
    <s v="Sun"/>
    <n v="2025"/>
    <x v="3"/>
    <x v="13"/>
    <d v="2025-09-28T05:30:54"/>
    <n v="32"/>
    <s v="km/h/s"/>
    <s v="00:00:01"/>
    <n v="1.6666666666666666E-2"/>
    <s v="Tanga"/>
    <m/>
    <m/>
    <m/>
    <s v="-5.23599 , 38.49651"/>
    <m/>
    <n v="0"/>
    <n v="1"/>
  </r>
  <r>
    <x v="3"/>
    <x v="50"/>
    <x v="52"/>
    <x v="1"/>
    <d v="2025-09-27T21:27:33"/>
    <s v="Sat"/>
    <n v="2025"/>
    <x v="3"/>
    <x v="14"/>
    <d v="2025-09-27T21:27:38"/>
    <n v="33"/>
    <s v="km/h"/>
    <s v="00:00:05"/>
    <n v="8.3333333333333329E-2"/>
    <s v="Kisumu"/>
    <s v="Kisumu"/>
    <m/>
    <m/>
    <s v="-0.19739 , 35.28816"/>
    <s v="-0.19713 , 35.28767"/>
    <n v="0"/>
    <n v="1"/>
  </r>
  <r>
    <x v="3"/>
    <x v="50"/>
    <x v="52"/>
    <x v="1"/>
    <d v="2025-09-27T20:41:03"/>
    <s v="Sat"/>
    <n v="2025"/>
    <x v="3"/>
    <x v="14"/>
    <d v="2025-09-27T20:41:04"/>
    <n v="33"/>
    <s v="km/h"/>
    <s v="00:00:01"/>
    <n v="1.6666666666666666E-2"/>
    <s v="Kericho"/>
    <s v="Kericho"/>
    <m/>
    <m/>
    <s v="-0.18401 , 35.45797"/>
    <s v="-0.18409 , 35.4578"/>
    <n v="0"/>
    <n v="1"/>
  </r>
  <r>
    <x v="2"/>
    <x v="64"/>
    <x v="67"/>
    <x v="2"/>
    <d v="2025-09-27T05:42:49"/>
    <s v="Sat"/>
    <n v="2025"/>
    <x v="3"/>
    <x v="14"/>
    <d v="2025-09-27T05:44:56"/>
    <n v="110"/>
    <s v="km/h"/>
    <s v="00:02:07"/>
    <n v="2.1166666666666667"/>
    <m/>
    <m/>
    <m/>
    <m/>
    <s v="0.2886, 35.3844"/>
    <s v="0.3165, 35.3760"/>
    <n v="3.2"/>
    <n v="1"/>
  </r>
  <r>
    <x v="2"/>
    <x v="64"/>
    <x v="67"/>
    <x v="2"/>
    <d v="2025-09-27T01:41:39"/>
    <s v="Sat"/>
    <n v="2025"/>
    <x v="3"/>
    <x v="14"/>
    <d v="2025-09-27T01:42:19"/>
    <n v="118"/>
    <s v="km/h"/>
    <s v="00:00:39"/>
    <n v="0.65"/>
    <m/>
    <m/>
    <m/>
    <m/>
    <s v="0.0998, 35.4947"/>
    <s v="0.0988, 35.4843"/>
    <n v="1.2"/>
    <n v="1"/>
  </r>
  <r>
    <x v="1"/>
    <x v="7"/>
    <x v="131"/>
    <x v="1"/>
    <d v="2025-09-26T15:13:13"/>
    <s v="Fri"/>
    <n v="2025"/>
    <x v="3"/>
    <x v="14"/>
    <d v="2025-09-26T15:13:19"/>
    <n v="35"/>
    <s v="km/h"/>
    <s v="00:00:06"/>
    <n v="0.1"/>
    <s v="Machakos"/>
    <s v="Machakos"/>
    <m/>
    <m/>
    <s v="-1.45533 , 37.00311"/>
    <s v="-1.45472 , 37.00267"/>
    <n v="9.4E-2"/>
    <n v="1"/>
  </r>
  <r>
    <x v="1"/>
    <x v="7"/>
    <x v="131"/>
    <x v="1"/>
    <d v="2025-09-26T11:31:15"/>
    <s v="Fri"/>
    <n v="2025"/>
    <x v="3"/>
    <x v="14"/>
    <d v="2025-09-26T11:31:20"/>
    <n v="34"/>
    <s v="km/h"/>
    <s v="00:00:05"/>
    <n v="8.3333333333333329E-2"/>
    <s v="Machakos"/>
    <s v="Machakos"/>
    <m/>
    <m/>
    <s v="-1.4595 , 37.00747"/>
    <s v="-1.45986 , 37.008"/>
    <n v="9.4E-2"/>
    <n v="1"/>
  </r>
  <r>
    <x v="1"/>
    <x v="7"/>
    <x v="131"/>
    <x v="1"/>
    <d v="2025-09-26T11:30:42"/>
    <s v="Fri"/>
    <n v="2025"/>
    <x v="3"/>
    <x v="14"/>
    <d v="2025-09-26T11:30:51"/>
    <n v="37"/>
    <s v="km/h"/>
    <s v="00:00:09"/>
    <n v="0.15"/>
    <s v="Machakos"/>
    <s v="Machakos"/>
    <m/>
    <m/>
    <s v="-1.45678 , 37.00456"/>
    <s v="-1.45769 , 37.00528"/>
    <n v="9.4E-2"/>
    <n v="1"/>
  </r>
  <r>
    <x v="1"/>
    <x v="7"/>
    <x v="131"/>
    <x v="1"/>
    <d v="2025-09-26T11:30:26"/>
    <s v="Fri"/>
    <n v="2025"/>
    <x v="3"/>
    <x v="14"/>
    <d v="2025-09-26T11:30:26"/>
    <n v="32"/>
    <s v="km/h"/>
    <s v="00:00:00"/>
    <n v="0"/>
    <s v="Machakos"/>
    <s v="Machakos"/>
    <m/>
    <m/>
    <s v="-1.4555 , 37.00358"/>
    <s v="-1.4555 , 37.00358"/>
    <n v="0"/>
    <n v="1"/>
  </r>
  <r>
    <x v="2"/>
    <x v="49"/>
    <x v="51"/>
    <x v="2"/>
    <d v="2025-09-26T09:05:31"/>
    <s v="Fri"/>
    <n v="2025"/>
    <x v="3"/>
    <x v="14"/>
    <d v="2025-09-26T09:07:16"/>
    <n v="109"/>
    <s v="km/h"/>
    <s v="00:01:45"/>
    <n v="1.75"/>
    <m/>
    <m/>
    <m/>
    <m/>
    <s v="-0.9204, 36.5251"/>
    <s v="-0.9407, 36.5420"/>
    <n v="2.9"/>
    <n v="1"/>
  </r>
  <r>
    <x v="3"/>
    <x v="5"/>
    <x v="5"/>
    <x v="3"/>
    <d v="2025-09-25T19:44:10"/>
    <s v="Thu"/>
    <n v="2025"/>
    <x v="3"/>
    <x v="14"/>
    <d v="2025-09-25T19:44:11"/>
    <n v="28"/>
    <s v="km/h/s"/>
    <s v="00:00:01"/>
    <n v="1.6666666666666666E-2"/>
    <s v="Taita-Taveta"/>
    <m/>
    <m/>
    <m/>
    <s v="-2.92318 , 38.38596"/>
    <m/>
    <n v="0"/>
    <n v="1"/>
  </r>
  <r>
    <x v="3"/>
    <x v="6"/>
    <x v="6"/>
    <x v="3"/>
    <d v="2025-09-25T07:39:02"/>
    <s v="Thu"/>
    <n v="2025"/>
    <x v="3"/>
    <x v="14"/>
    <d v="2025-09-25T07:39:03"/>
    <n v="32"/>
    <s v="km/h/s"/>
    <s v="00:00:01"/>
    <n v="1.6666666666666666E-2"/>
    <s v="Kericho"/>
    <m/>
    <m/>
    <m/>
    <s v="-0.18637 , 35.11915"/>
    <m/>
    <n v="0"/>
    <n v="1"/>
  </r>
  <r>
    <x v="3"/>
    <x v="50"/>
    <x v="52"/>
    <x v="1"/>
    <d v="2025-09-25T04:58:52"/>
    <s v="Thu"/>
    <n v="2025"/>
    <x v="3"/>
    <x v="14"/>
    <d v="2025-09-25T04:58:56"/>
    <n v="33"/>
    <s v="km/h"/>
    <s v="00:00:04"/>
    <n v="6.6666666666666666E-2"/>
    <s v="Kericho"/>
    <s v="Kericho"/>
    <m/>
    <m/>
    <s v="-0.2216 , 35.38284"/>
    <s v="-0.22173 , 35.3824"/>
    <n v="0"/>
    <n v="1"/>
  </r>
  <r>
    <x v="1"/>
    <x v="12"/>
    <x v="132"/>
    <x v="2"/>
    <d v="2025-09-24T13:37:54"/>
    <s v="Wed"/>
    <n v="2025"/>
    <x v="3"/>
    <x v="14"/>
    <d v="2025-09-24T13:37:58"/>
    <n v="83"/>
    <s v="km/h"/>
    <s v="00:00:04"/>
    <n v="6.6666666666666666E-2"/>
    <s v="Makueni"/>
    <s v="Makueni"/>
    <m/>
    <m/>
    <s v="-1.885 , 37.26553"/>
    <s v="-1.88608 , 37.26561"/>
    <n v="0.10199999999999999"/>
    <n v="1"/>
  </r>
  <r>
    <x v="1"/>
    <x v="12"/>
    <x v="132"/>
    <x v="2"/>
    <d v="2025-09-24T13:37:42"/>
    <s v="Wed"/>
    <n v="2025"/>
    <x v="3"/>
    <x v="14"/>
    <d v="2025-09-24T13:37:43"/>
    <n v="83"/>
    <s v="km/h"/>
    <s v="00:00:01"/>
    <n v="1.6666666666666666E-2"/>
    <s v="Makueni"/>
    <s v="Makueni"/>
    <m/>
    <m/>
    <s v="-1.88233 , 37.26544"/>
    <s v="-1.88256 , 37.26544"/>
    <n v="0.10199999999999999"/>
    <n v="1"/>
  </r>
  <r>
    <x v="1"/>
    <x v="12"/>
    <x v="132"/>
    <x v="2"/>
    <d v="2025-09-24T13:28:32"/>
    <s v="Wed"/>
    <n v="2025"/>
    <x v="3"/>
    <x v="14"/>
    <d v="2025-09-24T13:28:34"/>
    <n v="82"/>
    <s v="km/h"/>
    <s v="00:00:02"/>
    <n v="3.3333333333333333E-2"/>
    <s v="Makueni"/>
    <s v="Makueni"/>
    <m/>
    <m/>
    <s v="-1.834 , 37.25425"/>
    <s v="-1.83456 , 37.25464"/>
    <n v="9.8000000000000004E-2"/>
    <n v="1"/>
  </r>
  <r>
    <x v="2"/>
    <x v="120"/>
    <x v="133"/>
    <x v="2"/>
    <d v="2025-09-24T13:28:10"/>
    <s v="Wed"/>
    <n v="2025"/>
    <x v="3"/>
    <x v="14"/>
    <d v="2025-09-24T13:28:26"/>
    <n v="86"/>
    <s v="km/h"/>
    <s v="00:00:15"/>
    <n v="0.25"/>
    <m/>
    <m/>
    <m/>
    <m/>
    <s v="-0.2945, 35.1641"/>
    <s v="-0.2903, 35.1636"/>
    <n v="0.5"/>
    <n v="1"/>
  </r>
  <r>
    <x v="1"/>
    <x v="12"/>
    <x v="132"/>
    <x v="2"/>
    <d v="2025-09-24T13:26:49"/>
    <s v="Wed"/>
    <n v="2025"/>
    <x v="3"/>
    <x v="14"/>
    <d v="2025-09-24T13:26:51"/>
    <n v="82"/>
    <s v="km/h"/>
    <s v="00:00:02"/>
    <n v="3.3333333333333333E-2"/>
    <s v="Makueni"/>
    <s v="Makueni"/>
    <m/>
    <m/>
    <s v="-1.82561 , 37.24086"/>
    <s v="-1.82622 , 37.24117"/>
    <n v="9.8000000000000004E-2"/>
    <n v="1"/>
  </r>
  <r>
    <x v="2"/>
    <x v="121"/>
    <x v="134"/>
    <x v="2"/>
    <d v="2025-09-24T12:15:20"/>
    <s v="Wed"/>
    <n v="2025"/>
    <x v="3"/>
    <x v="14"/>
    <d v="2025-09-24T12:15:43"/>
    <n v="89"/>
    <s v="km/h"/>
    <s v="00:00:22"/>
    <n v="0.36666666666666664"/>
    <m/>
    <m/>
    <m/>
    <m/>
    <s v="-0.2068, 35.5884"/>
    <s v="-0.2108, 35.5838"/>
    <n v="0.7"/>
    <n v="1"/>
  </r>
  <r>
    <x v="1"/>
    <x v="12"/>
    <x v="132"/>
    <x v="2"/>
    <d v="2025-09-24T12:02:54"/>
    <s v="Wed"/>
    <n v="2025"/>
    <x v="3"/>
    <x v="14"/>
    <d v="2025-09-24T12:02:55"/>
    <n v="81"/>
    <s v="km/h"/>
    <s v="00:00:01"/>
    <n v="1.6666666666666666E-2"/>
    <s v="Machakos"/>
    <s v="Machakos"/>
    <m/>
    <m/>
    <s v="-1.41542 , 36.9515"/>
    <s v="-1.41558 , 36.95161"/>
    <n v="0"/>
    <n v="1"/>
  </r>
  <r>
    <x v="3"/>
    <x v="39"/>
    <x v="40"/>
    <x v="1"/>
    <d v="2025-09-24T11:15:56"/>
    <s v="Wed"/>
    <n v="2025"/>
    <x v="3"/>
    <x v="14"/>
    <d v="2025-09-24T11:16:04"/>
    <n v="35"/>
    <s v="km/h"/>
    <s v="00:00:08"/>
    <n v="0.13333333333333333"/>
    <s v="Nakuru"/>
    <s v="Nakuru"/>
    <m/>
    <m/>
    <s v="-0.57445 , 36.36348"/>
    <s v="-0.57498 , 36.36395"/>
    <n v="9.4E-2"/>
    <n v="1"/>
  </r>
  <r>
    <x v="2"/>
    <x v="90"/>
    <x v="93"/>
    <x v="2"/>
    <d v="2025-09-23T18:28:53"/>
    <s v="Tue"/>
    <n v="2025"/>
    <x v="3"/>
    <x v="14"/>
    <d v="2025-09-23T18:29:36"/>
    <n v="100"/>
    <s v="km/h"/>
    <s v="00:00:42"/>
    <n v="0.7"/>
    <m/>
    <m/>
    <m/>
    <m/>
    <s v="-0.2977, 35.1642"/>
    <s v="-0.2862, 35.1617"/>
    <n v="1.3"/>
    <n v="1"/>
  </r>
  <r>
    <x v="1"/>
    <x v="7"/>
    <x v="7"/>
    <x v="1"/>
    <d v="2025-09-22T15:02:42"/>
    <s v="Mon"/>
    <n v="2025"/>
    <x v="3"/>
    <x v="14"/>
    <d v="2025-09-22T15:02:44"/>
    <n v="37"/>
    <s v="km/h"/>
    <s v="00:00:02"/>
    <n v="3.3333333333333333E-2"/>
    <s v="Kiambu"/>
    <s v="Kiambu"/>
    <m/>
    <m/>
    <s v="-1.14358 , 36.66181"/>
    <s v="-1.14392 , 36.66197"/>
    <n v="9.4E-2"/>
    <n v="1"/>
  </r>
  <r>
    <x v="3"/>
    <x v="39"/>
    <x v="40"/>
    <x v="1"/>
    <d v="2025-09-22T08:47:25"/>
    <s v="Mon"/>
    <n v="2025"/>
    <x v="3"/>
    <x v="14"/>
    <d v="2025-09-22T08:47:26"/>
    <n v="34"/>
    <s v="km/h"/>
    <s v="00:00:01"/>
    <n v="1.6666666666666666E-2"/>
    <s v="Kericho"/>
    <s v="Kericho"/>
    <m/>
    <m/>
    <s v="-0.16846 , 35.48331"/>
    <s v="-0.1686 , 35.48322"/>
    <n v="0"/>
    <n v="1"/>
  </r>
  <r>
    <x v="0"/>
    <x v="122"/>
    <x v="135"/>
    <x v="2"/>
    <d v="2025-09-22T08:44:15"/>
    <s v="Mon"/>
    <n v="2025"/>
    <x v="3"/>
    <x v="14"/>
    <d v="2025-09-22T08:44:19"/>
    <n v="83"/>
    <s v="km/h"/>
    <s v="00:00:04"/>
    <n v="6.6666666666666666E-2"/>
    <s v="Makueni"/>
    <s v="Makueni"/>
    <m/>
    <m/>
    <s v="-1.82502 , 37.24058"/>
    <s v="-1.82594 , 37.24104"/>
    <n v="9.4E-2"/>
    <n v="1"/>
  </r>
  <r>
    <x v="1"/>
    <x v="66"/>
    <x v="55"/>
    <x v="1"/>
    <d v="2025-09-21T17:59:26"/>
    <s v="Sun"/>
    <n v="2025"/>
    <x v="3"/>
    <x v="14"/>
    <d v="2025-09-21T17:59:27"/>
    <n v="36"/>
    <s v="km/h"/>
    <s v="00:00:01"/>
    <n v="1.6666666666666666E-2"/>
    <s v="Kericho"/>
    <s v="Kericho"/>
    <m/>
    <m/>
    <s v="-0.24975 , 35.51675"/>
    <s v="-0.2495 , 35.51686"/>
    <n v="0"/>
    <n v="1"/>
  </r>
  <r>
    <x v="1"/>
    <x v="66"/>
    <x v="55"/>
    <x v="1"/>
    <d v="2025-09-21T17:58:53"/>
    <s v="Sun"/>
    <n v="2025"/>
    <x v="3"/>
    <x v="14"/>
    <d v="2025-09-21T17:58:53"/>
    <n v="36"/>
    <s v="km/h"/>
    <s v="00:00:00"/>
    <n v="0"/>
    <s v="Kericho"/>
    <s v="Kericho"/>
    <m/>
    <m/>
    <s v="-0.25219 , 35.51514"/>
    <s v="-0.25219 , 35.51514"/>
    <n v="0"/>
    <n v="1"/>
  </r>
  <r>
    <x v="1"/>
    <x v="56"/>
    <x v="136"/>
    <x v="1"/>
    <d v="2025-09-21T16:37:43"/>
    <s v="Sun"/>
    <n v="2025"/>
    <x v="3"/>
    <x v="14"/>
    <d v="2025-09-21T16:37:46"/>
    <n v="43"/>
    <s v="km/h"/>
    <s v="00:00:03"/>
    <n v="0.05"/>
    <s v="Nyeri"/>
    <s v="Nyeri"/>
    <m/>
    <m/>
    <s v="-0.44319 , 37.04044"/>
    <s v="-0.44331 , 37.04086"/>
    <n v="6.2E-2"/>
    <n v="1"/>
  </r>
  <r>
    <x v="1"/>
    <x v="56"/>
    <x v="136"/>
    <x v="2"/>
    <d v="2025-09-21T14:51:14"/>
    <s v="Sun"/>
    <n v="2025"/>
    <x v="3"/>
    <x v="14"/>
    <d v="2025-09-21T14:51:14"/>
    <n v="82"/>
    <s v="km/h"/>
    <s v="00:00:00"/>
    <n v="0"/>
    <s v="Meru"/>
    <s v="Meru"/>
    <m/>
    <m/>
    <s v="0.08378 , 37.28114"/>
    <s v="0.08378 , 37.28114"/>
    <n v="0"/>
    <n v="1"/>
  </r>
  <r>
    <x v="0"/>
    <x v="123"/>
    <x v="137"/>
    <x v="4"/>
    <d v="2025-09-21T07:02:53"/>
    <s v="Sun"/>
    <n v="2025"/>
    <x v="3"/>
    <x v="14"/>
    <d v="2025-09-21T07:02:53"/>
    <n v="11"/>
    <s v="km/h/s"/>
    <s v="00:00:00"/>
    <n v="0"/>
    <s v="Nairobi"/>
    <s v="Nairobi"/>
    <m/>
    <m/>
    <s v="-1.28958 , 36.76092"/>
    <s v="-1.28958 , 36.76092"/>
    <n v="0"/>
    <n v="1"/>
  </r>
  <r>
    <x v="2"/>
    <x v="4"/>
    <x v="4"/>
    <x v="2"/>
    <d v="2025-09-20T14:09:03"/>
    <s v="Sat"/>
    <n v="2025"/>
    <x v="3"/>
    <x v="15"/>
    <d v="2025-09-20T14:09:52"/>
    <n v="94"/>
    <s v="km/h"/>
    <s v="00:00:49"/>
    <n v="0.81666666666666665"/>
    <m/>
    <m/>
    <m/>
    <m/>
    <s v="-1.0797, 37.0437"/>
    <s v="-1.0881, 37.0365"/>
    <n v="1.2"/>
    <n v="1"/>
  </r>
  <r>
    <x v="1"/>
    <x v="89"/>
    <x v="132"/>
    <x v="0"/>
    <d v="2025-09-19T23:00:01"/>
    <s v="Fri"/>
    <n v="2025"/>
    <x v="3"/>
    <x v="15"/>
    <d v="2025-09-19T23:14:18"/>
    <n v="207.8"/>
    <s v="km"/>
    <s v="00:14:17"/>
    <n v="14.283333333333333"/>
    <s v="Taita-Taveta"/>
    <s v="Makueni"/>
    <m/>
    <m/>
    <s v="-2.711 , 38.18664"/>
    <s v="-2.69186 , 38.16492"/>
    <n v="3.1880000000000002"/>
    <n v="1"/>
  </r>
  <r>
    <x v="3"/>
    <x v="52"/>
    <x v="54"/>
    <x v="1"/>
    <d v="2025-09-19T21:16:24"/>
    <s v="Fri"/>
    <n v="2025"/>
    <x v="3"/>
    <x v="15"/>
    <d v="2025-09-19T21:16:27"/>
    <n v="39"/>
    <s v="km/h"/>
    <s v="00:00:03"/>
    <n v="0.05"/>
    <s v="Nakuru"/>
    <s v="Nakuru"/>
    <m/>
    <m/>
    <s v="-0.20161 , 35.81722"/>
    <s v="-0.20152 , 35.81751"/>
    <n v="0"/>
    <n v="1"/>
  </r>
  <r>
    <x v="3"/>
    <x v="97"/>
    <x v="101"/>
    <x v="0"/>
    <d v="2025-09-19T03:50:36"/>
    <s v="Fri"/>
    <n v="2025"/>
    <x v="3"/>
    <x v="15"/>
    <d v="2025-09-19T03:59:58"/>
    <n v="9.1999999999999993"/>
    <s v="km"/>
    <s v="00:09:22"/>
    <n v="9.3666666666666671"/>
    <s v="Nakuru"/>
    <s v="Nakuru"/>
    <m/>
    <m/>
    <s v="-0.89053 , 36.50243"/>
    <s v="-0.95443 , 36.55272"/>
    <n v="9"/>
    <n v="1"/>
  </r>
  <r>
    <x v="1"/>
    <x v="1"/>
    <x v="85"/>
    <x v="0"/>
    <d v="2025-09-18T23:00:01"/>
    <s v="Thu"/>
    <n v="2025"/>
    <x v="3"/>
    <x v="15"/>
    <d v="2025-09-18T23:24:08"/>
    <n v="50.3"/>
    <s v="km"/>
    <s v="00:24:07"/>
    <n v="24.116666666666667"/>
    <s v="Nakuru"/>
    <s v="Nakuru"/>
    <m/>
    <m/>
    <s v="-0.33094 , 36.15892"/>
    <s v="-0.28964 , 36.05703"/>
    <n v="14"/>
    <n v="1"/>
  </r>
  <r>
    <x v="1"/>
    <x v="32"/>
    <x v="69"/>
    <x v="0"/>
    <d v="2025-09-18T23:00:01"/>
    <s v="Thu"/>
    <n v="2025"/>
    <x v="3"/>
    <x v="15"/>
    <d v="2025-09-18T23:54:40"/>
    <n v="53.3"/>
    <s v="km"/>
    <s v="00:54:39"/>
    <n v="54.65"/>
    <s v="Kilifi"/>
    <s v="Mombasa"/>
    <m/>
    <m/>
    <s v="-3.91406 , 39.76236"/>
    <s v="-4.02556 , 39.63378"/>
    <n v="25.125"/>
    <n v="1"/>
  </r>
  <r>
    <x v="1"/>
    <x v="12"/>
    <x v="138"/>
    <x v="0"/>
    <d v="2025-09-18T23:00:01"/>
    <s v="Thu"/>
    <n v="2025"/>
    <x v="3"/>
    <x v="15"/>
    <d v="2025-09-18T23:44:47"/>
    <n v="116"/>
    <s v="km"/>
    <s v="00:44:46"/>
    <n v="44.766666666666666"/>
    <s v="Taita-Taveta"/>
    <s v="Taita-Taveta"/>
    <m/>
    <m/>
    <s v="-3.40589 , 38.57011"/>
    <s v="-3.56192 , 38.75606"/>
    <n v="25.699000000000002"/>
    <n v="1"/>
  </r>
  <r>
    <x v="1"/>
    <x v="89"/>
    <x v="132"/>
    <x v="0"/>
    <d v="2025-09-18T23:00:01"/>
    <s v="Thu"/>
    <n v="2025"/>
    <x v="3"/>
    <x v="15"/>
    <d v="2025-09-18T23:42:27"/>
    <n v="124.2"/>
    <s v="km"/>
    <s v="00:42:26"/>
    <n v="42.43333333333333"/>
    <s v="Taita-Taveta"/>
    <s v="Taita-Taveta"/>
    <m/>
    <m/>
    <s v="-3.40581 , 38.57039"/>
    <s v="-3.56194 , 38.75603"/>
    <n v="27.5"/>
    <n v="1"/>
  </r>
  <r>
    <x v="1"/>
    <x v="63"/>
    <x v="139"/>
    <x v="0"/>
    <d v="2025-09-18T23:00:01"/>
    <s v="Thu"/>
    <n v="2025"/>
    <x v="3"/>
    <x v="15"/>
    <d v="2025-09-19T00:09:56"/>
    <n v="52.2"/>
    <s v="km"/>
    <s v="01:09:55"/>
    <n v="69.916666666666671"/>
    <s v="Kilifi"/>
    <s v="Mombasa"/>
    <m/>
    <m/>
    <s v="-3.91367 , 39.76267"/>
    <s v="-4.02556 , 39.63361"/>
    <n v="24.562000000000001"/>
    <n v="1"/>
  </r>
  <r>
    <x v="2"/>
    <x v="3"/>
    <x v="3"/>
    <x v="2"/>
    <d v="2025-09-18T22:41:01"/>
    <s v="Thu"/>
    <n v="2025"/>
    <x v="3"/>
    <x v="15"/>
    <d v="2025-09-18T22:42:19"/>
    <n v="111"/>
    <s v="km/h"/>
    <s v="00:01:17"/>
    <n v="1.2833333333333332"/>
    <m/>
    <m/>
    <m/>
    <m/>
    <s v="-1.1751, 36.6422"/>
    <s v="-1.1923, 36.6503"/>
    <n v="2.1"/>
    <n v="1"/>
  </r>
  <r>
    <x v="0"/>
    <x v="74"/>
    <x v="75"/>
    <x v="1"/>
    <d v="2025-09-18T22:21:16"/>
    <s v="Thu"/>
    <n v="2025"/>
    <x v="3"/>
    <x v="15"/>
    <d v="2025-09-18T22:21:26"/>
    <n v="58"/>
    <s v="km/h"/>
    <s v="00:00:10"/>
    <n v="0.16666666666666666"/>
    <s v="Kiambu"/>
    <s v="Kiambu"/>
    <m/>
    <m/>
    <s v="-1.16718 , 36.95549"/>
    <s v="-1.16796 , 36.95448"/>
    <n v="9.4E-2"/>
    <n v="1"/>
  </r>
  <r>
    <x v="1"/>
    <x v="116"/>
    <x v="131"/>
    <x v="1"/>
    <d v="2025-09-18T15:17:08"/>
    <s v="Thu"/>
    <n v="2025"/>
    <x v="3"/>
    <x v="15"/>
    <d v="2025-09-18T15:17:09"/>
    <n v="32"/>
    <s v="km/h"/>
    <s v="00:00:01"/>
    <n v="1.6666666666666666E-2"/>
    <s v="Kirinyaga"/>
    <s v="Kirinyaga"/>
    <m/>
    <m/>
    <s v="-0.55022 , 37.24081"/>
    <s v="-0.55042 , 37.24078"/>
    <n v="0"/>
    <n v="1"/>
  </r>
  <r>
    <x v="3"/>
    <x v="42"/>
    <x v="140"/>
    <x v="1"/>
    <d v="2025-09-18T05:43:24"/>
    <s v="Thu"/>
    <n v="2025"/>
    <x v="3"/>
    <x v="15"/>
    <d v="2025-09-18T05:44:04"/>
    <n v="36"/>
    <s v="km/h"/>
    <s v="00:00:40"/>
    <n v="0.66666666666666663"/>
    <s v="Kiambu"/>
    <s v="Kiambu"/>
    <m/>
    <m/>
    <s v="-1.03145 , 36.60212"/>
    <s v="-1.02783 , 36.60267"/>
    <n v="0.40600000000000003"/>
    <n v="1"/>
  </r>
  <r>
    <x v="3"/>
    <x v="42"/>
    <x v="140"/>
    <x v="1"/>
    <d v="2025-09-18T05:37:10"/>
    <s v="Thu"/>
    <n v="2025"/>
    <x v="3"/>
    <x v="15"/>
    <d v="2025-09-18T05:37:11"/>
    <n v="35"/>
    <s v="km/h"/>
    <s v="00:00:01"/>
    <n v="1.6666666666666666E-2"/>
    <s v="Kiambu"/>
    <s v="Kiambu"/>
    <m/>
    <m/>
    <s v="-1.06337 , 36.60312"/>
    <s v="-1.06319 , 36.60315"/>
    <n v="9.4E-2"/>
    <n v="1"/>
  </r>
  <r>
    <x v="3"/>
    <x v="97"/>
    <x v="101"/>
    <x v="0"/>
    <d v="2025-09-17T23:00:00"/>
    <s v="Wed"/>
    <n v="2025"/>
    <x v="3"/>
    <x v="15"/>
    <d v="2025-09-17T23:08:42"/>
    <n v="160.80000000000001"/>
    <s v="km"/>
    <s v="00:08:42"/>
    <n v="8.6999999999999993"/>
    <s v="Kisumu"/>
    <s v="Kisumu"/>
    <m/>
    <m/>
    <s v="-0.17686 , 35.08647"/>
    <s v="-0.16128 , 35.07484"/>
    <n v="2.1989999999999998"/>
    <n v="1"/>
  </r>
  <r>
    <x v="1"/>
    <x v="48"/>
    <x v="1"/>
    <x v="3"/>
    <d v="2025-09-17T13:12:55"/>
    <s v="Wed"/>
    <n v="2025"/>
    <x v="3"/>
    <x v="15"/>
    <d v="2025-09-17T13:12:55"/>
    <n v="18"/>
    <s v="km/h/s"/>
    <s v="00:00:00"/>
    <n v="0"/>
    <s v="Nairobi"/>
    <s v="Nairobi"/>
    <m/>
    <m/>
    <s v="-1.28803 , 36.95156"/>
    <s v="-1.28803 , 36.95156"/>
    <n v="0"/>
    <n v="1"/>
  </r>
  <r>
    <x v="2"/>
    <x v="124"/>
    <x v="141"/>
    <x v="2"/>
    <d v="2025-09-17T11:29:26"/>
    <s v="Wed"/>
    <n v="2025"/>
    <x v="3"/>
    <x v="15"/>
    <d v="2025-09-17T11:29:41"/>
    <n v="88"/>
    <s v="km/h"/>
    <s v="00:00:15"/>
    <n v="0.25"/>
    <m/>
    <m/>
    <m/>
    <m/>
    <s v="-1.1152, 37.0112"/>
    <s v="-1.1111, 37.0125"/>
    <n v="0.5"/>
    <n v="1"/>
  </r>
  <r>
    <x v="2"/>
    <x v="3"/>
    <x v="3"/>
    <x v="2"/>
    <d v="2025-09-16T23:30:57"/>
    <s v="Tue"/>
    <n v="2025"/>
    <x v="3"/>
    <x v="15"/>
    <d v="2025-09-16T23:32:24"/>
    <n v="101"/>
    <s v="km/h"/>
    <s v="00:01:26"/>
    <n v="1.4333333333333333"/>
    <m/>
    <m/>
    <m/>
    <m/>
    <s v="-0.2387, 35.9153"/>
    <s v="-0.2293, 35.8964"/>
    <n v="2.2999999999999998"/>
    <n v="1"/>
  </r>
  <r>
    <x v="3"/>
    <x v="50"/>
    <x v="52"/>
    <x v="3"/>
    <d v="2025-09-16T10:45:08"/>
    <s v="Tue"/>
    <n v="2025"/>
    <x v="3"/>
    <x v="15"/>
    <d v="2025-09-16T10:45:09"/>
    <n v="22"/>
    <s v="km/h/s"/>
    <s v="00:00:01"/>
    <n v="1.6666666666666666E-2"/>
    <s v="Meru"/>
    <m/>
    <m/>
    <m/>
    <s v="-0.02502 , 37.79919"/>
    <m/>
    <n v="0"/>
    <n v="1"/>
  </r>
  <r>
    <x v="1"/>
    <x v="116"/>
    <x v="131"/>
    <x v="1"/>
    <d v="2025-09-16T08:02:09"/>
    <s v="Tue"/>
    <n v="2025"/>
    <x v="3"/>
    <x v="15"/>
    <d v="2025-09-16T08:02:20"/>
    <n v="32"/>
    <s v="km/h"/>
    <s v="00:00:11"/>
    <n v="0.18333333333333332"/>
    <s v="Nairobi"/>
    <s v="Nairobi"/>
    <s v="DHL-Kasarani"/>
    <s v="DHL-Kasarani"/>
    <s v="-1.22119 , 36.88961"/>
    <s v="-1.22031 , 36.89044"/>
    <n v="0.125"/>
    <n v="1"/>
  </r>
  <r>
    <x v="1"/>
    <x v="89"/>
    <x v="142"/>
    <x v="1"/>
    <d v="2025-09-15T20:33:01"/>
    <s v="Mon"/>
    <n v="2025"/>
    <x v="3"/>
    <x v="15"/>
    <d v="2025-09-15T20:33:07"/>
    <n v="37"/>
    <s v="km/h"/>
    <s v="00:00:06"/>
    <n v="0.1"/>
    <s v="Nakuru"/>
    <s v="Nakuru"/>
    <m/>
    <m/>
    <s v="-0.32617 , 36.15442"/>
    <s v="-0.32572 , 36.15394"/>
    <n v="0.125"/>
    <n v="1"/>
  </r>
  <r>
    <x v="2"/>
    <x v="125"/>
    <x v="143"/>
    <x v="2"/>
    <d v="2025-09-14T17:12:09"/>
    <s v="Sun"/>
    <n v="2025"/>
    <x v="3"/>
    <x v="15"/>
    <d v="2025-09-14T17:12:33"/>
    <n v="88"/>
    <s v="km/h"/>
    <s v="00:00:24"/>
    <n v="0.4"/>
    <m/>
    <m/>
    <m/>
    <m/>
    <s v="0.2480, 35.4091"/>
    <s v="0.2522, 35.4044"/>
    <n v="0.7"/>
    <n v="1"/>
  </r>
  <r>
    <x v="0"/>
    <x v="119"/>
    <x v="130"/>
    <x v="1"/>
    <d v="2025-09-14T14:41:24"/>
    <s v="Sun"/>
    <n v="2025"/>
    <x v="3"/>
    <x v="15"/>
    <d v="2025-09-14T14:41:40"/>
    <n v="38"/>
    <s v="km/h"/>
    <s v="00:00:16"/>
    <n v="0.26666666666666666"/>
    <s v="Nyeri"/>
    <s v="Nyeri"/>
    <m/>
    <m/>
    <s v="-0.57673 , 36.88209"/>
    <s v="-0.57717 , 36.88353"/>
    <n v="0.1875"/>
    <n v="1"/>
  </r>
  <r>
    <x v="3"/>
    <x v="17"/>
    <x v="18"/>
    <x v="3"/>
    <d v="2025-09-14T09:23:28"/>
    <s v="Sun"/>
    <n v="2025"/>
    <x v="3"/>
    <x v="15"/>
    <d v="2025-09-14T09:23:29"/>
    <n v="27"/>
    <s v="km/h/s"/>
    <s v="00:00:01"/>
    <n v="1.6666666666666666E-2"/>
    <s v="Kiambu"/>
    <m/>
    <m/>
    <m/>
    <s v="-1.05911 , 37.25772"/>
    <m/>
    <n v="0"/>
    <n v="1"/>
  </r>
  <r>
    <x v="0"/>
    <x v="78"/>
    <x v="78"/>
    <x v="3"/>
    <d v="2025-09-14T05:32:37"/>
    <s v="Sun"/>
    <n v="2025"/>
    <x v="3"/>
    <x v="15"/>
    <d v="2025-09-14T05:32:37"/>
    <n v="16"/>
    <s v="km/h/s"/>
    <s v="00:00:00"/>
    <n v="0"/>
    <s v="Kiambu"/>
    <s v="Kiambu"/>
    <m/>
    <m/>
    <s v="-1.13267 , 36.69858"/>
    <s v="-1.13267 , 36.69858"/>
    <n v="0"/>
    <n v="1"/>
  </r>
  <r>
    <x v="2"/>
    <x v="126"/>
    <x v="144"/>
    <x v="2"/>
    <d v="2025-09-13T20:29:12"/>
    <s v="Sat"/>
    <n v="2025"/>
    <x v="3"/>
    <x v="16"/>
    <d v="2025-09-13T20:29:58"/>
    <n v="95"/>
    <s v="km/h"/>
    <s v="00:00:45"/>
    <n v="0.75"/>
    <m/>
    <m/>
    <m/>
    <m/>
    <s v="-1.1047, 36.2109"/>
    <s v="-1.1044, 36.2220"/>
    <n v="1.2"/>
    <n v="1"/>
  </r>
  <r>
    <x v="3"/>
    <x v="6"/>
    <x v="6"/>
    <x v="1"/>
    <d v="2025-09-13T15:10:13"/>
    <s v="Sat"/>
    <n v="2025"/>
    <x v="3"/>
    <x v="16"/>
    <d v="2025-09-13T15:10:33"/>
    <n v="74"/>
    <s v="km/h"/>
    <s v="00:00:20"/>
    <n v="0.33333333333333331"/>
    <s v="Tharaka-Nithi"/>
    <s v="Tharaka-Nithi"/>
    <m/>
    <m/>
    <s v="-0.31057 , 37.87169"/>
    <s v="-0.30794 , 37.87417"/>
    <n v="0.5"/>
    <n v="1"/>
  </r>
  <r>
    <x v="2"/>
    <x v="3"/>
    <x v="3"/>
    <x v="2"/>
    <d v="2025-09-13T13:16:21"/>
    <s v="Sat"/>
    <n v="2025"/>
    <x v="3"/>
    <x v="16"/>
    <d v="2025-09-13T13:17:21"/>
    <n v="95"/>
    <s v="km/h"/>
    <s v="00:00:59"/>
    <n v="0.98333333333333328"/>
    <m/>
    <m/>
    <m/>
    <m/>
    <s v="-1.5793, 37.1564"/>
    <s v="-1.5917, 37.1625"/>
    <n v="1.5"/>
    <n v="1"/>
  </r>
  <r>
    <x v="2"/>
    <x v="35"/>
    <x v="36"/>
    <x v="2"/>
    <d v="2025-09-13T12:30:00"/>
    <s v="Sat"/>
    <n v="2025"/>
    <x v="3"/>
    <x v="16"/>
    <d v="2025-09-13T12:31:20"/>
    <n v="87"/>
    <s v="km/h"/>
    <s v="00:01:19"/>
    <n v="1.3166666666666667"/>
    <m/>
    <m/>
    <m/>
    <m/>
    <s v="-1.5224, 37.1168"/>
    <s v="-1.5132, 37.1024"/>
    <n v="1.9"/>
    <n v="1"/>
  </r>
  <r>
    <x v="0"/>
    <x v="127"/>
    <x v="145"/>
    <x v="4"/>
    <d v="2025-09-13T07:26:48"/>
    <s v="Sat"/>
    <n v="2025"/>
    <x v="3"/>
    <x v="16"/>
    <d v="2025-09-13T07:26:49"/>
    <n v="11"/>
    <s v="km/h/s"/>
    <s v="00:00:01"/>
    <n v="1.6666666666666666E-2"/>
    <s v="Nairobi"/>
    <m/>
    <m/>
    <m/>
    <s v="-1.21 , 36.90999"/>
    <m/>
    <n v="0"/>
    <n v="1"/>
  </r>
  <r>
    <x v="2"/>
    <x v="128"/>
    <x v="146"/>
    <x v="2"/>
    <d v="2025-09-12T18:35:36"/>
    <s v="Fri"/>
    <n v="2025"/>
    <x v="3"/>
    <x v="16"/>
    <d v="2025-09-12T18:35:52"/>
    <n v="87"/>
    <s v="km/h"/>
    <s v="00:00:15"/>
    <n v="0.25"/>
    <m/>
    <m/>
    <m/>
    <m/>
    <s v="-1.1350, 36.6574"/>
    <s v="-1.1386, 36.6596"/>
    <n v="0.5"/>
    <n v="1"/>
  </r>
  <r>
    <x v="3"/>
    <x v="50"/>
    <x v="52"/>
    <x v="1"/>
    <d v="2025-09-12T15:26:05"/>
    <s v="Fri"/>
    <n v="2025"/>
    <x v="3"/>
    <x v="16"/>
    <d v="2025-09-12T15:26:10"/>
    <n v="32"/>
    <s v="km/h"/>
    <s v="00:00:05"/>
    <n v="8.3333333333333329E-2"/>
    <s v="Nairobi"/>
    <s v="Nairobi"/>
    <m/>
    <m/>
    <s v="-1.32919 , 36.89149"/>
    <s v="-1.32889 , 36.89193"/>
    <n v="0.125"/>
    <n v="1"/>
  </r>
  <r>
    <x v="2"/>
    <x v="129"/>
    <x v="147"/>
    <x v="2"/>
    <d v="2025-09-12T07:47:57"/>
    <s v="Fri"/>
    <n v="2025"/>
    <x v="3"/>
    <x v="16"/>
    <d v="2025-09-12T07:50:42"/>
    <n v="88"/>
    <s v="km/h"/>
    <s v="00:02:44"/>
    <n v="2.7333333333333334"/>
    <m/>
    <m/>
    <m/>
    <m/>
    <s v="-0.1548, 35.0607"/>
    <s v="-0.1473, 35.0261"/>
    <n v="3.9"/>
    <n v="1"/>
  </r>
  <r>
    <x v="2"/>
    <x v="130"/>
    <x v="148"/>
    <x v="2"/>
    <d v="2025-09-11T18:06:01"/>
    <s v="Thu"/>
    <n v="2025"/>
    <x v="3"/>
    <x v="16"/>
    <d v="2025-09-11T18:06:15"/>
    <n v="84"/>
    <s v="km/h"/>
    <s v="00:00:14"/>
    <n v="0.23333333333333334"/>
    <m/>
    <m/>
    <m/>
    <m/>
    <s v="-0.2727, 36.0091"/>
    <s v="-0.2739, 36.0129"/>
    <n v="0.4"/>
    <n v="1"/>
  </r>
  <r>
    <x v="3"/>
    <x v="6"/>
    <x v="6"/>
    <x v="1"/>
    <d v="2025-09-11T09:47:07"/>
    <s v="Thu"/>
    <n v="2025"/>
    <x v="3"/>
    <x v="16"/>
    <d v="2025-09-11T09:47:15"/>
    <n v="36"/>
    <s v="km/h"/>
    <s v="00:00:08"/>
    <n v="0.13333333333333333"/>
    <s v="Machakos"/>
    <s v="Machakos"/>
    <m/>
    <m/>
    <s v="-1.40093 , 36.94379"/>
    <s v="-1.40155 , 36.94411"/>
    <n v="9.3700000000000006E-2"/>
    <n v="1"/>
  </r>
  <r>
    <x v="1"/>
    <x v="66"/>
    <x v="55"/>
    <x v="1"/>
    <d v="2025-09-10T18:29:15"/>
    <s v="Wed"/>
    <n v="2025"/>
    <x v="3"/>
    <x v="16"/>
    <d v="2025-09-10T18:29:15"/>
    <n v="39"/>
    <s v="km/h"/>
    <s v="00:00:00"/>
    <n v="0"/>
    <s v="Kericho"/>
    <s v="Kericho"/>
    <m/>
    <m/>
    <s v="-0.32417 , 35.23181"/>
    <s v="-0.32417 , 35.23181"/>
    <n v="0"/>
    <n v="1"/>
  </r>
  <r>
    <x v="1"/>
    <x v="67"/>
    <x v="131"/>
    <x v="1"/>
    <d v="2025-09-10T17:38:04"/>
    <s v="Wed"/>
    <n v="2025"/>
    <x v="3"/>
    <x v="16"/>
    <d v="2025-09-10T17:38:12"/>
    <n v="35"/>
    <s v="km/h"/>
    <s v="00:00:08"/>
    <n v="0.13333333333333333"/>
    <s v="Nairobi"/>
    <s v="Nairobi"/>
    <m/>
    <m/>
    <s v="-1.25425 , 36.8575"/>
    <s v="-1.25378 , 36.85794"/>
    <n v="9.3799999999999994E-2"/>
    <n v="1"/>
  </r>
  <r>
    <x v="0"/>
    <x v="65"/>
    <x v="68"/>
    <x v="1"/>
    <d v="2025-09-10T12:42:12"/>
    <s v="Wed"/>
    <n v="2025"/>
    <x v="3"/>
    <x v="16"/>
    <d v="2025-09-10T12:42:12"/>
    <n v="31"/>
    <s v="km/h"/>
    <s v="00:00:00"/>
    <n v="0"/>
    <s v="Nairobi"/>
    <s v="Nairobi"/>
    <m/>
    <m/>
    <s v="-1.27831 , 36.88217"/>
    <s v="-1.27831 , 36.88217"/>
    <n v="0"/>
    <n v="1"/>
  </r>
  <r>
    <x v="0"/>
    <x v="65"/>
    <x v="68"/>
    <x v="2"/>
    <d v="2025-09-10T12:41:06"/>
    <s v="Wed"/>
    <n v="2025"/>
    <x v="3"/>
    <x v="16"/>
    <d v="2025-09-10T12:41:06"/>
    <n v="82"/>
    <s v="km/h"/>
    <s v="00:00:00"/>
    <n v="0"/>
    <s v="Nairobi"/>
    <s v="Nairobi"/>
    <m/>
    <m/>
    <s v="-1.28636 , 36.88408"/>
    <s v="-1.28636 , 36.88408"/>
    <n v="0"/>
    <n v="1"/>
  </r>
  <r>
    <x v="1"/>
    <x v="14"/>
    <x v="29"/>
    <x v="1"/>
    <d v="2025-09-09T22:18:38"/>
    <s v="Tue"/>
    <n v="2025"/>
    <x v="3"/>
    <x v="16"/>
    <d v="2025-09-09T22:18:41"/>
    <n v="35"/>
    <s v="km/h"/>
    <s v="00:00:03"/>
    <n v="0.05"/>
    <s v="Mombasa"/>
    <s v="Mombasa"/>
    <m/>
    <m/>
    <s v="-4.02333 , 39.70869"/>
    <s v="-4.02342 , 39.70833"/>
    <n v="0"/>
    <n v="1"/>
  </r>
  <r>
    <x v="1"/>
    <x v="14"/>
    <x v="29"/>
    <x v="1"/>
    <d v="2025-09-09T20:16:59"/>
    <s v="Tue"/>
    <n v="2025"/>
    <x v="3"/>
    <x v="16"/>
    <d v="2025-09-09T20:17:07"/>
    <n v="37"/>
    <s v="km/h"/>
    <s v="00:00:08"/>
    <n v="0.13333333333333333"/>
    <s v="Kilifi"/>
    <s v="Kilifi"/>
    <m/>
    <m/>
    <s v="-3.80508 , 39.81336"/>
    <s v="-3.80586 , 39.813"/>
    <n v="9.3799999999999994E-2"/>
    <n v="1"/>
  </r>
  <r>
    <x v="1"/>
    <x v="14"/>
    <x v="29"/>
    <x v="1"/>
    <d v="2025-09-09T20:08:08"/>
    <s v="Tue"/>
    <n v="2025"/>
    <x v="3"/>
    <x v="16"/>
    <d v="2025-09-09T20:08:08"/>
    <n v="39"/>
    <s v="km/h"/>
    <s v="00:00:00"/>
    <n v="0"/>
    <s v="Kilifi"/>
    <s v="Kilifi"/>
    <m/>
    <m/>
    <s v="-3.76525 , 39.82378"/>
    <s v="-3.76525 , 39.82378"/>
    <n v="0"/>
    <n v="1"/>
  </r>
  <r>
    <x v="3"/>
    <x v="39"/>
    <x v="149"/>
    <x v="3"/>
    <d v="2025-09-09T19:32:12"/>
    <s v="Tue"/>
    <n v="2025"/>
    <x v="3"/>
    <x v="16"/>
    <d v="2025-09-09T19:32:13"/>
    <n v="24"/>
    <s v="km/h/s"/>
    <s v="00:00:01"/>
    <n v="1.6666666666666666E-2"/>
    <s v="Kiambu"/>
    <m/>
    <m/>
    <m/>
    <s v="-1.09676 , 36.6077"/>
    <m/>
    <n v="0"/>
    <n v="1"/>
  </r>
  <r>
    <x v="1"/>
    <x v="14"/>
    <x v="29"/>
    <x v="1"/>
    <d v="2025-09-09T05:14:37"/>
    <s v="Tue"/>
    <n v="2025"/>
    <x v="3"/>
    <x v="16"/>
    <d v="2025-09-09T05:14:41"/>
    <n v="40"/>
    <s v="km/h"/>
    <s v="00:00:04"/>
    <n v="6.6666666666666666E-2"/>
    <s v="Taita-Taveta"/>
    <s v="Taita-Taveta"/>
    <m/>
    <m/>
    <s v="-3.40442 , 38.57844"/>
    <s v="-3.40442 , 38.579"/>
    <n v="9.3799999999999994E-2"/>
    <n v="1"/>
  </r>
  <r>
    <x v="1"/>
    <x v="14"/>
    <x v="29"/>
    <x v="1"/>
    <d v="2025-09-08T19:27:59"/>
    <s v="Mon"/>
    <n v="2025"/>
    <x v="3"/>
    <x v="16"/>
    <d v="2025-09-08T19:27:59"/>
    <n v="40"/>
    <s v="km/h"/>
    <s v="00:00:00"/>
    <n v="0"/>
    <s v="Makueni"/>
    <s v="Makueni"/>
    <m/>
    <m/>
    <s v="-2.26028 , 37.79908"/>
    <s v="-2.26028 , 37.79908"/>
    <n v="0"/>
    <n v="1"/>
  </r>
  <r>
    <x v="1"/>
    <x v="79"/>
    <x v="80"/>
    <x v="1"/>
    <d v="2025-09-08T14:02:55"/>
    <s v="Mon"/>
    <n v="2025"/>
    <x v="3"/>
    <x v="16"/>
    <d v="2025-09-08T14:02:55"/>
    <n v="38"/>
    <s v="km/h"/>
    <s v="00:00:00"/>
    <n v="0"/>
    <s v="Machakos"/>
    <s v="Machakos"/>
    <m/>
    <m/>
    <s v="-1.12019 , 37.37931"/>
    <s v="-1.12019 , 37.37931"/>
    <n v="0"/>
    <n v="1"/>
  </r>
  <r>
    <x v="3"/>
    <x v="45"/>
    <x v="150"/>
    <x v="3"/>
    <d v="2025-09-08T13:23:10"/>
    <s v="Mon"/>
    <n v="2025"/>
    <x v="3"/>
    <x v="16"/>
    <d v="2025-09-08T13:23:11"/>
    <n v="19"/>
    <s v="km/h/s"/>
    <s v="00:00:01"/>
    <n v="1.6666666666666666E-2"/>
    <s v="Kisumu"/>
    <m/>
    <m/>
    <m/>
    <s v="-0.13003 , 34.79451"/>
    <m/>
    <n v="0"/>
    <n v="1"/>
  </r>
  <r>
    <x v="2"/>
    <x v="128"/>
    <x v="146"/>
    <x v="2"/>
    <d v="2025-09-08T06:31:36"/>
    <s v="Mon"/>
    <n v="2025"/>
    <x v="3"/>
    <x v="16"/>
    <d v="2025-09-08T06:32:46"/>
    <n v="89"/>
    <s v="km/h/s"/>
    <s v="00:01:10"/>
    <n v="1.1666666666666667"/>
    <m/>
    <m/>
    <m/>
    <m/>
    <s v="-0.9319, 36.5346"/>
    <s v="-0.9435, 36.5443"/>
    <n v="2"/>
    <n v="1"/>
  </r>
  <r>
    <x v="2"/>
    <x v="131"/>
    <x v="151"/>
    <x v="2"/>
    <d v="2025-09-07T15:03:44"/>
    <s v="Sun"/>
    <n v="2025"/>
    <x v="3"/>
    <x v="16"/>
    <d v="2025-09-07T15:03:59"/>
    <n v="82"/>
    <s v="km/h/s"/>
    <s v="00:00:14"/>
    <n v="0.23333333333333334"/>
    <m/>
    <m/>
    <m/>
    <m/>
    <s v="-1.2581, 36.8487"/>
    <s v="-1.2579, 36.8527"/>
    <n v="0"/>
    <n v="1"/>
  </r>
  <r>
    <x v="0"/>
    <x v="65"/>
    <x v="68"/>
    <x v="1"/>
    <d v="2025-09-07T11:23:53"/>
    <s v="Sun"/>
    <n v="2025"/>
    <x v="3"/>
    <x v="16"/>
    <d v="2025-09-07T11:23:58"/>
    <n v="33"/>
    <s v="km/h"/>
    <s v="00:00:05"/>
    <n v="8.3333333333333329E-2"/>
    <s v="Nairobi"/>
    <s v="Nairobi"/>
    <m/>
    <m/>
    <s v="-1.29344 , 36.88572"/>
    <s v="-1.29283 , 36.88567"/>
    <n v="9.3799999999999994E-2"/>
    <n v="1"/>
  </r>
  <r>
    <x v="3"/>
    <x v="17"/>
    <x v="18"/>
    <x v="3"/>
    <d v="2025-09-06T21:36:13"/>
    <s v="Sat"/>
    <n v="2025"/>
    <x v="3"/>
    <x v="17"/>
    <d v="2025-09-06T21:36:14"/>
    <n v="29"/>
    <s v="km/h/s"/>
    <s v="00:00:01"/>
    <n v="1.6666666666666666E-2"/>
    <s v="Murang'a"/>
    <m/>
    <m/>
    <m/>
    <s v="-0.86841 , 37.23755"/>
    <m/>
    <n v="0"/>
    <n v="1"/>
  </r>
  <r>
    <x v="1"/>
    <x v="56"/>
    <x v="33"/>
    <x v="1"/>
    <d v="2025-09-06T05:37:45"/>
    <s v="Sat"/>
    <n v="2025"/>
    <x v="3"/>
    <x v="17"/>
    <d v="2025-09-06T05:39:00"/>
    <n v="38"/>
    <s v="km/h"/>
    <s v="00:01:15"/>
    <n v="1.25"/>
    <s v="Isiolo"/>
    <s v="Isiolo"/>
    <m/>
    <m/>
    <s v="0.36792 , 37.58783"/>
    <s v="0.37467 , 37.58911"/>
    <n v="0.8125"/>
    <n v="1"/>
  </r>
  <r>
    <x v="1"/>
    <x v="79"/>
    <x v="142"/>
    <x v="1"/>
    <d v="2025-09-05T20:21:34"/>
    <s v="Fri"/>
    <n v="2025"/>
    <x v="3"/>
    <x v="17"/>
    <d v="2025-09-05T20:21:40"/>
    <n v="40"/>
    <s v="km/h"/>
    <s v="00:00:06"/>
    <n v="0.1"/>
    <s v="Murang'a"/>
    <s v="Murang'a"/>
    <m/>
    <m/>
    <s v="-0.93475 , 37.14261"/>
    <s v="-0.93486 , 37.14206"/>
    <n v="9.3700000000000006E-2"/>
    <n v="1"/>
  </r>
  <r>
    <x v="1"/>
    <x v="79"/>
    <x v="142"/>
    <x v="1"/>
    <d v="2025-09-05T18:07:04"/>
    <s v="Fri"/>
    <n v="2025"/>
    <x v="3"/>
    <x v="17"/>
    <d v="2025-09-05T18:07:05"/>
    <n v="36"/>
    <s v="km/h"/>
    <s v="00:00:01"/>
    <n v="1.6666666666666666E-2"/>
    <s v="Kirinyaga"/>
    <s v="Kirinyaga"/>
    <m/>
    <m/>
    <s v="-0.66486 , 37.21333"/>
    <s v="-0.66486 , 37.21317"/>
    <n v="0"/>
    <n v="1"/>
  </r>
  <r>
    <x v="1"/>
    <x v="79"/>
    <x v="142"/>
    <x v="1"/>
    <d v="2025-09-05T18:01:34"/>
    <s v="Fri"/>
    <n v="2025"/>
    <x v="3"/>
    <x v="17"/>
    <d v="2025-09-05T18:01:47"/>
    <n v="40"/>
    <s v="km/h"/>
    <s v="00:00:13"/>
    <n v="0.21666666666666667"/>
    <s v="Kirinyaga"/>
    <s v="Kirinyaga"/>
    <m/>
    <m/>
    <s v="-0.64514 , 37.23131"/>
    <s v="-0.64583 , 37.23008"/>
    <n v="0.21870000000000001"/>
    <n v="1"/>
  </r>
  <r>
    <x v="1"/>
    <x v="79"/>
    <x v="142"/>
    <x v="1"/>
    <d v="2025-09-05T17:48:22"/>
    <s v="Fri"/>
    <n v="2025"/>
    <x v="3"/>
    <x v="17"/>
    <d v="2025-09-05T17:48:28"/>
    <n v="40"/>
    <s v="km/h"/>
    <s v="00:00:06"/>
    <n v="0.1"/>
    <s v="Kirinyaga"/>
    <s v="Kirinyaga"/>
    <m/>
    <m/>
    <s v="-0.59219 , 37.27589"/>
    <s v="-0.59269 , 37.27528"/>
    <n v="0.125"/>
    <n v="1"/>
  </r>
  <r>
    <x v="1"/>
    <x v="79"/>
    <x v="142"/>
    <x v="1"/>
    <d v="2025-09-05T17:28:13"/>
    <s v="Fri"/>
    <n v="2025"/>
    <x v="3"/>
    <x v="17"/>
    <d v="2025-09-05T17:28:20"/>
    <n v="40"/>
    <s v="km/h"/>
    <s v="00:00:07"/>
    <n v="0.11666666666666667"/>
    <s v="Kirinyaga"/>
    <s v="Kirinyaga"/>
    <m/>
    <m/>
    <s v="-0.52803 , 37.29994"/>
    <s v="-0.52861 , 37.30028"/>
    <n v="0.125"/>
    <n v="1"/>
  </r>
  <r>
    <x v="3"/>
    <x v="6"/>
    <x v="6"/>
    <x v="4"/>
    <d v="2025-09-05T14:00:50"/>
    <s v="Fri"/>
    <n v="2025"/>
    <x v="3"/>
    <x v="17"/>
    <d v="2025-09-05T14:00:51"/>
    <n v="11"/>
    <s v="km/h/s"/>
    <s v="00:00:01"/>
    <n v="1.6666666666666666E-2"/>
    <s v="Machakos"/>
    <m/>
    <s v="Acceler Bonded Warehouse UDV; Acceler Bonded Warehouse Beer"/>
    <m/>
    <s v="-1.38321 , 36.9371"/>
    <m/>
    <n v="0"/>
    <n v="1"/>
  </r>
  <r>
    <x v="1"/>
    <x v="56"/>
    <x v="33"/>
    <x v="1"/>
    <d v="2025-09-05T12:35:14"/>
    <s v="Fri"/>
    <n v="2025"/>
    <x v="3"/>
    <x v="17"/>
    <d v="2025-09-05T12:35:14"/>
    <n v="31"/>
    <s v="km/h"/>
    <s v="00:00:00"/>
    <n v="0"/>
    <s v="Nairobi"/>
    <s v="Nairobi"/>
    <s v="DHL-Kasarani"/>
    <s v="DHL-Kasarani"/>
    <s v="-1.22011 , 36.89072"/>
    <s v="-1.22011 , 36.89072"/>
    <n v="0"/>
    <n v="1"/>
  </r>
  <r>
    <x v="2"/>
    <x v="132"/>
    <x v="152"/>
    <x v="2"/>
    <d v="2025-09-05T10:36:15"/>
    <s v="Fri"/>
    <n v="2025"/>
    <x v="3"/>
    <x v="17"/>
    <d v="2025-09-05T10:37:16"/>
    <n v="91"/>
    <s v="km/h/s"/>
    <s v="00:01:00"/>
    <n v="1"/>
    <m/>
    <m/>
    <m/>
    <m/>
    <s v="-1.5801, 37.1568"/>
    <s v="-1.5922, 37.1627"/>
    <n v="2"/>
    <n v="1"/>
  </r>
  <r>
    <x v="3"/>
    <x v="39"/>
    <x v="149"/>
    <x v="2"/>
    <d v="2025-09-05T09:16:07"/>
    <s v="Fri"/>
    <n v="2025"/>
    <x v="3"/>
    <x v="17"/>
    <d v="2025-09-05T09:16:13"/>
    <n v="87"/>
    <s v="km/h"/>
    <s v="00:00:06"/>
    <n v="0.1"/>
    <s v="Narok"/>
    <s v="Narok"/>
    <m/>
    <m/>
    <s v="-1.10236 , 36.0238"/>
    <s v="-1.1024 , 36.02237"/>
    <n v="0.1875"/>
    <n v="1"/>
  </r>
  <r>
    <x v="1"/>
    <x v="66"/>
    <x v="55"/>
    <x v="1"/>
    <d v="2025-09-04T19:46:40"/>
    <s v="Thu"/>
    <n v="2025"/>
    <x v="3"/>
    <x v="17"/>
    <d v="2025-09-04T19:46:43"/>
    <n v="37"/>
    <s v="km/h"/>
    <s v="00:00:03"/>
    <n v="0.05"/>
    <s v="Nairobi"/>
    <s v="Nairobi"/>
    <m/>
    <m/>
    <s v="-1.32706 , 36.69203"/>
    <s v="-1.32661 , 36.69225"/>
    <n v="0"/>
    <n v="1"/>
  </r>
  <r>
    <x v="2"/>
    <x v="133"/>
    <x v="153"/>
    <x v="2"/>
    <d v="2025-09-04T17:00:28"/>
    <s v="Thu"/>
    <n v="2025"/>
    <x v="3"/>
    <x v="17"/>
    <d v="2025-09-04T17:01:02"/>
    <n v="94"/>
    <s v="km/h/s"/>
    <s v="00:00:33"/>
    <n v="0.55000000000000004"/>
    <m/>
    <m/>
    <m/>
    <m/>
    <s v="-1.3313, 36.8628"/>
    <s v="-1.3296, 36.8546"/>
    <n v="1"/>
    <n v="1"/>
  </r>
  <r>
    <x v="2"/>
    <x v="134"/>
    <x v="154"/>
    <x v="2"/>
    <d v="2025-09-04T12:15:54"/>
    <s v="Thu"/>
    <n v="2025"/>
    <x v="3"/>
    <x v="17"/>
    <d v="2025-09-04T12:16:52"/>
    <n v="102"/>
    <s v="km/h/s"/>
    <s v="00:00:57"/>
    <n v="0.95"/>
    <m/>
    <m/>
    <m/>
    <m/>
    <s v="-1.1942, 36.7289"/>
    <s v="-1.1944, 36.7427"/>
    <n v="2"/>
    <n v="1"/>
  </r>
  <r>
    <x v="2"/>
    <x v="134"/>
    <x v="154"/>
    <x v="2"/>
    <d v="2025-09-04T08:21:30"/>
    <s v="Thu"/>
    <n v="2025"/>
    <x v="3"/>
    <x v="17"/>
    <d v="2025-09-04T08:22:40"/>
    <n v="97"/>
    <s v="km/h/s"/>
    <s v="00:01:10"/>
    <n v="1.1666666666666667"/>
    <m/>
    <m/>
    <m/>
    <m/>
    <s v="-1.1414, 36.7902"/>
    <s v="-1.1366, 36.7757"/>
    <n v="2"/>
    <n v="1"/>
  </r>
  <r>
    <x v="2"/>
    <x v="134"/>
    <x v="154"/>
    <x v="2"/>
    <d v="2025-09-04T00:58:29"/>
    <s v="Thu"/>
    <n v="2025"/>
    <x v="3"/>
    <x v="17"/>
    <d v="2025-09-04T01:00:19"/>
    <n v="109"/>
    <s v="km/h/s"/>
    <s v="00:01:50"/>
    <n v="1.8333333333333335"/>
    <m/>
    <m/>
    <m/>
    <m/>
    <s v="-1.1157, 37.0112"/>
    <s v="-1.1295, 36.9905"/>
    <n v="3"/>
    <n v="1"/>
  </r>
  <r>
    <x v="0"/>
    <x v="135"/>
    <x v="155"/>
    <x v="1"/>
    <d v="2025-09-03T19:52:35"/>
    <s v="Wed"/>
    <n v="2025"/>
    <x v="3"/>
    <x v="17"/>
    <d v="2025-09-03T19:52:36"/>
    <n v="51"/>
    <s v="km/h"/>
    <s v="00:00:01"/>
    <n v="1.6666666666666666E-2"/>
    <s v="Nairobi"/>
    <s v="Nairobi"/>
    <s v="DHL-Kasarani"/>
    <s v="DHL-Kasarani"/>
    <s v="-1.22627 , 36.8844"/>
    <s v="-1.22643 , 36.88422"/>
    <n v="0"/>
    <n v="1"/>
  </r>
  <r>
    <x v="3"/>
    <x v="50"/>
    <x v="52"/>
    <x v="1"/>
    <d v="2025-09-03T13:04:15"/>
    <s v="Wed"/>
    <n v="2025"/>
    <x v="3"/>
    <x v="17"/>
    <d v="2025-09-03T13:04:16"/>
    <n v="32"/>
    <s v="km/h"/>
    <s v="00:00:01"/>
    <n v="1.6666666666666666E-2"/>
    <s v="Kajiado"/>
    <s v="Kajiado"/>
    <m/>
    <m/>
    <s v="-2.15892 , 37.59166"/>
    <s v="-2.15882 , 37.59152"/>
    <n v="0.125"/>
    <n v="1"/>
  </r>
  <r>
    <x v="3"/>
    <x v="50"/>
    <x v="52"/>
    <x v="1"/>
    <d v="2025-09-03T12:16:39"/>
    <s v="Wed"/>
    <n v="2025"/>
    <x v="3"/>
    <x v="17"/>
    <d v="2025-09-03T12:16:56"/>
    <n v="52"/>
    <s v="km/h"/>
    <s v="00:00:17"/>
    <n v="0.28333333333333333"/>
    <s v="Makueni"/>
    <s v="Makueni"/>
    <m/>
    <m/>
    <s v="-2.22694 , 37.75018"/>
    <s v="-2.22587 , 37.74786"/>
    <n v="0.3125"/>
    <n v="1"/>
  </r>
  <r>
    <x v="3"/>
    <x v="50"/>
    <x v="52"/>
    <x v="1"/>
    <d v="2025-09-01T07:54:14"/>
    <s v="Mon"/>
    <n v="2025"/>
    <x v="3"/>
    <x v="17"/>
    <d v="2025-09-01T07:54:36"/>
    <n v="47"/>
    <s v="km/h"/>
    <s v="00:00:22"/>
    <n v="0.36666666666666664"/>
    <s v="Kajiado"/>
    <s v="Kajiado"/>
    <m/>
    <m/>
    <s v="-2.05423 , 37.42477"/>
    <s v="-2.05598 , 37.42718"/>
    <n v="0.3125"/>
    <n v="1"/>
  </r>
  <r>
    <x v="0"/>
    <x v="113"/>
    <x v="123"/>
    <x v="2"/>
    <d v="2025-08-31T22:24:53"/>
    <s v="Sun"/>
    <n v="2025"/>
    <x v="4"/>
    <x v="17"/>
    <d v="2025-08-31T22:24:56"/>
    <n v="81"/>
    <s v="km/h"/>
    <s v="00:00:03"/>
    <n v="0.05"/>
    <s v="Machakos"/>
    <s v="Machakos"/>
    <m/>
    <m/>
    <s v="-1.51535 , 37.10595"/>
    <s v="-1.51493 , 37.10527"/>
    <n v="0.125"/>
    <n v="1"/>
  </r>
  <r>
    <x v="0"/>
    <x v="136"/>
    <x v="156"/>
    <x v="4"/>
    <d v="2025-08-31T10:42:22"/>
    <s v="Sun"/>
    <n v="2025"/>
    <x v="4"/>
    <x v="17"/>
    <d v="2025-08-31T10:42:23"/>
    <n v="11"/>
    <s v="km/h/s"/>
    <s v="00:00:01"/>
    <n v="1.6666666666666666E-2"/>
    <s v="Nairobi"/>
    <m/>
    <s v="Kenya Breweries Limited; Zone 5 - Glass Offloading; KBL FACTORY"/>
    <m/>
    <s v="-1.23672 , 36.87869"/>
    <m/>
    <n v="0"/>
    <n v="1"/>
  </r>
  <r>
    <x v="0"/>
    <x v="137"/>
    <x v="157"/>
    <x v="1"/>
    <d v="2025-08-30T18:19:15"/>
    <s v="Sat"/>
    <n v="2025"/>
    <x v="4"/>
    <x v="18"/>
    <d v="2025-08-30T18:19:20"/>
    <n v="75"/>
    <s v="km/h"/>
    <s v="00:00:05"/>
    <n v="8.3333333333333329E-2"/>
    <s v="Kirinyaga"/>
    <s v="Kirinyaga"/>
    <m/>
    <m/>
    <s v="-0.53204 , 37.34997"/>
    <s v="-0.53259 , 37.34904"/>
    <n v="0.21870000000000001"/>
    <n v="1"/>
  </r>
  <r>
    <x v="3"/>
    <x v="138"/>
    <x v="158"/>
    <x v="1"/>
    <d v="2025-08-30T08:19:00"/>
    <s v="Sat"/>
    <n v="2025"/>
    <x v="4"/>
    <x v="18"/>
    <d v="2025-08-30T08:19:01"/>
    <n v="63"/>
    <s v="km/h"/>
    <s v="00:00:01"/>
    <n v="1.6666666666666666E-2"/>
    <s v="Kitui"/>
    <s v="Kitui"/>
    <m/>
    <m/>
    <s v="-1.10392 , 37.6947"/>
    <s v="-1.10407 , 37.69496"/>
    <n v="0"/>
    <n v="1"/>
  </r>
  <r>
    <x v="1"/>
    <x v="63"/>
    <x v="139"/>
    <x v="1"/>
    <d v="2025-08-29T19:09:06"/>
    <s v="Fri"/>
    <n v="2025"/>
    <x v="4"/>
    <x v="18"/>
    <d v="2025-08-29T19:09:15"/>
    <n v="31"/>
    <s v="km/h"/>
    <s v="00:00:09"/>
    <n v="0.15"/>
    <s v="Makueni"/>
    <s v="Makueni"/>
    <m/>
    <m/>
    <s v="-1.89344 , 37.26878"/>
    <s v="-1.89269 , 37.26831"/>
    <n v="0.125"/>
    <n v="1"/>
  </r>
  <r>
    <x v="1"/>
    <x v="63"/>
    <x v="139"/>
    <x v="1"/>
    <d v="2025-08-29T19:08:37"/>
    <s v="Fri"/>
    <n v="2025"/>
    <x v="4"/>
    <x v="18"/>
    <d v="2025-08-29T19:08:45"/>
    <n v="31"/>
    <s v="km/h"/>
    <s v="00:00:08"/>
    <n v="0.13333333333333333"/>
    <s v="Makueni"/>
    <s v="Makueni"/>
    <m/>
    <m/>
    <s v="-1.89533 , 37.27"/>
    <s v="-1.89472 , 37.26961"/>
    <n v="0.125"/>
    <n v="1"/>
  </r>
  <r>
    <x v="0"/>
    <x v="33"/>
    <x v="34"/>
    <x v="4"/>
    <d v="2025-08-29T08:07:56"/>
    <s v="Fri"/>
    <n v="2025"/>
    <x v="4"/>
    <x v="18"/>
    <d v="2025-08-29T08:07:58"/>
    <n v="14"/>
    <s v="km/h/s"/>
    <s v="00:00:02"/>
    <n v="3.3333333333333333E-2"/>
    <s v="Machakos"/>
    <m/>
    <m/>
    <m/>
    <s v="-1.11486 , 37.37336"/>
    <m/>
    <n v="0"/>
    <n v="1"/>
  </r>
  <r>
    <x v="1"/>
    <x v="32"/>
    <x v="41"/>
    <x v="1"/>
    <d v="2025-08-27T11:21:12"/>
    <s v="Wed"/>
    <n v="2025"/>
    <x v="4"/>
    <x v="18"/>
    <d v="2025-08-27T11:21:13"/>
    <n v="41"/>
    <s v="km/h"/>
    <s v="00:00:01"/>
    <n v="1.6666666666666666E-2"/>
    <s v="Machakos"/>
    <s v="Machakos"/>
    <m/>
    <m/>
    <s v="-1.574 , 37.15386"/>
    <s v="-1.57419 , 37.15394"/>
    <n v="0"/>
    <n v="1"/>
  </r>
  <r>
    <x v="1"/>
    <x v="40"/>
    <x v="136"/>
    <x v="1"/>
    <d v="2025-08-26T17:23:28"/>
    <s v="Tue"/>
    <n v="2025"/>
    <x v="4"/>
    <x v="18"/>
    <d v="2025-08-26T17:23:31"/>
    <n v="39"/>
    <s v="km/h"/>
    <s v="00:00:03"/>
    <n v="0.05"/>
    <s v="Kiambu"/>
    <s v="Kiambu"/>
    <m/>
    <m/>
    <s v="-1.14008 , 36.96858"/>
    <s v="-1.13958 , 36.96892"/>
    <n v="0"/>
    <n v="1"/>
  </r>
  <r>
    <x v="0"/>
    <x v="29"/>
    <x v="31"/>
    <x v="2"/>
    <d v="2025-08-26T15:57:16"/>
    <s v="Tue"/>
    <n v="2025"/>
    <x v="4"/>
    <x v="18"/>
    <d v="2025-08-26T15:57:18"/>
    <n v="83"/>
    <s v="km/h"/>
    <s v="00:00:02"/>
    <n v="3.3333333333333333E-2"/>
    <s v="Murang'a"/>
    <s v="Kiambu"/>
    <m/>
    <m/>
    <s v="-1.02253 , 37.06825"/>
    <s v="-1.02298 , 37.06784"/>
    <n v="0.125"/>
    <n v="1"/>
  </r>
  <r>
    <x v="0"/>
    <x v="29"/>
    <x v="31"/>
    <x v="1"/>
    <d v="2025-08-26T12:54:13"/>
    <s v="Tue"/>
    <n v="2025"/>
    <x v="4"/>
    <x v="18"/>
    <d v="2025-08-26T12:54:29"/>
    <n v="74"/>
    <s v="km/h"/>
    <s v="00:00:16"/>
    <n v="0.26666666666666666"/>
    <s v="Kirinyaga"/>
    <s v="Kirinyaga"/>
    <m/>
    <m/>
    <s v="-0.51399 , 37.35371"/>
    <s v="-0.517 , 37.35326"/>
    <n v="0.3125"/>
    <n v="1"/>
  </r>
  <r>
    <x v="2"/>
    <x v="23"/>
    <x v="24"/>
    <x v="2"/>
    <d v="2025-08-25T20:50:53"/>
    <s v="Mon"/>
    <n v="2025"/>
    <x v="4"/>
    <x v="18"/>
    <d v="2025-08-25T20:52:12"/>
    <n v="89"/>
    <s v="km/h"/>
    <s v="00:01:19"/>
    <n v="1.3166666666666667"/>
    <m/>
    <m/>
    <m/>
    <m/>
    <s v="-1.5040, 37.0879"/>
    <s v="-1.4967, 37.0724"/>
    <n v="2"/>
    <n v="1"/>
  </r>
  <r>
    <x v="3"/>
    <x v="138"/>
    <x v="158"/>
    <x v="1"/>
    <d v="2025-08-25T20:42:21"/>
    <s v="Mon"/>
    <n v="2025"/>
    <x v="4"/>
    <x v="18"/>
    <d v="2025-08-25T20:42:22"/>
    <n v="33"/>
    <s v="km/h"/>
    <s v="00:00:01"/>
    <n v="1.6666666666666666E-2"/>
    <s v="Kiambu"/>
    <s v="Kiambu"/>
    <m/>
    <m/>
    <s v="-1.15368 , 36.67032"/>
    <s v="-1.15376 , 36.67044"/>
    <n v="0"/>
    <n v="1"/>
  </r>
  <r>
    <x v="0"/>
    <x v="135"/>
    <x v="155"/>
    <x v="3"/>
    <d v="2025-08-25T11:59:05"/>
    <s v="Mon"/>
    <n v="2025"/>
    <x v="4"/>
    <x v="18"/>
    <d v="2025-08-25T11:59:06"/>
    <n v="20"/>
    <s v="km/h/s"/>
    <s v="00:00:01"/>
    <n v="1.6666666666666666E-2"/>
    <s v="Nairobi"/>
    <m/>
    <m/>
    <m/>
    <s v="-1.29686 , 36.88663"/>
    <m/>
    <n v="0"/>
    <n v="1"/>
  </r>
  <r>
    <x v="3"/>
    <x v="138"/>
    <x v="158"/>
    <x v="1"/>
    <d v="2025-08-25T10:34:09"/>
    <s v="Mon"/>
    <n v="2025"/>
    <x v="4"/>
    <x v="18"/>
    <d v="2025-08-25T10:34:12"/>
    <n v="36"/>
    <s v="km/h"/>
    <s v="00:00:03"/>
    <n v="0.05"/>
    <s v="Narok"/>
    <s v="Narok"/>
    <m/>
    <m/>
    <s v="-1.09249 , 35.89066"/>
    <s v="-1.09241 , 35.89039"/>
    <n v="0"/>
    <n v="1"/>
  </r>
  <r>
    <x v="3"/>
    <x v="138"/>
    <x v="158"/>
    <x v="1"/>
    <d v="2025-08-25T10:33:43"/>
    <s v="Mon"/>
    <n v="2025"/>
    <x v="4"/>
    <x v="18"/>
    <d v="2025-08-25T10:33:50"/>
    <n v="36"/>
    <s v="km/h"/>
    <s v="00:00:07"/>
    <n v="0.11666666666666667"/>
    <s v="Narok"/>
    <s v="Narok"/>
    <m/>
    <m/>
    <s v="-1.09303 , 35.89279"/>
    <s v="-1.09287 , 35.89215"/>
    <n v="9.3700000000000006E-2"/>
    <n v="1"/>
  </r>
  <r>
    <x v="1"/>
    <x v="10"/>
    <x v="33"/>
    <x v="2"/>
    <d v="2025-08-23T23:23:40"/>
    <s v="Sat"/>
    <n v="2025"/>
    <x v="4"/>
    <x v="19"/>
    <d v="2025-08-23T23:23:48"/>
    <n v="85"/>
    <s v="km/h"/>
    <s v="00:00:08"/>
    <n v="0.13333333333333333"/>
    <s v="Murang'a"/>
    <s v="Murang'a"/>
    <m/>
    <m/>
    <s v="-0.94467 , 37.12136"/>
    <s v="-0.94594 , 37.11997"/>
    <n v="0.1875"/>
    <n v="1"/>
  </r>
  <r>
    <x v="1"/>
    <x v="10"/>
    <x v="33"/>
    <x v="2"/>
    <d v="2025-08-23T22:44:47"/>
    <s v="Sat"/>
    <n v="2025"/>
    <x v="4"/>
    <x v="19"/>
    <d v="2025-08-23T22:44:48"/>
    <n v="81"/>
    <s v="km/h"/>
    <s v="00:00:01"/>
    <n v="1.6666666666666666E-2"/>
    <s v="Kirinyaga"/>
    <s v="Kirinyaga"/>
    <m/>
    <m/>
    <s v="-0.75561 , 37.29453"/>
    <s v="-0.75569 , 37.29392"/>
    <n v="0"/>
    <n v="1"/>
  </r>
  <r>
    <x v="1"/>
    <x v="98"/>
    <x v="142"/>
    <x v="1"/>
    <d v="2025-08-22T16:20:11"/>
    <s v="Fri"/>
    <n v="2025"/>
    <x v="4"/>
    <x v="19"/>
    <d v="2025-08-22T16:20:12"/>
    <n v="31"/>
    <s v="km/h"/>
    <s v="00:00:01"/>
    <n v="1.6666666666666666E-2"/>
    <s v="Embu"/>
    <s v="Embu"/>
    <m/>
    <m/>
    <s v="-0.47731 , 37.46442"/>
    <s v="-0.47742 , 37.46442"/>
    <n v="0"/>
    <n v="1"/>
  </r>
  <r>
    <x v="1"/>
    <x v="98"/>
    <x v="142"/>
    <x v="1"/>
    <d v="2025-08-22T15:41:49"/>
    <s v="Fri"/>
    <n v="2025"/>
    <x v="4"/>
    <x v="19"/>
    <d v="2025-08-22T15:41:50"/>
    <n v="37"/>
    <s v="km/h"/>
    <s v="00:00:01"/>
    <n v="1.6666666666666666E-2"/>
    <s v="Embu"/>
    <s v="Embu"/>
    <m/>
    <m/>
    <s v="-0.47183 , 37.64472"/>
    <s v="-0.47206 , 37.64447"/>
    <n v="0"/>
    <n v="1"/>
  </r>
  <r>
    <x v="1"/>
    <x v="12"/>
    <x v="33"/>
    <x v="2"/>
    <d v="2025-08-22T11:37:13"/>
    <s v="Fri"/>
    <n v="2025"/>
    <x v="4"/>
    <x v="19"/>
    <d v="2025-08-22T11:37:16"/>
    <n v="83"/>
    <s v="km/h"/>
    <s v="00:00:03"/>
    <n v="0.05"/>
    <s v="Machakos"/>
    <s v="Machakos"/>
    <m/>
    <m/>
    <s v="-0.84472 , 37.23239"/>
    <s v="-0.84383 , 37.23228"/>
    <n v="0.1016"/>
    <n v="1"/>
  </r>
  <r>
    <x v="2"/>
    <x v="139"/>
    <x v="159"/>
    <x v="2"/>
    <d v="2025-08-22T10:42:49"/>
    <s v="Fri"/>
    <n v="2025"/>
    <x v="4"/>
    <x v="19"/>
    <d v="2025-08-22T10:43:14"/>
    <n v="83"/>
    <s v="km/h"/>
    <s v="00:00:24"/>
    <n v="0.4"/>
    <m/>
    <m/>
    <m/>
    <m/>
    <s v="-1.4152, 36.9514"/>
    <s v="-1.4205, 36.9543"/>
    <n v="1"/>
    <n v="1"/>
  </r>
  <r>
    <x v="0"/>
    <x v="111"/>
    <x v="121"/>
    <x v="3"/>
    <d v="2025-08-22T10:12:29"/>
    <s v="Fri"/>
    <n v="2025"/>
    <x v="4"/>
    <x v="19"/>
    <d v="2025-08-22T10:12:30"/>
    <n v="24"/>
    <s v="km/h/s"/>
    <s v="00:00:01"/>
    <n v="1.6666666666666666E-2"/>
    <s v="Murang'a"/>
    <m/>
    <m/>
    <m/>
    <s v="-0.75927 , 37.04497"/>
    <m/>
    <n v="0"/>
    <n v="1"/>
  </r>
  <r>
    <x v="2"/>
    <x v="140"/>
    <x v="160"/>
    <x v="2"/>
    <d v="2025-08-22T07:03:13"/>
    <s v="Fri"/>
    <n v="2025"/>
    <x v="4"/>
    <x v="19"/>
    <d v="2025-08-22T07:04:43"/>
    <n v="96"/>
    <s v="km/h"/>
    <s v="00:01:29"/>
    <n v="1.4833333333333334"/>
    <m/>
    <m/>
    <m/>
    <m/>
    <s v="-0.9594, 36.5583"/>
    <s v="-0.9724, 36.5733"/>
    <n v="2"/>
    <n v="1"/>
  </r>
  <r>
    <x v="2"/>
    <x v="3"/>
    <x v="3"/>
    <x v="2"/>
    <d v="2025-08-21T17:04:10"/>
    <s v="Thu"/>
    <n v="2025"/>
    <x v="4"/>
    <x v="19"/>
    <d v="2025-08-21T17:05:40"/>
    <n v="109"/>
    <s v="km/h"/>
    <s v="00:01:29"/>
    <n v="1.4833333333333334"/>
    <m/>
    <m/>
    <m/>
    <m/>
    <s v="-0.2395, 35.9167"/>
    <s v="-0.2298, 35.8970"/>
    <n v="2"/>
    <n v="1"/>
  </r>
  <r>
    <x v="2"/>
    <x v="9"/>
    <x v="9"/>
    <x v="2"/>
    <d v="2025-08-21T15:16:58"/>
    <s v="Thu"/>
    <n v="2025"/>
    <x v="4"/>
    <x v="19"/>
    <d v="2025-08-21T15:17:19"/>
    <n v="85"/>
    <s v="km/h"/>
    <s v="00:00:20"/>
    <n v="0.33333333333333331"/>
    <m/>
    <m/>
    <m/>
    <m/>
    <s v="-1.0586, 37.0552"/>
    <s v="-1.0634, 37.0535"/>
    <n v="1"/>
    <n v="1"/>
  </r>
  <r>
    <x v="0"/>
    <x v="29"/>
    <x v="31"/>
    <x v="2"/>
    <d v="2025-08-21T14:48:25"/>
    <s v="Thu"/>
    <n v="2025"/>
    <x v="4"/>
    <x v="19"/>
    <d v="2025-08-21T14:48:26"/>
    <n v="82"/>
    <s v="km/h"/>
    <s v="00:00:01"/>
    <n v="1.6666666666666666E-2"/>
    <s v="Kirinyaga"/>
    <s v="Kirinyaga"/>
    <m/>
    <m/>
    <s v="-0.51992 , 37.17432"/>
    <s v="-0.52007 , 37.17446"/>
    <n v="0"/>
    <n v="1"/>
  </r>
  <r>
    <x v="2"/>
    <x v="4"/>
    <x v="4"/>
    <x v="2"/>
    <d v="2025-08-21T12:55:10"/>
    <s v="Thu"/>
    <n v="2025"/>
    <x v="4"/>
    <x v="19"/>
    <d v="2025-08-21T12:56:09"/>
    <n v="99"/>
    <s v="km/h"/>
    <s v="00:00:59"/>
    <n v="0.98333333333333328"/>
    <m/>
    <m/>
    <m/>
    <m/>
    <s v="-1.5241, 37.1193"/>
    <s v="-1.5169, 37.1079"/>
    <n v="2"/>
    <n v="1"/>
  </r>
  <r>
    <x v="2"/>
    <x v="141"/>
    <x v="161"/>
    <x v="2"/>
    <d v="2025-08-21T12:45:07"/>
    <s v="Thu"/>
    <n v="2025"/>
    <x v="4"/>
    <x v="19"/>
    <d v="2025-08-21T12:45:52"/>
    <n v="88"/>
    <s v="km/h"/>
    <s v="00:00:45"/>
    <n v="0.75"/>
    <m/>
    <m/>
    <m/>
    <m/>
    <s v="-1.0275, 35.6996"/>
    <s v="-1.0261, 35.6892"/>
    <n v="1"/>
    <n v="1"/>
  </r>
  <r>
    <x v="3"/>
    <x v="69"/>
    <x v="71"/>
    <x v="1"/>
    <d v="2025-08-21T06:25:20"/>
    <s v="Thu"/>
    <n v="2025"/>
    <x v="4"/>
    <x v="19"/>
    <d v="2025-08-21T06:26:14"/>
    <n v="46"/>
    <s v="km/h"/>
    <s v="00:00:54"/>
    <n v="0.9"/>
    <s v="Kiambu"/>
    <s v="Kiambu"/>
    <m/>
    <m/>
    <s v="-1.0415 , 36.60323"/>
    <s v="-1.03683 , 36.60126"/>
    <n v="0.59379999999999999"/>
    <n v="1"/>
  </r>
  <r>
    <x v="1"/>
    <x v="32"/>
    <x v="80"/>
    <x v="1"/>
    <d v="2025-08-20T18:32:09"/>
    <s v="Wed"/>
    <n v="2025"/>
    <x v="4"/>
    <x v="19"/>
    <d v="2025-08-20T18:33:00"/>
    <n v="64"/>
    <s v="km/h"/>
    <s v="00:00:51"/>
    <n v="0.85"/>
    <s v="Kiambu"/>
    <s v="Kiambu"/>
    <s v="juja"/>
    <m/>
    <s v="-1.09131 , 37.03344"/>
    <s v="-1.08614 , 37.03828"/>
    <n v="0.6875"/>
    <n v="1"/>
  </r>
  <r>
    <x v="3"/>
    <x v="45"/>
    <x v="46"/>
    <x v="3"/>
    <d v="2025-08-20T09:42:15"/>
    <s v="Wed"/>
    <n v="2025"/>
    <x v="4"/>
    <x v="19"/>
    <d v="2025-08-20T09:42:16"/>
    <n v="16"/>
    <s v="km/h/s"/>
    <s v="00:00:01"/>
    <n v="1.6666666666666666E-2"/>
    <s v="Nairobi"/>
    <m/>
    <m/>
    <m/>
    <s v="-1.20682 , 36.79338"/>
    <m/>
    <n v="0"/>
    <n v="1"/>
  </r>
  <r>
    <x v="3"/>
    <x v="138"/>
    <x v="158"/>
    <x v="1"/>
    <d v="2025-08-20T06:15:50"/>
    <s v="Wed"/>
    <n v="2025"/>
    <x v="4"/>
    <x v="19"/>
    <d v="2025-08-20T06:16:12"/>
    <n v="52"/>
    <s v="km/h"/>
    <s v="00:00:22"/>
    <n v="0.36666666666666664"/>
    <s v="Kiambu"/>
    <s v="Kiambu"/>
    <m/>
    <m/>
    <s v="-0.993 , 36.59751"/>
    <s v="-0.99133 , 36.59589"/>
    <n v="0.3125"/>
    <n v="1"/>
  </r>
  <r>
    <x v="3"/>
    <x v="50"/>
    <x v="52"/>
    <x v="1"/>
    <d v="2025-08-19T21:07:49"/>
    <s v="Tue"/>
    <n v="2025"/>
    <x v="4"/>
    <x v="19"/>
    <d v="2025-08-19T21:07:50"/>
    <n v="32"/>
    <s v="km/h"/>
    <s v="00:00:01"/>
    <n v="1.6666666666666666E-2"/>
    <s v="Nakuru"/>
    <s v="Nakuru"/>
    <m/>
    <m/>
    <s v="-0.48229 , 36.3007"/>
    <s v="-0.48244 , 36.30081"/>
    <n v="0"/>
    <n v="1"/>
  </r>
  <r>
    <x v="1"/>
    <x v="98"/>
    <x v="97"/>
    <x v="1"/>
    <d v="2025-08-19T19:30:01"/>
    <s v="Tue"/>
    <n v="2025"/>
    <x v="4"/>
    <x v="19"/>
    <d v="2025-08-19T19:30:03"/>
    <n v="37"/>
    <s v="km/h"/>
    <s v="00:00:02"/>
    <n v="3.3333333333333333E-2"/>
    <s v="Kilifi"/>
    <s v="Kilifi"/>
    <m/>
    <m/>
    <s v="-3.79317 , 39.39286"/>
    <s v="-3.79317 , 39.39253"/>
    <n v="0"/>
    <n v="1"/>
  </r>
  <r>
    <x v="3"/>
    <x v="69"/>
    <x v="71"/>
    <x v="1"/>
    <d v="2025-08-19T18:39:39"/>
    <s v="Tue"/>
    <n v="2025"/>
    <x v="4"/>
    <x v="19"/>
    <d v="2025-08-19T18:40:09"/>
    <n v="67"/>
    <s v="km/h"/>
    <s v="00:00:30"/>
    <n v="0.5"/>
    <s v="Nakuru"/>
    <s v="Nakuru"/>
    <m/>
    <m/>
    <s v="-0.15878 , 35.6847"/>
    <s v="-0.1595 , 35.68944"/>
    <n v="0.5"/>
    <n v="1"/>
  </r>
  <r>
    <x v="3"/>
    <x v="50"/>
    <x v="52"/>
    <x v="1"/>
    <d v="2025-08-19T16:36:59"/>
    <s v="Tue"/>
    <n v="2025"/>
    <x v="4"/>
    <x v="19"/>
    <d v="2025-08-19T16:37:00"/>
    <n v="33"/>
    <s v="km/h"/>
    <s v="00:00:01"/>
    <n v="1.6666666666666666E-2"/>
    <s v="Kericho"/>
    <s v="Kericho"/>
    <m/>
    <m/>
    <s v="-0.17423 , 35.18472"/>
    <s v="-0.17405 , 35.18477"/>
    <n v="0"/>
    <n v="1"/>
  </r>
  <r>
    <x v="1"/>
    <x v="53"/>
    <x v="56"/>
    <x v="4"/>
    <d v="2025-08-19T11:13:24"/>
    <s v="Tue"/>
    <n v="2025"/>
    <x v="4"/>
    <x v="19"/>
    <d v="2025-08-19T11:13:24"/>
    <n v="11"/>
    <s v="km/h/s"/>
    <s v="00:00:00"/>
    <n v="0"/>
    <s v="Murang'a"/>
    <s v="Murang'a"/>
    <m/>
    <m/>
    <s v="-0.96283 , 37.10258"/>
    <s v="-0.96283 , 37.10258"/>
    <n v="0"/>
    <n v="1"/>
  </r>
  <r>
    <x v="2"/>
    <x v="124"/>
    <x v="141"/>
    <x v="2"/>
    <d v="2025-08-19T08:52:21"/>
    <s v="Tue"/>
    <n v="2025"/>
    <x v="4"/>
    <x v="19"/>
    <d v="2025-08-19T08:54:00"/>
    <n v="92"/>
    <s v="km/h"/>
    <s v="00:01:39"/>
    <n v="1.65"/>
    <m/>
    <m/>
    <m/>
    <m/>
    <s v="-0.3046, 35.1903"/>
    <s v="-0.3082, 35.1696"/>
    <n v="2"/>
    <n v="1"/>
  </r>
  <r>
    <x v="1"/>
    <x v="10"/>
    <x v="142"/>
    <x v="1"/>
    <d v="2025-08-18T19:01:54"/>
    <s v="Mon"/>
    <n v="2025"/>
    <x v="4"/>
    <x v="19"/>
    <d v="2025-08-18T19:01:58"/>
    <n v="40"/>
    <s v="km/h"/>
    <s v="00:00:04"/>
    <n v="6.6666666666666666E-2"/>
    <s v="Murang'a"/>
    <s v="Murang'a"/>
    <m/>
    <m/>
    <s v="-0.93656 , 37.13339"/>
    <s v="-0.93647 , 37.13389"/>
    <n v="0"/>
    <n v="1"/>
  </r>
  <r>
    <x v="2"/>
    <x v="124"/>
    <x v="141"/>
    <x v="2"/>
    <d v="2025-08-18T18:46:15"/>
    <s v="Mon"/>
    <n v="2025"/>
    <x v="4"/>
    <x v="19"/>
    <d v="2025-08-18T18:47:35"/>
    <n v="97"/>
    <s v="km/h"/>
    <s v="00:01:19"/>
    <n v="1.3166666666666667"/>
    <m/>
    <m/>
    <m/>
    <m/>
    <s v="-0.2404, 35.9185"/>
    <s v="-0.2324, 35.9024"/>
    <n v="2"/>
    <n v="1"/>
  </r>
  <r>
    <x v="1"/>
    <x v="7"/>
    <x v="66"/>
    <x v="1"/>
    <d v="2025-08-18T17:06:01"/>
    <s v="Mon"/>
    <n v="2025"/>
    <x v="4"/>
    <x v="19"/>
    <d v="2025-08-18T17:06:08"/>
    <n v="37"/>
    <s v="km/h"/>
    <s v="00:00:07"/>
    <n v="0.11666666666666667"/>
    <s v="Nairobi"/>
    <s v="Nairobi"/>
    <m/>
    <m/>
    <s v="-1.29297 , 36.84558"/>
    <s v="-1.29278 , 36.84469"/>
    <n v="0.1094"/>
    <n v="1"/>
  </r>
  <r>
    <x v="2"/>
    <x v="140"/>
    <x v="160"/>
    <x v="2"/>
    <d v="2025-08-18T16:52:41"/>
    <s v="Mon"/>
    <n v="2025"/>
    <x v="4"/>
    <x v="19"/>
    <d v="2025-08-18T16:53:41"/>
    <n v="100"/>
    <s v="km/h"/>
    <s v="00:00:59"/>
    <n v="0.98333333333333328"/>
    <m/>
    <m/>
    <m/>
    <m/>
    <s v="-0.4899, 36.3047"/>
    <s v="-0.4792, 36.2971"/>
    <n v="2"/>
    <n v="1"/>
  </r>
  <r>
    <x v="1"/>
    <x v="142"/>
    <x v="162"/>
    <x v="1"/>
    <d v="2025-08-18T14:02:43"/>
    <s v="Mon"/>
    <n v="2025"/>
    <x v="4"/>
    <x v="19"/>
    <d v="2025-08-18T14:02:45"/>
    <n v="35"/>
    <s v="km/h"/>
    <s v="00:00:02"/>
    <n v="3.3333333333333333E-2"/>
    <s v="Taita-Taveta"/>
    <s v="Taita-Taveta"/>
    <m/>
    <m/>
    <s v="-3.41114 , 38.59406"/>
    <s v="-3.41097 , 38.59383"/>
    <n v="0"/>
    <n v="1"/>
  </r>
  <r>
    <x v="2"/>
    <x v="143"/>
    <x v="163"/>
    <x v="2"/>
    <d v="2025-08-18T13:34:01"/>
    <s v="Mon"/>
    <n v="2025"/>
    <x v="4"/>
    <x v="19"/>
    <d v="2025-08-18T13:34:37"/>
    <n v="89"/>
    <s v="km/h"/>
    <s v="00:00:35"/>
    <n v="0.58333333333333337"/>
    <m/>
    <m/>
    <m/>
    <m/>
    <s v="-1.0822, 37.0420"/>
    <s v="-1.0887, 37.0361"/>
    <n v="1"/>
    <n v="1"/>
  </r>
  <r>
    <x v="2"/>
    <x v="139"/>
    <x v="159"/>
    <x v="2"/>
    <d v="2025-08-18T09:35:25"/>
    <s v="Mon"/>
    <n v="2025"/>
    <x v="4"/>
    <x v="19"/>
    <d v="2025-08-18T09:36:25"/>
    <n v="89"/>
    <s v="km/h"/>
    <s v="00:00:59"/>
    <n v="0.98333333333333328"/>
    <m/>
    <m/>
    <m/>
    <m/>
    <s v="-1.5797, 37.1566"/>
    <s v="-1.5915, 37.1624"/>
    <n v="2"/>
    <n v="1"/>
  </r>
  <r>
    <x v="0"/>
    <x v="44"/>
    <x v="45"/>
    <x v="1"/>
    <d v="2025-08-17T18:29:55"/>
    <s v="Sun"/>
    <n v="2025"/>
    <x v="4"/>
    <x v="19"/>
    <d v="2025-08-17T18:30:08"/>
    <n v="50"/>
    <s v="km/h"/>
    <s v="00:00:13"/>
    <n v="0.21666666666666667"/>
    <s v="Kirinyaga"/>
    <s v="Kirinyaga"/>
    <m/>
    <m/>
    <s v="-0.7136 , 37.26043"/>
    <s v="-0.71504 , 37.26129"/>
    <n v="0.1875"/>
    <n v="1"/>
  </r>
  <r>
    <x v="1"/>
    <x v="12"/>
    <x v="12"/>
    <x v="1"/>
    <d v="2025-08-17T17:02:51"/>
    <s v="Sun"/>
    <n v="2025"/>
    <x v="4"/>
    <x v="19"/>
    <d v="2025-08-17T17:03:00"/>
    <n v="38"/>
    <s v="km/h"/>
    <s v="00:00:09"/>
    <n v="0.15"/>
    <s v="Makueni"/>
    <s v="Makueni"/>
    <m/>
    <m/>
    <s v="-2.67175 , 38.13261"/>
    <s v="-2.67203 , 38.13369"/>
    <n v="0.1016"/>
    <n v="1"/>
  </r>
  <r>
    <x v="2"/>
    <x v="124"/>
    <x v="141"/>
    <x v="2"/>
    <d v="2025-08-17T16:35:26"/>
    <s v="Sun"/>
    <n v="2025"/>
    <x v="4"/>
    <x v="19"/>
    <d v="2025-08-17T16:37:58"/>
    <n v="95"/>
    <s v="km/h"/>
    <s v="00:02:32"/>
    <n v="2.5333333333333332"/>
    <m/>
    <m/>
    <m/>
    <m/>
    <s v="-0.8231, 36.4698"/>
    <s v="-0.7918, 36.4600"/>
    <n v="4"/>
    <n v="1"/>
  </r>
  <r>
    <x v="1"/>
    <x v="31"/>
    <x v="131"/>
    <x v="1"/>
    <d v="2025-08-17T13:22:05"/>
    <s v="Sun"/>
    <n v="2025"/>
    <x v="4"/>
    <x v="19"/>
    <d v="2025-08-17T13:22:16"/>
    <n v="32"/>
    <s v="km/h"/>
    <s v="00:00:11"/>
    <n v="0.18333333333333332"/>
    <s v="Kajiado"/>
    <s v="Kajiado"/>
    <m/>
    <m/>
    <s v="-2.07797 , 37.46428"/>
    <s v="-2.07819 , 37.4655"/>
    <n v="0.1016"/>
    <n v="1"/>
  </r>
  <r>
    <x v="0"/>
    <x v="144"/>
    <x v="164"/>
    <x v="3"/>
    <d v="2025-08-17T12:56:40"/>
    <s v="Sun"/>
    <n v="2025"/>
    <x v="4"/>
    <x v="19"/>
    <d v="2025-08-17T12:56:41"/>
    <n v="28"/>
    <s v="km/h/s"/>
    <s v="00:00:01"/>
    <n v="1.6666666666666666E-2"/>
    <s v="Kiambu"/>
    <m/>
    <m/>
    <m/>
    <s v="-1.07898 , 37.04424"/>
    <m/>
    <n v="0"/>
    <n v="1"/>
  </r>
  <r>
    <x v="2"/>
    <x v="145"/>
    <x v="165"/>
    <x v="2"/>
    <d v="2025-08-17T12:12:43"/>
    <s v="Sun"/>
    <n v="2025"/>
    <x v="4"/>
    <x v="19"/>
    <d v="2025-08-17T12:14:43"/>
    <n v="94"/>
    <s v="km/h"/>
    <s v="00:01:59"/>
    <n v="1.9833333333333334"/>
    <m/>
    <m/>
    <m/>
    <m/>
    <s v="-0.9292, 37.1740"/>
    <s v="-0.9188, 37.1969"/>
    <n v="3"/>
    <n v="1"/>
  </r>
  <r>
    <x v="2"/>
    <x v="90"/>
    <x v="93"/>
    <x v="2"/>
    <d v="2025-08-17T10:12:12"/>
    <s v="Sun"/>
    <n v="2025"/>
    <x v="4"/>
    <x v="19"/>
    <d v="2025-08-17T10:12:41"/>
    <n v="102"/>
    <s v="km/h"/>
    <s v="00:00:29"/>
    <n v="0.48333333333333334"/>
    <m/>
    <m/>
    <m/>
    <m/>
    <s v="-0.2956, 35.1643"/>
    <s v="-0.2887, 35.1633"/>
    <n v="1"/>
    <n v="1"/>
  </r>
  <r>
    <x v="2"/>
    <x v="146"/>
    <x v="166"/>
    <x v="2"/>
    <d v="2025-08-17T08:29:08"/>
    <s v="Sun"/>
    <n v="2025"/>
    <x v="4"/>
    <x v="19"/>
    <d v="2025-08-17T08:29:55"/>
    <n v="89"/>
    <s v="km/h"/>
    <s v="00:00:46"/>
    <n v="0.76666666666666672"/>
    <m/>
    <m/>
    <m/>
    <m/>
    <s v="-1.1735, 37.4460"/>
    <s v="-1.1648, 37.4519"/>
    <n v="1"/>
    <n v="1"/>
  </r>
  <r>
    <x v="3"/>
    <x v="54"/>
    <x v="57"/>
    <x v="1"/>
    <d v="2025-08-17T06:12:38"/>
    <s v="Sun"/>
    <n v="2025"/>
    <x v="4"/>
    <x v="19"/>
    <d v="2025-08-17T06:12:39"/>
    <n v="33"/>
    <s v="km/h"/>
    <s v="00:00:01"/>
    <n v="1.6666666666666666E-2"/>
    <s v="Nairobi"/>
    <s v="Nairobi"/>
    <m/>
    <m/>
    <s v="-1.26512 , 36.80243"/>
    <s v="-1.26523 , 36.80254"/>
    <n v="0"/>
    <n v="1"/>
  </r>
  <r>
    <x v="2"/>
    <x v="85"/>
    <x v="87"/>
    <x v="2"/>
    <d v="2025-08-17T00:40:37"/>
    <s v="Sun"/>
    <n v="2025"/>
    <x v="4"/>
    <x v="19"/>
    <d v="2025-08-17T00:43:41"/>
    <n v="108"/>
    <s v="km/h"/>
    <s v="00:03:03"/>
    <n v="3.05"/>
    <m/>
    <m/>
    <m/>
    <m/>
    <s v="-1.2284, 36.8811"/>
    <s v="-1.2051, 36.9156"/>
    <n v="5"/>
    <n v="1"/>
  </r>
  <r>
    <x v="2"/>
    <x v="147"/>
    <x v="167"/>
    <x v="2"/>
    <d v="2025-08-16T17:19:47"/>
    <s v="Sat"/>
    <n v="2025"/>
    <x v="4"/>
    <x v="20"/>
    <d v="2025-08-16T17:21:51"/>
    <n v="94"/>
    <s v="km/h"/>
    <s v="00:02:04"/>
    <n v="2.0666666666666669"/>
    <m/>
    <m/>
    <m/>
    <m/>
    <s v="-1.7832, 38.1433"/>
    <s v="-1.7723, 38.1175"/>
    <n v="3"/>
    <n v="1"/>
  </r>
  <r>
    <x v="2"/>
    <x v="148"/>
    <x v="168"/>
    <x v="2"/>
    <d v="2025-08-16T15:27:02"/>
    <s v="Sat"/>
    <n v="2025"/>
    <x v="4"/>
    <x v="20"/>
    <d v="2025-08-16T15:27:53"/>
    <n v="95"/>
    <s v="km/h"/>
    <s v="00:00:50"/>
    <n v="0.83333333333333337"/>
    <m/>
    <m/>
    <m/>
    <m/>
    <s v="-1.0811, 37.0428"/>
    <s v="-1.0896, 37.0353"/>
    <n v="1"/>
    <n v="1"/>
  </r>
  <r>
    <x v="1"/>
    <x v="66"/>
    <x v="55"/>
    <x v="2"/>
    <d v="2025-08-16T15:14:49"/>
    <s v="Sat"/>
    <n v="2025"/>
    <x v="4"/>
    <x v="20"/>
    <d v="2025-08-16T15:14:50"/>
    <n v="81"/>
    <s v="km/h"/>
    <s v="00:00:01"/>
    <n v="1.6666666666666666E-2"/>
    <s v="Makueni"/>
    <s v="Makueni"/>
    <m/>
    <m/>
    <s v="-2.47658 , 37.99247"/>
    <s v="-2.47603 , 37.99217"/>
    <n v="0"/>
    <n v="1"/>
  </r>
  <r>
    <x v="1"/>
    <x v="149"/>
    <x v="169"/>
    <x v="1"/>
    <d v="2025-08-16T12:50:02"/>
    <s v="Sat"/>
    <n v="2025"/>
    <x v="4"/>
    <x v="20"/>
    <d v="2025-08-16T12:50:03"/>
    <n v="68"/>
    <s v="km/h"/>
    <s v="00:00:01"/>
    <n v="1.6666666666666666E-2"/>
    <s v="Nairobi"/>
    <s v="Nairobi"/>
    <m/>
    <m/>
    <s v="-1.25819 , 36.84758"/>
    <s v="-1.25814 , 36.84792"/>
    <n v="0"/>
    <n v="1"/>
  </r>
  <r>
    <x v="1"/>
    <x v="63"/>
    <x v="139"/>
    <x v="2"/>
    <d v="2025-08-16T06:36:38"/>
    <s v="Sat"/>
    <n v="2025"/>
    <x v="4"/>
    <x v="20"/>
    <d v="2025-08-16T06:36:49"/>
    <n v="85"/>
    <s v="km/h"/>
    <s v="00:00:11"/>
    <n v="0.18333333333333332"/>
    <s v="Kilifi"/>
    <s v="Kilifi"/>
    <m/>
    <m/>
    <s v="-3.65861 , 39.83664"/>
    <s v="-3.65678 , 39.83775"/>
    <n v="0.3125"/>
    <n v="1"/>
  </r>
  <r>
    <x v="0"/>
    <x v="34"/>
    <x v="35"/>
    <x v="1"/>
    <d v="2025-08-15T23:53:22"/>
    <s v="Fri"/>
    <n v="2025"/>
    <x v="4"/>
    <x v="20"/>
    <d v="2025-08-15T23:54:40"/>
    <n v="56"/>
    <s v="km/h"/>
    <s v="00:01:18"/>
    <n v="1.3"/>
    <s v="Nakuru"/>
    <s v="Nakuru"/>
    <m/>
    <m/>
    <s v="-0.51371 , 36.33398"/>
    <s v="-0.52282 , 36.33649"/>
    <n v="1"/>
    <n v="1"/>
  </r>
  <r>
    <x v="0"/>
    <x v="34"/>
    <x v="35"/>
    <x v="3"/>
    <d v="2025-08-15T20:51:36"/>
    <s v="Fri"/>
    <n v="2025"/>
    <x v="4"/>
    <x v="20"/>
    <d v="2025-08-15T20:51:37"/>
    <n v="16"/>
    <s v="km/h/s"/>
    <s v="00:00:01"/>
    <n v="1.6666666666666666E-2"/>
    <s v="Baringo"/>
    <m/>
    <m/>
    <m/>
    <s v="-0.03409 , 35.62519"/>
    <m/>
    <n v="0"/>
    <n v="1"/>
  </r>
  <r>
    <x v="1"/>
    <x v="14"/>
    <x v="15"/>
    <x v="1"/>
    <d v="2025-08-15T16:06:28"/>
    <s v="Fri"/>
    <n v="2025"/>
    <x v="4"/>
    <x v="20"/>
    <d v="2025-08-15T16:06:28"/>
    <n v="41"/>
    <s v="km/h"/>
    <s v="00:00:00"/>
    <n v="0"/>
    <s v="Makueni"/>
    <s v="Makueni"/>
    <m/>
    <m/>
    <s v="-2.67247 , 38.13631"/>
    <s v="-2.67247 , 38.13631"/>
    <n v="0"/>
    <n v="1"/>
  </r>
  <r>
    <x v="3"/>
    <x v="52"/>
    <x v="54"/>
    <x v="1"/>
    <d v="2025-08-15T14:03:38"/>
    <s v="Fri"/>
    <n v="2025"/>
    <x v="4"/>
    <x v="20"/>
    <d v="2025-08-15T14:03:39"/>
    <n v="32"/>
    <s v="km/h"/>
    <s v="00:00:01"/>
    <n v="1.6666666666666666E-2"/>
    <s v="Kericho"/>
    <s v="Kericho"/>
    <m/>
    <m/>
    <s v="-0.22148 , 35.38372"/>
    <s v="-0.22149 , 35.38365"/>
    <n v="0"/>
    <n v="1"/>
  </r>
  <r>
    <x v="0"/>
    <x v="29"/>
    <x v="170"/>
    <x v="1"/>
    <d v="2025-08-15T11:47:34"/>
    <s v="Fri"/>
    <n v="2025"/>
    <x v="4"/>
    <x v="20"/>
    <d v="2025-08-15T11:47:42"/>
    <n v="75"/>
    <s v="km/h"/>
    <s v="00:00:08"/>
    <n v="0.13333333333333333"/>
    <s v="Kirinyaga"/>
    <s v="Kirinyaga"/>
    <m/>
    <m/>
    <s v="-0.53146 , 37.35087"/>
    <s v="-0.53234 , 37.34947"/>
    <n v="0.1875"/>
    <n v="1"/>
  </r>
  <r>
    <x v="2"/>
    <x v="145"/>
    <x v="165"/>
    <x v="2"/>
    <d v="2025-08-15T11:14:05"/>
    <s v="Fri"/>
    <n v="2025"/>
    <x v="4"/>
    <x v="20"/>
    <d v="2025-08-15T11:14:43"/>
    <n v="90"/>
    <s v="km/h"/>
    <s v="00:00:37"/>
    <n v="0.6166666666666667"/>
    <m/>
    <m/>
    <m/>
    <m/>
    <s v="-1.1795, 36.6438"/>
    <s v="-1.1873, 36.6476"/>
    <n v="1"/>
    <n v="1"/>
  </r>
  <r>
    <x v="2"/>
    <x v="150"/>
    <x v="171"/>
    <x v="2"/>
    <d v="2025-08-15T10:14:48"/>
    <s v="Fri"/>
    <n v="2025"/>
    <x v="4"/>
    <x v="20"/>
    <d v="2025-08-15T10:15:33"/>
    <n v="93"/>
    <s v="km/h"/>
    <s v="00:00:44"/>
    <n v="0.73333333333333328"/>
    <m/>
    <m/>
    <m/>
    <m/>
    <s v="-1.2589, 36.8459"/>
    <s v="-1.2558, 36.8560"/>
    <n v="1"/>
    <n v="1"/>
  </r>
  <r>
    <x v="0"/>
    <x v="74"/>
    <x v="75"/>
    <x v="2"/>
    <d v="2025-08-15T09:59:42"/>
    <s v="Fri"/>
    <n v="2025"/>
    <x v="4"/>
    <x v="20"/>
    <d v="2025-08-15T09:59:45"/>
    <n v="81"/>
    <s v="km/h"/>
    <s v="00:00:03"/>
    <n v="0.05"/>
    <s v="Nairobi"/>
    <s v="Nairobi"/>
    <m/>
    <m/>
    <s v="-1.21237 , 36.90296"/>
    <s v="-1.21212 , 36.90372"/>
    <n v="0.125"/>
    <n v="1"/>
  </r>
  <r>
    <x v="2"/>
    <x v="124"/>
    <x v="141"/>
    <x v="2"/>
    <d v="2025-08-15T08:58:00"/>
    <s v="Fri"/>
    <n v="2025"/>
    <x v="4"/>
    <x v="20"/>
    <d v="2025-08-15T08:59:00"/>
    <n v="95"/>
    <s v="km/h"/>
    <s v="00:00:59"/>
    <n v="0.98333333333333328"/>
    <m/>
    <m/>
    <m/>
    <m/>
    <s v="-0.3025, 35.1634"/>
    <s v="-0.2893, 35.1635"/>
    <n v="2"/>
    <n v="1"/>
  </r>
  <r>
    <x v="3"/>
    <x v="138"/>
    <x v="158"/>
    <x v="1"/>
    <d v="2025-08-15T07:38:38"/>
    <s v="Fri"/>
    <n v="2025"/>
    <x v="4"/>
    <x v="20"/>
    <d v="2025-08-15T07:39:26"/>
    <n v="72"/>
    <s v="km/h"/>
    <s v="00:00:48"/>
    <n v="0.8"/>
    <s v="Nairobi"/>
    <s v="Nairobi"/>
    <s v="Total Energies - Opposite Garden City"/>
    <m/>
    <s v="-1.23362 , 36.87474"/>
    <s v="-1.23954 , 36.87018"/>
    <n v="0.90620000000000001"/>
    <n v="1"/>
  </r>
  <r>
    <x v="1"/>
    <x v="66"/>
    <x v="55"/>
    <x v="2"/>
    <d v="2025-08-15T07:32:27"/>
    <s v="Fri"/>
    <n v="2025"/>
    <x v="4"/>
    <x v="20"/>
    <d v="2025-08-15T07:32:31"/>
    <n v="82"/>
    <s v="km/h"/>
    <s v="00:00:04"/>
    <n v="6.6666666666666666E-2"/>
    <s v="Taita-Taveta"/>
    <s v="Taita-Taveta"/>
    <m/>
    <m/>
    <s v="-3.45556 , 38.63997"/>
    <s v="-3.45633 , 38.64092"/>
    <n v="0.125"/>
    <n v="1"/>
  </r>
  <r>
    <x v="2"/>
    <x v="81"/>
    <x v="82"/>
    <x v="2"/>
    <d v="2025-08-15T05:40:22"/>
    <s v="Fri"/>
    <n v="2025"/>
    <x v="4"/>
    <x v="20"/>
    <d v="2025-08-15T05:41:02"/>
    <n v="107"/>
    <s v="km/h"/>
    <s v="00:00:40"/>
    <n v="0.66666666666666663"/>
    <m/>
    <m/>
    <m/>
    <m/>
    <s v="-0.9641, 37.1009"/>
    <s v="-0.9594, 37.1093"/>
    <n v="1"/>
    <n v="1"/>
  </r>
  <r>
    <x v="1"/>
    <x v="79"/>
    <x v="136"/>
    <x v="1"/>
    <d v="2025-08-14T20:24:00"/>
    <s v="Thu"/>
    <n v="2025"/>
    <x v="4"/>
    <x v="20"/>
    <d v="2025-08-14T20:24:00"/>
    <n v="39"/>
    <s v="km/h"/>
    <s v="00:00:00"/>
    <n v="0"/>
    <s v="Machakos"/>
    <s v="Machakos"/>
    <m/>
    <m/>
    <s v="-1.04458 , 37.84464"/>
    <s v="-1.04458 , 37.84464"/>
    <n v="0"/>
    <n v="1"/>
  </r>
  <r>
    <x v="2"/>
    <x v="151"/>
    <x v="172"/>
    <x v="2"/>
    <d v="2025-08-14T17:52:39"/>
    <s v="Thu"/>
    <n v="2025"/>
    <x v="4"/>
    <x v="20"/>
    <d v="2025-08-14T17:54:47"/>
    <n v="86"/>
    <s v="km/h"/>
    <s v="00:02:08"/>
    <n v="2.1333333333333333"/>
    <m/>
    <m/>
    <m/>
    <m/>
    <s v="-1.0050, 36.5271"/>
    <s v="-1.0115, 36.5012"/>
    <n v="3"/>
    <n v="1"/>
  </r>
  <r>
    <x v="2"/>
    <x v="152"/>
    <x v="173"/>
    <x v="2"/>
    <d v="2025-08-14T16:23:38"/>
    <s v="Thu"/>
    <n v="2025"/>
    <x v="4"/>
    <x v="20"/>
    <d v="2025-08-14T16:24:18"/>
    <n v="101"/>
    <s v="km/h"/>
    <s v="00:00:40"/>
    <n v="0.66666666666666663"/>
    <m/>
    <m/>
    <m/>
    <m/>
    <s v="-0.9825, 37.0923"/>
    <s v="-0.9897, 37.0866"/>
    <n v="1"/>
    <n v="1"/>
  </r>
  <r>
    <x v="0"/>
    <x v="80"/>
    <x v="81"/>
    <x v="2"/>
    <d v="2025-08-14T13:20:55"/>
    <s v="Thu"/>
    <n v="2025"/>
    <x v="4"/>
    <x v="20"/>
    <d v="2025-08-14T13:20:57"/>
    <n v="83"/>
    <s v="km/h"/>
    <s v="00:00:02"/>
    <n v="3.3333333333333333E-2"/>
    <s v="Kirinyaga"/>
    <s v="Kirinyaga"/>
    <m/>
    <m/>
    <s v="-0.52121 , 37.17548"/>
    <s v="-0.52167 , 37.17587"/>
    <n v="0.125"/>
    <n v="1"/>
  </r>
  <r>
    <x v="1"/>
    <x v="53"/>
    <x v="113"/>
    <x v="0"/>
    <d v="2025-08-13T23:00:01"/>
    <s v="Wed"/>
    <n v="2025"/>
    <x v="4"/>
    <x v="20"/>
    <d v="2025-08-13T23:11:34"/>
    <n v="57"/>
    <s v="km"/>
    <s v="00:11:33"/>
    <n v="11.55"/>
    <s v="Nakuru"/>
    <s v="Nakuru"/>
    <m/>
    <m/>
    <s v="-0.26858 , 36.00483"/>
    <s v="-0.28961 , 36.05719"/>
    <n v="6"/>
    <n v="1"/>
  </r>
  <r>
    <x v="2"/>
    <x v="112"/>
    <x v="122"/>
    <x v="2"/>
    <d v="2025-08-13T20:26:49"/>
    <s v="Wed"/>
    <n v="2025"/>
    <x v="4"/>
    <x v="20"/>
    <d v="2025-08-13T20:27:19"/>
    <n v="111"/>
    <s v="km/h"/>
    <s v="00:00:30"/>
    <n v="0.5"/>
    <m/>
    <m/>
    <m/>
    <m/>
    <s v="-0.5185, 37.1732"/>
    <s v="-0.5243, 37.1782"/>
    <n v="1"/>
    <n v="1"/>
  </r>
  <r>
    <x v="1"/>
    <x v="63"/>
    <x v="139"/>
    <x v="1"/>
    <d v="2025-08-13T18:34:04"/>
    <s v="Wed"/>
    <n v="2025"/>
    <x v="4"/>
    <x v="20"/>
    <d v="2025-08-13T18:34:24"/>
    <n v="59"/>
    <s v="km/h"/>
    <s v="00:00:20"/>
    <n v="0.33333333333333331"/>
    <s v="Kajiado"/>
    <s v="Makueni"/>
    <m/>
    <m/>
    <s v="-2.03703 , 37.401"/>
    <s v="-2.03528 , 37.39858"/>
    <n v="0.3125"/>
    <n v="1"/>
  </r>
  <r>
    <x v="2"/>
    <x v="140"/>
    <x v="160"/>
    <x v="2"/>
    <d v="2025-08-13T18:09:42"/>
    <s v="Wed"/>
    <n v="2025"/>
    <x v="4"/>
    <x v="20"/>
    <d v="2025-08-13T18:10:52"/>
    <n v="101"/>
    <s v="km/h"/>
    <s v="00:01:10"/>
    <n v="1.1666666666666667"/>
    <m/>
    <m/>
    <m/>
    <m/>
    <s v="-0.1656, 35.6363"/>
    <s v="-0.1724, 35.6222"/>
    <n v="2"/>
    <n v="1"/>
  </r>
  <r>
    <x v="1"/>
    <x v="116"/>
    <x v="174"/>
    <x v="1"/>
    <d v="2025-08-13T18:06:44"/>
    <s v="Wed"/>
    <n v="2025"/>
    <x v="4"/>
    <x v="20"/>
    <d v="2025-08-13T18:06:46"/>
    <n v="34"/>
    <s v="km/h"/>
    <s v="00:00:02"/>
    <n v="3.3333333333333333E-2"/>
    <s v="Mombasa"/>
    <s v="Mombasa"/>
    <m/>
    <m/>
    <s v="-4.01175 , 39.62922"/>
    <s v="-4.01158 , 39.62894"/>
    <n v="0"/>
    <n v="1"/>
  </r>
  <r>
    <x v="3"/>
    <x v="153"/>
    <x v="175"/>
    <x v="4"/>
    <d v="2025-08-13T17:42:11"/>
    <s v="Wed"/>
    <n v="2025"/>
    <x v="4"/>
    <x v="20"/>
    <d v="2025-08-13T17:42:12"/>
    <n v="12"/>
    <s v="km/h/s"/>
    <s v="00:00:01"/>
    <n v="1.6666666666666666E-2"/>
    <s v="Nakuru"/>
    <m/>
    <m/>
    <m/>
    <s v="-0.54855 , 36.34364"/>
    <m/>
    <n v="0"/>
    <n v="1"/>
  </r>
  <r>
    <x v="1"/>
    <x v="63"/>
    <x v="139"/>
    <x v="1"/>
    <d v="2025-08-13T16:58:41"/>
    <s v="Wed"/>
    <n v="2025"/>
    <x v="4"/>
    <x v="20"/>
    <d v="2025-08-13T16:58:42"/>
    <n v="67"/>
    <s v="km/h"/>
    <s v="00:00:01"/>
    <n v="1.6666666666666666E-2"/>
    <s v="Makueni"/>
    <s v="Makueni"/>
    <m/>
    <m/>
    <s v="-2.22728 , 37.75094"/>
    <s v="-2.22708 , 37.7505"/>
    <n v="6.25E-2"/>
    <n v="1"/>
  </r>
  <r>
    <x v="3"/>
    <x v="153"/>
    <x v="175"/>
    <x v="2"/>
    <d v="2025-08-13T13:56:42"/>
    <s v="Wed"/>
    <n v="2025"/>
    <x v="4"/>
    <x v="20"/>
    <d v="2025-08-13T13:56:43"/>
    <n v="87"/>
    <s v="km/h"/>
    <s v="00:00:01"/>
    <n v="1.6666666666666666E-2"/>
    <s v="Machakos"/>
    <s v="Machakos"/>
    <m/>
    <m/>
    <s v="-1.55106 , 37.22642"/>
    <s v="-1.55106 , 37.22642"/>
    <n v="0"/>
    <n v="1"/>
  </r>
  <r>
    <x v="2"/>
    <x v="27"/>
    <x v="28"/>
    <x v="2"/>
    <d v="2025-08-13T12:53:35"/>
    <s v="Wed"/>
    <n v="2025"/>
    <x v="4"/>
    <x v="20"/>
    <d v="2025-08-13T12:54:32"/>
    <n v="90"/>
    <s v="km/h"/>
    <s v="00:00:57"/>
    <n v="0.95"/>
    <m/>
    <m/>
    <m/>
    <m/>
    <s v="-0.9906, 37.0860"/>
    <s v="-1.0023, 37.0807"/>
    <n v="1"/>
    <n v="1"/>
  </r>
  <r>
    <x v="1"/>
    <x v="63"/>
    <x v="139"/>
    <x v="1"/>
    <d v="2025-08-13T12:17:53"/>
    <s v="Wed"/>
    <n v="2025"/>
    <x v="4"/>
    <x v="20"/>
    <d v="2025-08-13T12:17:53"/>
    <n v="57"/>
    <s v="km/h"/>
    <s v="00:00:00"/>
    <n v="0"/>
    <s v="Taita-Taveta"/>
    <s v="Taita-Taveta"/>
    <m/>
    <m/>
    <s v="-3.50297 , 38.69067"/>
    <s v="-3.50297 , 38.69067"/>
    <n v="0"/>
    <n v="1"/>
  </r>
  <r>
    <x v="2"/>
    <x v="81"/>
    <x v="82"/>
    <x v="2"/>
    <d v="2025-08-13T08:45:01"/>
    <s v="Wed"/>
    <n v="2025"/>
    <x v="4"/>
    <x v="20"/>
    <d v="2025-08-13T08:47:01"/>
    <n v="101"/>
    <s v="km/h"/>
    <s v="00:01:59"/>
    <n v="1.9833333333333334"/>
    <m/>
    <m/>
    <m/>
    <m/>
    <s v="-0.9291, 37.1745"/>
    <s v="-0.9176, 37.1983"/>
    <n v="3"/>
    <n v="1"/>
  </r>
  <r>
    <x v="2"/>
    <x v="154"/>
    <x v="176"/>
    <x v="2"/>
    <d v="2025-08-13T08:10:48"/>
    <s v="Wed"/>
    <n v="2025"/>
    <x v="4"/>
    <x v="20"/>
    <d v="2025-08-13T08:12:18"/>
    <n v="89"/>
    <s v="km/h"/>
    <s v="00:01:30"/>
    <n v="1.5"/>
    <m/>
    <m/>
    <m/>
    <m/>
    <s v="-0.9319, 36.5345"/>
    <s v="-0.9465, 36.5468"/>
    <n v="2"/>
    <n v="1"/>
  </r>
  <r>
    <x v="2"/>
    <x v="49"/>
    <x v="51"/>
    <x v="2"/>
    <d v="2025-08-13T04:52:42"/>
    <s v="Wed"/>
    <n v="2025"/>
    <x v="4"/>
    <x v="20"/>
    <d v="2025-08-13T04:54:22"/>
    <n v="91"/>
    <s v="km/h"/>
    <s v="00:01:39"/>
    <n v="1.65"/>
    <m/>
    <m/>
    <m/>
    <m/>
    <s v="-0.2372, 35.9122"/>
    <s v="-0.2276, 35.8929"/>
    <n v="2"/>
    <n v="1"/>
  </r>
  <r>
    <x v="1"/>
    <x v="25"/>
    <x v="177"/>
    <x v="0"/>
    <d v="2025-08-13T00:08:44"/>
    <s v="Wed"/>
    <n v="2025"/>
    <x v="4"/>
    <x v="20"/>
    <d v="2025-08-13T00:22:49"/>
    <n v="3"/>
    <s v="km"/>
    <s v="00:14:05"/>
    <n v="14.083333333333334"/>
    <s v="Nakuru"/>
    <s v="Nakuru"/>
    <m/>
    <m/>
    <s v="-0.28864 , 36.04914"/>
    <s v="-0.29211 , 36.05783"/>
    <n v="3"/>
    <n v="1"/>
  </r>
  <r>
    <x v="3"/>
    <x v="99"/>
    <x v="103"/>
    <x v="0"/>
    <d v="2025-08-12T23:50:24"/>
    <s v="Tue"/>
    <n v="2025"/>
    <x v="4"/>
    <x v="20"/>
    <d v="2025-08-13T00:51:54"/>
    <n v="19"/>
    <s v="km"/>
    <s v="01:01:30"/>
    <n v="61.5"/>
    <s v="Nakuru"/>
    <s v="Nakuru"/>
    <m/>
    <m/>
    <s v="-0.42994 , 36.26285"/>
    <s v="-0.31923 , 36.14535"/>
    <n v="19"/>
    <n v="1"/>
  </r>
  <r>
    <x v="1"/>
    <x v="25"/>
    <x v="177"/>
    <x v="0"/>
    <d v="2025-08-12T23:43:46"/>
    <s v="Tue"/>
    <n v="2025"/>
    <x v="4"/>
    <x v="20"/>
    <d v="2025-08-13T00:07:45"/>
    <n v="12"/>
    <s v="km"/>
    <s v="00:23:59"/>
    <n v="23.983333333333334"/>
    <s v="Nakuru"/>
    <s v="Nakuru"/>
    <m/>
    <m/>
    <s v="-0.31547 , 36.14103"/>
    <s v="-0.28931 , 36.05089"/>
    <n v="12"/>
    <n v="1"/>
  </r>
  <r>
    <x v="3"/>
    <x v="15"/>
    <x v="16"/>
    <x v="0"/>
    <d v="2025-08-12T23:34:27"/>
    <s v="Tue"/>
    <n v="2025"/>
    <x v="4"/>
    <x v="20"/>
    <d v="2025-08-12T23:40:10"/>
    <n v="2"/>
    <s v="km"/>
    <s v="00:05:43"/>
    <n v="5.7166666666666668"/>
    <s v="Nakuru"/>
    <s v="Nakuru"/>
    <m/>
    <m/>
    <s v="-0.42302 , 36.25999"/>
    <s v="-0.43912 , 36.26748"/>
    <n v="2"/>
    <n v="1"/>
  </r>
  <r>
    <x v="1"/>
    <x v="26"/>
    <x v="85"/>
    <x v="0"/>
    <d v="2025-08-12T23:23:39"/>
    <s v="Tue"/>
    <n v="2025"/>
    <x v="4"/>
    <x v="20"/>
    <d v="2025-08-13T00:26:59"/>
    <n v="26"/>
    <s v="km"/>
    <s v="01:03:20"/>
    <n v="63.333333333333336"/>
    <s v="Nakuru"/>
    <s v="Nakuru"/>
    <m/>
    <m/>
    <s v="-0.38744 , 36.24019"/>
    <s v="-0.29236 , 36.05781"/>
    <n v="26"/>
    <n v="1"/>
  </r>
  <r>
    <x v="2"/>
    <x v="112"/>
    <x v="122"/>
    <x v="2"/>
    <d v="2025-08-12T23:12:40"/>
    <s v="Tue"/>
    <n v="2025"/>
    <x v="4"/>
    <x v="20"/>
    <d v="2025-08-12T23:13:03"/>
    <n v="108"/>
    <s v="km/h"/>
    <s v="00:00:22"/>
    <n v="0.36666666666666664"/>
    <m/>
    <m/>
    <m/>
    <m/>
    <s v="-0.1379, 36.7073"/>
    <s v="-0.1342, 36.7010"/>
    <n v="1"/>
    <n v="1"/>
  </r>
  <r>
    <x v="1"/>
    <x v="25"/>
    <x v="177"/>
    <x v="0"/>
    <d v="2025-08-12T23:05:39"/>
    <s v="Tue"/>
    <n v="2025"/>
    <x v="4"/>
    <x v="20"/>
    <d v="2025-08-12T23:42:44"/>
    <n v="14"/>
    <s v="km"/>
    <s v="00:37:05"/>
    <n v="37.083333333333336"/>
    <s v="Nakuru"/>
    <s v="Nakuru"/>
    <m/>
    <m/>
    <s v="-0.39244 , 36.24469"/>
    <s v="-0.31694 , 36.14194"/>
    <n v="14"/>
    <n v="1"/>
  </r>
  <r>
    <x v="3"/>
    <x v="54"/>
    <x v="57"/>
    <x v="0"/>
    <d v="2025-08-12T23:01:59"/>
    <s v="Tue"/>
    <n v="2025"/>
    <x v="4"/>
    <x v="20"/>
    <d v="2025-08-12T23:57:48"/>
    <n v="6"/>
    <s v="km"/>
    <s v="00:55:49"/>
    <n v="55.81666666666667"/>
    <s v="Nakuru"/>
    <s v="Nakuru"/>
    <m/>
    <m/>
    <s v="-0.38016 , 36.23168"/>
    <s v="-0.41946 , 36.25775"/>
    <n v="6"/>
    <n v="1"/>
  </r>
  <r>
    <x v="3"/>
    <x v="138"/>
    <x v="158"/>
    <x v="1"/>
    <d v="2025-08-12T23:00:17"/>
    <s v="Tue"/>
    <n v="2025"/>
    <x v="4"/>
    <x v="20"/>
    <d v="2025-08-12T23:00:18"/>
    <n v="33"/>
    <s v="km/h"/>
    <s v="00:00:01"/>
    <n v="1.6666666666666666E-2"/>
    <s v="Nakuru"/>
    <s v="Nakuru"/>
    <m/>
    <m/>
    <s v="-0.46181 , 36.28102"/>
    <s v="-0.46172 , 36.28092"/>
    <n v="9.3799999999999994E-2"/>
    <n v="1"/>
  </r>
  <r>
    <x v="3"/>
    <x v="15"/>
    <x v="16"/>
    <x v="0"/>
    <d v="2025-08-12T23:00:00"/>
    <s v="Tue"/>
    <n v="2025"/>
    <x v="4"/>
    <x v="20"/>
    <d v="2025-08-12T23:31:59"/>
    <n v="5"/>
    <s v="km"/>
    <s v="00:31:59"/>
    <n v="31.983333333333334"/>
    <s v="Nakuru"/>
    <s v="Nakuru"/>
    <m/>
    <m/>
    <s v="-0.39405 , 36.24587"/>
    <s v="-0.42137 , 36.25904"/>
    <n v="3"/>
    <n v="1"/>
  </r>
  <r>
    <x v="3"/>
    <x v="99"/>
    <x v="103"/>
    <x v="0"/>
    <d v="2025-08-12T23:00:00"/>
    <s v="Tue"/>
    <n v="2025"/>
    <x v="4"/>
    <x v="20"/>
    <d v="2025-08-12T23:24:22"/>
    <n v="137"/>
    <s v="km"/>
    <s v="00:24:22"/>
    <n v="24.366666666666667"/>
    <s v="Nakuru"/>
    <s v="Nakuru"/>
    <m/>
    <m/>
    <s v="-0.49936 , 36.31385"/>
    <s v="-0.43191 , 36.26347"/>
    <n v="10"/>
    <n v="1"/>
  </r>
  <r>
    <x v="3"/>
    <x v="54"/>
    <x v="57"/>
    <x v="1"/>
    <d v="2025-08-12T20:55:34"/>
    <s v="Tue"/>
    <n v="2025"/>
    <x v="4"/>
    <x v="20"/>
    <d v="2025-08-12T20:55:36"/>
    <n v="32"/>
    <s v="km/h"/>
    <s v="00:00:02"/>
    <n v="3.3333333333333333E-2"/>
    <s v="Nakuru"/>
    <s v="Nakuru"/>
    <m/>
    <m/>
    <s v="-0.22309 , 35.88378"/>
    <s v="-0.22318 , 35.88397"/>
    <n v="0"/>
    <n v="1"/>
  </r>
  <r>
    <x v="0"/>
    <x v="29"/>
    <x v="170"/>
    <x v="2"/>
    <d v="2025-08-12T16:25:56"/>
    <s v="Tue"/>
    <n v="2025"/>
    <x v="4"/>
    <x v="20"/>
    <d v="2025-08-12T16:26:05"/>
    <n v="86"/>
    <s v="km/h"/>
    <s v="00:00:09"/>
    <n v="0.15"/>
    <s v="Murang'a"/>
    <s v="Kiambu"/>
    <m/>
    <m/>
    <s v="-1.02208 , 37.06859"/>
    <s v="-1.02364 , 37.06721"/>
    <n v="0.3125"/>
    <n v="1"/>
  </r>
  <r>
    <x v="0"/>
    <x v="29"/>
    <x v="170"/>
    <x v="2"/>
    <d v="2025-08-12T16:16:59"/>
    <s v="Tue"/>
    <n v="2025"/>
    <x v="4"/>
    <x v="20"/>
    <d v="2025-08-12T16:17:00"/>
    <n v="81"/>
    <s v="km/h"/>
    <s v="00:00:01"/>
    <n v="1.6666666666666666E-2"/>
    <s v="Murang'a"/>
    <s v="Murang'a"/>
    <m/>
    <m/>
    <s v="-0.95142 , 37.11578"/>
    <s v="-0.95161 , 37.1157"/>
    <n v="0"/>
    <n v="1"/>
  </r>
  <r>
    <x v="2"/>
    <x v="140"/>
    <x v="160"/>
    <x v="2"/>
    <d v="2025-08-12T13:16:07"/>
    <s v="Tue"/>
    <n v="2025"/>
    <x v="4"/>
    <x v="20"/>
    <d v="2025-08-12T13:16:47"/>
    <n v="104"/>
    <s v="km/h"/>
    <s v="00:00:39"/>
    <n v="0.65"/>
    <m/>
    <m/>
    <m/>
    <m/>
    <s v="-0.2665, 35.4458"/>
    <s v="-0.2656, 35.4549"/>
    <n v="1"/>
    <n v="1"/>
  </r>
  <r>
    <x v="1"/>
    <x v="19"/>
    <x v="94"/>
    <x v="1"/>
    <d v="2025-08-12T11:35:36"/>
    <s v="Tue"/>
    <n v="2025"/>
    <x v="4"/>
    <x v="20"/>
    <d v="2025-08-12T11:35:38"/>
    <n v="33"/>
    <s v="km/h"/>
    <s v="00:00:02"/>
    <n v="3.3333333333333333E-2"/>
    <s v="Makueni"/>
    <s v="Makueni"/>
    <m/>
    <m/>
    <s v="-2.52736 , 38.01994"/>
    <s v="-2.52703 , 38.01983"/>
    <n v="0"/>
    <n v="1"/>
  </r>
  <r>
    <x v="1"/>
    <x v="63"/>
    <x v="139"/>
    <x v="1"/>
    <d v="2025-08-12T07:54:23"/>
    <s v="Tue"/>
    <n v="2025"/>
    <x v="4"/>
    <x v="20"/>
    <d v="2025-08-12T07:54:33"/>
    <n v="67"/>
    <s v="km/h"/>
    <s v="00:00:10"/>
    <n v="0.16666666666666666"/>
    <s v="Kwale"/>
    <s v="Kwale"/>
    <m/>
    <m/>
    <s v="-3.74664 , 39.11178"/>
    <s v="-3.74697 , 39.11336"/>
    <n v="6.25E-2"/>
    <n v="1"/>
  </r>
  <r>
    <x v="1"/>
    <x v="79"/>
    <x v="41"/>
    <x v="1"/>
    <d v="2025-08-12T06:58:41"/>
    <s v="Tue"/>
    <n v="2025"/>
    <x v="4"/>
    <x v="20"/>
    <d v="2025-08-12T06:58:42"/>
    <n v="40"/>
    <s v="km/h"/>
    <s v="00:00:01"/>
    <n v="1.6666666666666666E-2"/>
    <s v="Samburu"/>
    <s v="Samburu"/>
    <m/>
    <m/>
    <s v="1.21936 , 37.65908"/>
    <s v="1.2195 , 37.65925"/>
    <n v="0"/>
    <n v="1"/>
  </r>
  <r>
    <x v="1"/>
    <x v="79"/>
    <x v="41"/>
    <x v="1"/>
    <d v="2025-08-11T20:44:15"/>
    <s v="Mon"/>
    <n v="2025"/>
    <x v="4"/>
    <x v="20"/>
    <d v="2025-08-11T20:44:15"/>
    <n v="38"/>
    <s v="km/h"/>
    <s v="00:00:00"/>
    <n v="0"/>
    <s v="Isiolo"/>
    <s v="Isiolo"/>
    <m/>
    <m/>
    <s v="0.63283 , 37.67336"/>
    <s v="0.63283 , 37.67336"/>
    <n v="0"/>
    <n v="1"/>
  </r>
  <r>
    <x v="1"/>
    <x v="26"/>
    <x v="29"/>
    <x v="4"/>
    <d v="2025-08-11T20:22:29"/>
    <s v="Mon"/>
    <n v="2025"/>
    <x v="4"/>
    <x v="20"/>
    <d v="2025-08-11T20:22:29"/>
    <n v="13"/>
    <s v="km/h/s"/>
    <s v="00:00:00"/>
    <n v="0"/>
    <s v="Nairobi"/>
    <s v="Nairobi"/>
    <m/>
    <m/>
    <s v="-1.23497 , 36.87278"/>
    <s v="-1.23497 , 36.87278"/>
    <n v="0"/>
    <n v="1"/>
  </r>
  <r>
    <x v="1"/>
    <x v="7"/>
    <x v="178"/>
    <x v="1"/>
    <d v="2025-08-11T18:49:30"/>
    <s v="Mon"/>
    <n v="2025"/>
    <x v="4"/>
    <x v="20"/>
    <d v="2025-08-11T18:49:32"/>
    <n v="37"/>
    <s v="km/h"/>
    <s v="00:00:02"/>
    <n v="3.3333333333333333E-2"/>
    <s v="Kiambu"/>
    <s v="Kiambu"/>
    <m/>
    <m/>
    <s v="-1.16586 , 36.95669"/>
    <s v="-1.16617 , 36.9565"/>
    <n v="0"/>
    <n v="1"/>
  </r>
  <r>
    <x v="1"/>
    <x v="25"/>
    <x v="162"/>
    <x v="1"/>
    <d v="2025-08-11T17:55:42"/>
    <s v="Mon"/>
    <n v="2025"/>
    <x v="4"/>
    <x v="20"/>
    <d v="2025-08-11T17:55:44"/>
    <n v="38"/>
    <s v="km/h"/>
    <s v="00:00:02"/>
    <n v="3.3333333333333333E-2"/>
    <s v="Machakos"/>
    <s v="Machakos"/>
    <m/>
    <m/>
    <s v="-1.46219 , 37.01092"/>
    <s v="-1.46194 , 37.01064"/>
    <n v="0"/>
    <n v="1"/>
  </r>
  <r>
    <x v="3"/>
    <x v="138"/>
    <x v="158"/>
    <x v="2"/>
    <d v="2025-08-11T17:08:33"/>
    <s v="Mon"/>
    <n v="2025"/>
    <x v="4"/>
    <x v="20"/>
    <d v="2025-08-11T17:08:38"/>
    <n v="85"/>
    <s v="km/h"/>
    <s v="00:00:05"/>
    <n v="8.3333333333333329E-2"/>
    <s v="Nakuru"/>
    <s v="Nakuru"/>
    <m/>
    <m/>
    <s v="-0.19446 , 35.71885"/>
    <s v="-0.19527 , 35.71968"/>
    <n v="0.1875"/>
    <n v="1"/>
  </r>
  <r>
    <x v="2"/>
    <x v="124"/>
    <x v="141"/>
    <x v="2"/>
    <d v="2025-08-11T14:28:18"/>
    <s v="Mon"/>
    <n v="2025"/>
    <x v="4"/>
    <x v="20"/>
    <d v="2025-08-11T14:29:07"/>
    <n v="95"/>
    <s v="km/h"/>
    <s v="00:00:49"/>
    <n v="0.81666666666666665"/>
    <m/>
    <m/>
    <m/>
    <m/>
    <s v="-0.9497, 34.5180"/>
    <s v="-0.9388, 34.5200"/>
    <n v="1"/>
    <n v="1"/>
  </r>
  <r>
    <x v="1"/>
    <x v="25"/>
    <x v="162"/>
    <x v="1"/>
    <d v="2025-08-11T09:01:46"/>
    <s v="Mon"/>
    <n v="2025"/>
    <x v="4"/>
    <x v="20"/>
    <d v="2025-08-11T09:01:53"/>
    <n v="36"/>
    <s v="km/h"/>
    <s v="00:00:07"/>
    <n v="0.11666666666666667"/>
    <s v="Taita-Taveta"/>
    <s v="Taita-Taveta"/>
    <m/>
    <m/>
    <s v="-3.405 , 38.57486"/>
    <s v="-3.40514 , 38.57417"/>
    <n v="0.1016"/>
    <n v="1"/>
  </r>
  <r>
    <x v="2"/>
    <x v="155"/>
    <x v="179"/>
    <x v="2"/>
    <d v="2025-08-11T06:36:45"/>
    <s v="Mon"/>
    <n v="2025"/>
    <x v="4"/>
    <x v="20"/>
    <d v="2025-08-11T06:37:51"/>
    <n v="98"/>
    <s v="km/h"/>
    <s v="00:01:05"/>
    <n v="1.0833333333333333"/>
    <m/>
    <m/>
    <m/>
    <m/>
    <s v="-1.4123, 36.9498"/>
    <s v="-1.4251, 36.9577"/>
    <n v="2"/>
    <n v="1"/>
  </r>
  <r>
    <x v="1"/>
    <x v="156"/>
    <x v="142"/>
    <x v="1"/>
    <d v="2025-08-10T16:44:01"/>
    <s v="Sun"/>
    <n v="2025"/>
    <x v="4"/>
    <x v="20"/>
    <d v="2025-08-10T16:44:01"/>
    <n v="36"/>
    <s v="km/h"/>
    <s v="00:00:00"/>
    <n v="0"/>
    <s v="Machakos"/>
    <s v="Machakos"/>
    <m/>
    <m/>
    <s v="-0.80403 , 37.26317"/>
    <s v="-0.80403 , 37.26317"/>
    <n v="0"/>
    <n v="1"/>
  </r>
  <r>
    <x v="1"/>
    <x v="89"/>
    <x v="56"/>
    <x v="1"/>
    <d v="2025-08-10T13:45:40"/>
    <s v="Sun"/>
    <n v="2025"/>
    <x v="4"/>
    <x v="20"/>
    <d v="2025-08-10T13:45:59"/>
    <n v="38"/>
    <s v="km/h"/>
    <s v="00:00:19"/>
    <n v="0.31666666666666665"/>
    <s v="Nairobi"/>
    <s v="Nairobi"/>
    <m/>
    <m/>
    <s v="-1.24825 , 36.8635"/>
    <s v="-1.24694 , 36.86475"/>
    <n v="0.1875"/>
    <n v="1"/>
  </r>
  <r>
    <x v="1"/>
    <x v="19"/>
    <x v="94"/>
    <x v="1"/>
    <d v="2025-08-10T09:40:36"/>
    <s v="Sun"/>
    <n v="2025"/>
    <x v="4"/>
    <x v="20"/>
    <d v="2025-08-10T09:40:38"/>
    <n v="52"/>
    <s v="km/h"/>
    <s v="00:00:02"/>
    <n v="3.3333333333333333E-2"/>
    <s v="Taita-Taveta"/>
    <s v="Taita-Taveta"/>
    <m/>
    <m/>
    <s v="-2.93661 , 38.41469"/>
    <s v="-2.93681 , 38.41486"/>
    <n v="0"/>
    <n v="1"/>
  </r>
  <r>
    <x v="2"/>
    <x v="157"/>
    <x v="180"/>
    <x v="2"/>
    <d v="2025-08-10T08:36:06"/>
    <s v="Sun"/>
    <n v="2025"/>
    <x v="4"/>
    <x v="20"/>
    <d v="2025-08-10T08:36:36"/>
    <n v="98"/>
    <s v="km/h"/>
    <s v="00:00:29"/>
    <n v="0.48333333333333334"/>
    <m/>
    <m/>
    <m/>
    <m/>
    <s v="-1.8219, 37.2390"/>
    <s v="-1.8282, 37.2422"/>
    <n v="1"/>
    <n v="1"/>
  </r>
  <r>
    <x v="1"/>
    <x v="25"/>
    <x v="162"/>
    <x v="1"/>
    <d v="2025-08-09T20:47:42"/>
    <s v="Sat"/>
    <n v="2025"/>
    <x v="4"/>
    <x v="21"/>
    <d v="2025-08-09T20:47:42"/>
    <n v="38"/>
    <s v="km/h"/>
    <s v="00:00:00"/>
    <n v="0"/>
    <s v="Taita-Taveta"/>
    <s v="Taita-Taveta"/>
    <m/>
    <m/>
    <s v="-2.93911 , 38.41642"/>
    <s v="-2.93911 , 38.41642"/>
    <n v="9.7600000000000006E-2"/>
    <n v="1"/>
  </r>
  <r>
    <x v="3"/>
    <x v="52"/>
    <x v="54"/>
    <x v="3"/>
    <d v="2025-08-09T16:17:07"/>
    <s v="Sat"/>
    <n v="2025"/>
    <x v="4"/>
    <x v="21"/>
    <d v="2025-08-09T16:17:08"/>
    <n v="18"/>
    <s v="km/h/s"/>
    <s v="00:00:01"/>
    <n v="1.6666666666666666E-2"/>
    <s v="Kirinyaga"/>
    <m/>
    <m/>
    <m/>
    <s v="-0.54008 , 37.42921"/>
    <m/>
    <n v="0"/>
    <n v="1"/>
  </r>
  <r>
    <x v="2"/>
    <x v="158"/>
    <x v="181"/>
    <x v="2"/>
    <d v="2025-08-09T13:07:01"/>
    <s v="Sat"/>
    <n v="2025"/>
    <x v="4"/>
    <x v="21"/>
    <d v="2025-08-09T13:08:26"/>
    <n v="112"/>
    <s v="km/h"/>
    <s v="00:01:24"/>
    <n v="1.4"/>
    <m/>
    <m/>
    <m/>
    <m/>
    <s v="0.7882, 34.8170"/>
    <s v="0.7824, 34.7996"/>
    <n v="2"/>
    <n v="1"/>
  </r>
  <r>
    <x v="1"/>
    <x v="89"/>
    <x v="136"/>
    <x v="1"/>
    <d v="2025-08-09T07:32:17"/>
    <s v="Sat"/>
    <n v="2025"/>
    <x v="4"/>
    <x v="21"/>
    <d v="2025-08-09T07:32:18"/>
    <n v="32"/>
    <s v="km/h"/>
    <s v="00:00:01"/>
    <n v="1.6666666666666666E-2"/>
    <s v="Nakuru"/>
    <s v="Nakuru"/>
    <m/>
    <m/>
    <s v="-0.15914 , 35.69361"/>
    <s v="-0.15919 , 35.69367"/>
    <n v="0"/>
    <n v="1"/>
  </r>
  <r>
    <x v="3"/>
    <x v="50"/>
    <x v="52"/>
    <x v="0"/>
    <d v="2025-08-08T23:02:15"/>
    <s v="Fri"/>
    <n v="2025"/>
    <x v="4"/>
    <x v="21"/>
    <d v="2025-08-08T23:27:29"/>
    <n v="12"/>
    <s v="km"/>
    <s v="00:25:14"/>
    <n v="25.233333333333334"/>
    <s v="Nakuru"/>
    <s v="Nakuru"/>
    <m/>
    <m/>
    <s v="-0.37513 , 36.22627"/>
    <s v="-0.47466 , 36.29177"/>
    <n v="12"/>
    <n v="1"/>
  </r>
  <r>
    <x v="1"/>
    <x v="159"/>
    <x v="92"/>
    <x v="0"/>
    <d v="2025-08-08T23:00:01"/>
    <s v="Fri"/>
    <n v="2025"/>
    <x v="4"/>
    <x v="21"/>
    <d v="2025-08-08T23:19:30"/>
    <n v="72"/>
    <s v="km"/>
    <s v="00:19:29"/>
    <n v="19.483333333333334"/>
    <s v="Kericho"/>
    <s v="Kericho"/>
    <m/>
    <m/>
    <s v="-0.30906 , 35.16217"/>
    <s v="-0.31858 , 35.21761"/>
    <n v="7"/>
    <n v="1"/>
  </r>
  <r>
    <x v="1"/>
    <x v="89"/>
    <x v="136"/>
    <x v="0"/>
    <d v="2025-08-08T23:00:01"/>
    <s v="Fri"/>
    <n v="2025"/>
    <x v="4"/>
    <x v="21"/>
    <d v="2025-08-08T23:14:34"/>
    <n v="18"/>
    <s v="km"/>
    <s v="00:14:33"/>
    <n v="14.55"/>
    <s v="Kericho"/>
    <s v="Kericho"/>
    <m/>
    <m/>
    <s v="-0.30808 , 35.16847"/>
    <s v="-0.31872 , 35.21792"/>
    <n v="6"/>
    <n v="1"/>
  </r>
  <r>
    <x v="0"/>
    <x v="60"/>
    <x v="62"/>
    <x v="2"/>
    <d v="2025-08-08T19:22:59"/>
    <s v="Fri"/>
    <n v="2025"/>
    <x v="4"/>
    <x v="21"/>
    <d v="2025-08-08T19:23:06"/>
    <n v="82"/>
    <s v="km/h"/>
    <s v="00:00:07"/>
    <n v="0.11666666666666667"/>
    <s v="Kiambu"/>
    <s v="Kiambu"/>
    <m/>
    <m/>
    <s v="-1.05954 , 37.05482"/>
    <s v="-1.06108 , 37.05427"/>
    <n v="0.2031"/>
    <n v="1"/>
  </r>
  <r>
    <x v="2"/>
    <x v="155"/>
    <x v="179"/>
    <x v="2"/>
    <d v="2025-08-08T19:00:52"/>
    <s v="Fri"/>
    <n v="2025"/>
    <x v="4"/>
    <x v="21"/>
    <d v="2025-08-08T19:02:43"/>
    <n v="103"/>
    <s v="km/h"/>
    <s v="00:01:50"/>
    <n v="1.8333333333333335"/>
    <m/>
    <m/>
    <m/>
    <m/>
    <s v="-0.2428, 35.9235"/>
    <s v="-0.2317, 35.9010"/>
    <n v="3"/>
    <n v="1"/>
  </r>
  <r>
    <x v="2"/>
    <x v="158"/>
    <x v="181"/>
    <x v="2"/>
    <d v="2025-08-08T17:38:14"/>
    <s v="Fri"/>
    <n v="2025"/>
    <x v="4"/>
    <x v="21"/>
    <d v="2025-08-08T17:38:44"/>
    <n v="111"/>
    <s v="km/h"/>
    <s v="00:00:29"/>
    <n v="0.48333333333333334"/>
    <m/>
    <m/>
    <m/>
    <m/>
    <s v="0.0998, 35.4930"/>
    <s v="0.0990, 35.4859"/>
    <n v="1"/>
    <n v="1"/>
  </r>
  <r>
    <x v="3"/>
    <x v="39"/>
    <x v="149"/>
    <x v="1"/>
    <d v="2025-08-08T16:43:02"/>
    <s v="Fri"/>
    <n v="2025"/>
    <x v="4"/>
    <x v="21"/>
    <d v="2025-08-08T16:43:07"/>
    <n v="34"/>
    <s v="km/h"/>
    <s v="00:00:05"/>
    <n v="8.3333333333333329E-2"/>
    <s v="Nakuru"/>
    <s v="Nakuru"/>
    <m/>
    <m/>
    <s v="-0.57424 , 36.36327"/>
    <s v="-0.57459 , 36.36357"/>
    <n v="0"/>
    <n v="1"/>
  </r>
  <r>
    <x v="3"/>
    <x v="138"/>
    <x v="158"/>
    <x v="1"/>
    <d v="2025-08-08T12:20:34"/>
    <s v="Fri"/>
    <n v="2025"/>
    <x v="4"/>
    <x v="21"/>
    <d v="2025-08-08T12:20:35"/>
    <n v="31"/>
    <s v="km/h"/>
    <s v="00:00:01"/>
    <n v="1.6666666666666666E-2"/>
    <s v="Kericho"/>
    <s v="Kericho"/>
    <m/>
    <m/>
    <s v="-0.17235 , 35.18483"/>
    <s v="-0.17228 , 35.18483"/>
    <n v="0"/>
    <n v="1"/>
  </r>
  <r>
    <x v="2"/>
    <x v="155"/>
    <x v="179"/>
    <x v="2"/>
    <d v="2025-08-08T08:33:24"/>
    <s v="Fri"/>
    <n v="2025"/>
    <x v="4"/>
    <x v="21"/>
    <d v="2025-08-08T08:35:37"/>
    <n v="100"/>
    <s v="km/h"/>
    <s v="00:02:12"/>
    <n v="2.2000000000000002"/>
    <m/>
    <m/>
    <m/>
    <m/>
    <s v="-1.4829, 37.0479"/>
    <s v="-1.4674, 37.0200"/>
    <n v="4"/>
    <n v="1"/>
  </r>
  <r>
    <x v="3"/>
    <x v="160"/>
    <x v="182"/>
    <x v="0"/>
    <d v="2025-08-07T23:00:00"/>
    <s v="Thu"/>
    <n v="2025"/>
    <x v="4"/>
    <x v="21"/>
    <d v="2025-08-07T23:05:47"/>
    <n v="50"/>
    <s v="km"/>
    <s v="00:05:47"/>
    <n v="5.7833333333333332"/>
    <s v="Nakuru"/>
    <s v="Nakuru"/>
    <m/>
    <m/>
    <s v="-0.87893 , 36.49043"/>
    <s v="-0.88483 , 36.49807"/>
    <n v="1"/>
    <n v="1"/>
  </r>
  <r>
    <x v="3"/>
    <x v="52"/>
    <x v="54"/>
    <x v="1"/>
    <d v="2025-08-07T18:50:06"/>
    <s v="Thu"/>
    <n v="2025"/>
    <x v="4"/>
    <x v="21"/>
    <d v="2025-08-07T18:50:35"/>
    <n v="47"/>
    <s v="km/h"/>
    <s v="00:00:29"/>
    <n v="0.48333333333333334"/>
    <s v="Nakuru"/>
    <s v="Nakuru"/>
    <m/>
    <m/>
    <s v="-0.20449 , 35.79793"/>
    <s v="-0.20449 , 35.80089"/>
    <n v="0.2969"/>
    <n v="1"/>
  </r>
  <r>
    <x v="2"/>
    <x v="158"/>
    <x v="181"/>
    <x v="2"/>
    <d v="2025-08-07T10:20:56"/>
    <s v="Thu"/>
    <n v="2025"/>
    <x v="4"/>
    <x v="21"/>
    <d v="2025-08-07T10:22:36"/>
    <n v="100"/>
    <s v="km/h"/>
    <s v="00:01:39"/>
    <n v="1.65"/>
    <m/>
    <m/>
    <m/>
    <m/>
    <s v="-1.5059, 37.0910"/>
    <s v="-1.4963, 37.0702"/>
    <n v="2"/>
    <n v="1"/>
  </r>
  <r>
    <x v="0"/>
    <x v="95"/>
    <x v="99"/>
    <x v="0"/>
    <d v="2025-08-07T03:27:55"/>
    <s v="Thu"/>
    <n v="2025"/>
    <x v="4"/>
    <x v="21"/>
    <d v="2025-08-07T03:59:58"/>
    <n v="24"/>
    <s v="km"/>
    <s v="00:32:03"/>
    <n v="32.049999999999997"/>
    <s v="Machakos"/>
    <s v="Nairobi"/>
    <m/>
    <m/>
    <s v="-1.39449 , 36.93969"/>
    <s v="-1.28108 , 36.82845"/>
    <n v="24"/>
    <n v="1"/>
  </r>
  <r>
    <x v="2"/>
    <x v="155"/>
    <x v="179"/>
    <x v="2"/>
    <d v="2025-08-07T01:31:32"/>
    <s v="Thu"/>
    <n v="2025"/>
    <x v="4"/>
    <x v="21"/>
    <d v="2025-08-07T01:32:42"/>
    <n v="117"/>
    <s v="km/h"/>
    <s v="00:01:09"/>
    <n v="1.1499999999999999"/>
    <m/>
    <m/>
    <m/>
    <m/>
    <s v="-1.8164, 37.2360"/>
    <s v="-1.8310, 37.2445"/>
    <n v="2"/>
    <n v="1"/>
  </r>
  <r>
    <x v="2"/>
    <x v="155"/>
    <x v="179"/>
    <x v="2"/>
    <d v="2025-08-06T21:34:22"/>
    <s v="Wed"/>
    <n v="2025"/>
    <x v="4"/>
    <x v="21"/>
    <d v="2025-08-06T21:36:03"/>
    <n v="93"/>
    <s v="km/h"/>
    <s v="00:01:41"/>
    <n v="1.6833333333333333"/>
    <m/>
    <s v="A2, Mwea West, Kirinyaga County, KE"/>
    <m/>
    <m/>
    <s v="-0.7222, 37.2673"/>
    <s v="-0.7418, 37.2764"/>
    <n v="2"/>
    <n v="1"/>
  </r>
  <r>
    <x v="1"/>
    <x v="48"/>
    <x v="97"/>
    <x v="1"/>
    <d v="2025-08-06T18:56:51"/>
    <s v="Wed"/>
    <n v="2025"/>
    <x v="4"/>
    <x v="21"/>
    <d v="2025-08-06T18:56:53"/>
    <n v="35"/>
    <s v="km/h"/>
    <s v="00:00:02"/>
    <n v="3.3333333333333333E-2"/>
    <s v="Taita-Taveta"/>
    <s v="Taita-Taveta"/>
    <m/>
    <m/>
    <s v="-3.09297 , 38.49303"/>
    <s v="-3.09325 , 38.49308"/>
    <n v="0"/>
    <n v="1"/>
  </r>
  <r>
    <x v="3"/>
    <x v="72"/>
    <x v="73"/>
    <x v="1"/>
    <d v="2025-08-06T17:17:40"/>
    <s v="Wed"/>
    <n v="2025"/>
    <x v="4"/>
    <x v="21"/>
    <d v="2025-08-06T17:17:46"/>
    <n v="33"/>
    <s v="km/h"/>
    <s v="00:00:06"/>
    <n v="0.1"/>
    <s v="Nakuru"/>
    <s v="Nakuru"/>
    <m/>
    <m/>
    <s v="-0.98834 , 36.59287"/>
    <s v="-0.98809 , 36.5924"/>
    <n v="9.9599999999999994E-2"/>
    <n v="1"/>
  </r>
  <r>
    <x v="3"/>
    <x v="138"/>
    <x v="158"/>
    <x v="1"/>
    <d v="2025-08-06T15:19:54"/>
    <s v="Wed"/>
    <n v="2025"/>
    <x v="4"/>
    <x v="21"/>
    <d v="2025-08-06T15:19:54"/>
    <n v="46"/>
    <s v="km/h"/>
    <s v="00:00:00"/>
    <n v="0"/>
    <s v="Nairobi"/>
    <s v="Nairobi"/>
    <m/>
    <m/>
    <s v="-1.24788 , 36.84687"/>
    <s v="-1.24788 , 36.84687"/>
    <n v="0"/>
    <n v="1"/>
  </r>
  <r>
    <x v="2"/>
    <x v="81"/>
    <x v="82"/>
    <x v="2"/>
    <d v="2025-08-06T14:37:06"/>
    <s v="Wed"/>
    <n v="2025"/>
    <x v="4"/>
    <x v="21"/>
    <d v="2025-08-06T14:38:26"/>
    <n v="93"/>
    <s v="km/h"/>
    <s v="00:01:19"/>
    <n v="1.3166666666666667"/>
    <m/>
    <s v="Embu-Nairobi Highway, Kambiti Town, Murang`a South, Murang'a County, KE"/>
    <m/>
    <m/>
    <s v="-0.9282, 37.1836"/>
    <s v="-0.9182, 37.1976"/>
    <n v="2"/>
    <n v="1"/>
  </r>
  <r>
    <x v="1"/>
    <x v="25"/>
    <x v="177"/>
    <x v="0"/>
    <d v="2025-08-05T23:03:12"/>
    <s v="Tue"/>
    <n v="2025"/>
    <x v="4"/>
    <x v="21"/>
    <d v="2025-08-05T23:57:44"/>
    <n v="46"/>
    <s v="km"/>
    <s v="00:54:32"/>
    <n v="54.533333333333331"/>
    <s v="Murang'a"/>
    <s v="Nairobi"/>
    <m/>
    <s v="Total Energies - Opposite Garden City"/>
    <s v="-0.93572 , 37.13825"/>
    <s v="-1.22983 , 36.87947"/>
    <n v="46"/>
    <n v="1"/>
  </r>
  <r>
    <x v="3"/>
    <x v="17"/>
    <x v="18"/>
    <x v="2"/>
    <d v="2025-08-05T20:36:32"/>
    <s v="Tue"/>
    <n v="2025"/>
    <x v="4"/>
    <x v="21"/>
    <d v="2025-08-05T20:36:33"/>
    <n v="81"/>
    <s v="km/h"/>
    <s v="00:00:01"/>
    <n v="1.6666666666666666E-2"/>
    <s v="Murang'a"/>
    <s v="Murang'a"/>
    <m/>
    <m/>
    <s v="-0.96065 , 37.10744"/>
    <s v="-0.96074 , 37.10727"/>
    <n v="0"/>
    <n v="1"/>
  </r>
  <r>
    <x v="2"/>
    <x v="81"/>
    <x v="82"/>
    <x v="2"/>
    <d v="2025-08-05T18:12:31"/>
    <s v="Tue"/>
    <n v="2025"/>
    <x v="4"/>
    <x v="21"/>
    <d v="2025-08-05T18:12:56"/>
    <n v="90"/>
    <s v="km/h"/>
    <s v="00:00:24"/>
    <n v="0.4"/>
    <m/>
    <s v="Thika Road, Kihunguro, Ruiru, Ruiru, Kiambu, 01001, KE"/>
    <m/>
    <m/>
    <s v="-1.1442, 36.9653"/>
    <s v="-1.1495, 36.9622"/>
    <n v="1"/>
    <n v="1"/>
  </r>
  <r>
    <x v="2"/>
    <x v="126"/>
    <x v="144"/>
    <x v="2"/>
    <d v="2025-08-05T17:44:59"/>
    <s v="Tue"/>
    <n v="2025"/>
    <x v="4"/>
    <x v="21"/>
    <d v="2025-08-05T17:45:49"/>
    <n v="95"/>
    <s v="km/h"/>
    <s v="00:00:49"/>
    <n v="0.81666666666666665"/>
    <m/>
    <s v="Kaplong-Narok-Maai Road, Narok South, Narok, KE"/>
    <m/>
    <m/>
    <s v="-1.0018, 35.6292"/>
    <s v="-1.0017, 35.6180"/>
    <n v="1"/>
    <n v="1"/>
  </r>
  <r>
    <x v="0"/>
    <x v="59"/>
    <x v="104"/>
    <x v="2"/>
    <d v="2025-08-05T17:39:16"/>
    <s v="Tue"/>
    <n v="2025"/>
    <x v="4"/>
    <x v="21"/>
    <d v="2025-08-05T17:39:17"/>
    <n v="81"/>
    <s v="km/h"/>
    <s v="00:00:01"/>
    <n v="1.6666666666666666E-2"/>
    <s v="Murang'a"/>
    <s v="Murang'a"/>
    <m/>
    <m/>
    <s v="-1.00494 , 37.07953"/>
    <s v="-1.00511 , 37.07944"/>
    <n v="9.3799999999999994E-2"/>
    <n v="1"/>
  </r>
  <r>
    <x v="2"/>
    <x v="155"/>
    <x v="179"/>
    <x v="2"/>
    <d v="2025-08-05T14:55:10"/>
    <s v="Tue"/>
    <n v="2025"/>
    <x v="4"/>
    <x v="21"/>
    <d v="2025-08-05T15:00:20"/>
    <n v="115"/>
    <s v="km/h"/>
    <s v="00:05:09"/>
    <n v="5.15"/>
    <m/>
    <s v="C102, Loitoktok, Loitokitok, Kajiado County, KE"/>
    <m/>
    <m/>
    <s v="-2.9128, 37.5129"/>
    <s v="-2.8408, 37.5225"/>
    <n v="8"/>
    <n v="1"/>
  </r>
  <r>
    <x v="3"/>
    <x v="50"/>
    <x v="52"/>
    <x v="1"/>
    <d v="2025-08-05T13:33:00"/>
    <s v="Tue"/>
    <n v="2025"/>
    <x v="4"/>
    <x v="21"/>
    <d v="2025-08-05T13:33:01"/>
    <n v="32"/>
    <s v="km/h"/>
    <s v="00:00:01"/>
    <n v="1.6666666666666666E-2"/>
    <s v="Meru"/>
    <s v="Meru"/>
    <m/>
    <m/>
    <s v="0.02079 , 37.69019"/>
    <s v="0.02077 , 37.69028"/>
    <n v="0"/>
    <n v="1"/>
  </r>
  <r>
    <x v="2"/>
    <x v="124"/>
    <x v="141"/>
    <x v="2"/>
    <d v="2025-08-05T11:52:54"/>
    <s v="Tue"/>
    <n v="2025"/>
    <x v="4"/>
    <x v="21"/>
    <d v="2025-08-05T11:54:25"/>
    <n v="89"/>
    <s v="km/h"/>
    <s v="00:01:30"/>
    <n v="1.5"/>
    <m/>
    <s v="Kericho-Kisumu Highway, Kericho, Belgut, Kericho County, 20205, KE"/>
    <m/>
    <m/>
    <s v="-0.3047, 35.1892"/>
    <s v="-0.3082, 35.1703"/>
    <n v="2"/>
    <n v="1"/>
  </r>
  <r>
    <x v="1"/>
    <x v="26"/>
    <x v="56"/>
    <x v="2"/>
    <d v="2025-08-05T11:19:38"/>
    <s v="Tue"/>
    <n v="2025"/>
    <x v="4"/>
    <x v="21"/>
    <d v="2025-08-05T11:19:39"/>
    <n v="81"/>
    <s v="km/h"/>
    <s v="00:00:01"/>
    <n v="1.6666666666666666E-2"/>
    <s v="Kiambu"/>
    <s v="Kiambu"/>
    <m/>
    <m/>
    <s v="-1.17636 , 36.94236"/>
    <s v="-1.17603 , 36.94264"/>
    <n v="0"/>
    <n v="1"/>
  </r>
  <r>
    <x v="1"/>
    <x v="26"/>
    <x v="56"/>
    <x v="2"/>
    <d v="2025-08-05T11:14:21"/>
    <s v="Tue"/>
    <n v="2025"/>
    <x v="4"/>
    <x v="21"/>
    <d v="2025-08-05T11:14:21"/>
    <n v="81"/>
    <s v="km/h"/>
    <s v="00:00:00"/>
    <n v="0"/>
    <s v="Nairobi"/>
    <s v="Nairobi"/>
    <m/>
    <m/>
    <s v="-1.21175 , 36.90467"/>
    <s v="-1.21175 , 36.90467"/>
    <n v="0.125"/>
    <n v="1"/>
  </r>
  <r>
    <x v="0"/>
    <x v="65"/>
    <x v="68"/>
    <x v="1"/>
    <d v="2025-08-05T10:35:20"/>
    <s v="Tue"/>
    <n v="2025"/>
    <x v="4"/>
    <x v="21"/>
    <d v="2025-08-05T10:35:20"/>
    <n v="34"/>
    <s v="km/h"/>
    <s v="00:00:00"/>
    <n v="0"/>
    <s v="Nairobi"/>
    <s v="Nairobi"/>
    <m/>
    <m/>
    <s v="-1.23761 , 36.87061"/>
    <s v="-1.23761 , 36.87061"/>
    <n v="0"/>
    <n v="1"/>
  </r>
  <r>
    <x v="2"/>
    <x v="81"/>
    <x v="82"/>
    <x v="2"/>
    <d v="2025-08-05T07:09:07"/>
    <s v="Tue"/>
    <n v="2025"/>
    <x v="4"/>
    <x v="21"/>
    <d v="2025-08-05T07:10:47"/>
    <n v="100"/>
    <s v="km/h"/>
    <s v="00:01:39"/>
    <n v="1.65"/>
    <m/>
    <s v="Embu-Nairobi Highway, Kambiti Town, Murang`a South, Murang'a County, KE"/>
    <m/>
    <m/>
    <s v="-0.9288, 37.1767"/>
    <s v="-0.9194, 37.1962"/>
    <n v="2"/>
    <n v="1"/>
  </r>
  <r>
    <x v="2"/>
    <x v="155"/>
    <x v="179"/>
    <x v="2"/>
    <d v="2025-08-05T07:05:51"/>
    <s v="Tue"/>
    <n v="2025"/>
    <x v="4"/>
    <x v="21"/>
    <d v="2025-08-05T07:06:58"/>
    <n v="98"/>
    <s v="km/h"/>
    <s v="00:01:07"/>
    <n v="1.1166666666666667"/>
    <m/>
    <s v="A23, Ziwani, Taveta, Taita–Taveta, Coastal Kenya, KE"/>
    <m/>
    <m/>
    <s v="-3.3944, 37.8321"/>
    <s v="-3.3948, 37.8157"/>
    <n v="2"/>
    <n v="1"/>
  </r>
  <r>
    <x v="3"/>
    <x v="54"/>
    <x v="57"/>
    <x v="3"/>
    <d v="2025-08-05T05:25:00"/>
    <s v="Tue"/>
    <n v="2025"/>
    <x v="4"/>
    <x v="21"/>
    <d v="2025-08-05T05:25:01"/>
    <n v="16"/>
    <s v="km/h/s"/>
    <s v="00:00:01"/>
    <n v="1.6666666666666666E-2"/>
    <s v="Kiambu"/>
    <m/>
    <m/>
    <m/>
    <s v="-1.15949 , 36.63971"/>
    <m/>
    <n v="0"/>
    <n v="1"/>
  </r>
  <r>
    <x v="0"/>
    <x v="161"/>
    <x v="183"/>
    <x v="2"/>
    <d v="2025-08-04T16:47:20"/>
    <s v="Mon"/>
    <n v="2025"/>
    <x v="4"/>
    <x v="21"/>
    <d v="2025-08-04T16:47:24"/>
    <n v="83"/>
    <s v="km/h"/>
    <s v="00:00:04"/>
    <n v="6.6666666666666666E-2"/>
    <s v="Nairobi"/>
    <s v="Nairobi"/>
    <s v="DHL-Kasarani"/>
    <s v="DHL-Kasarani"/>
    <s v="-1.22611 , 36.88411"/>
    <s v="-1.22542 , 36.88508"/>
    <n v="6.25E-2"/>
    <n v="1"/>
  </r>
  <r>
    <x v="0"/>
    <x v="161"/>
    <x v="183"/>
    <x v="2"/>
    <d v="2025-08-04T16:47:13"/>
    <s v="Mon"/>
    <n v="2025"/>
    <x v="4"/>
    <x v="21"/>
    <d v="2025-08-04T16:47:13"/>
    <n v="81"/>
    <s v="km/h"/>
    <s v="00:00:00"/>
    <n v="0"/>
    <s v="Nairobi"/>
    <s v="Nairobi"/>
    <s v="DHL-Kasarani"/>
    <s v="DHL-Kasarani"/>
    <s v="-1.22694 , 36.88292"/>
    <s v="-1.22694 , 36.88292"/>
    <n v="0"/>
    <n v="1"/>
  </r>
  <r>
    <x v="2"/>
    <x v="49"/>
    <x v="51"/>
    <x v="2"/>
    <d v="2025-08-04T13:55:53"/>
    <s v="Mon"/>
    <n v="2025"/>
    <x v="4"/>
    <x v="21"/>
    <d v="2025-08-04T13:56:54"/>
    <n v="119"/>
    <s v="km/h"/>
    <s v="00:01:00"/>
    <n v="1"/>
    <m/>
    <s v="Kisii-Kisumu Road, Chabera, Kabondo Kasipul, Homa Bay County, Nyanza, KE"/>
    <m/>
    <m/>
    <s v="-0.4254, 34.9762"/>
    <s v="-0.4258, 34.9904"/>
    <n v="2"/>
    <n v="1"/>
  </r>
  <r>
    <x v="2"/>
    <x v="124"/>
    <x v="141"/>
    <x v="2"/>
    <d v="2025-08-04T13:47:54"/>
    <s v="Mon"/>
    <n v="2025"/>
    <x v="4"/>
    <x v="21"/>
    <d v="2025-08-04T13:49:25"/>
    <n v="94"/>
    <s v="km/h"/>
    <s v="00:01:31"/>
    <n v="1.5166666666666666"/>
    <m/>
    <s v="Naivasha-Mai Mahiu-Limuru Rd., Junction Maili Mbili, Naivasha, Nakuru, KE"/>
    <m/>
    <m/>
    <s v="-0.7647, 36.4472"/>
    <s v="-0.7461, 36.4408"/>
    <n v="2"/>
    <n v="1"/>
  </r>
  <r>
    <x v="1"/>
    <x v="142"/>
    <x v="37"/>
    <x v="1"/>
    <d v="2025-08-04T12:40:20"/>
    <s v="Mon"/>
    <n v="2025"/>
    <x v="4"/>
    <x v="21"/>
    <d v="2025-08-04T12:40:23"/>
    <n v="36"/>
    <s v="km/h"/>
    <s v="00:00:03"/>
    <n v="0.05"/>
    <s v="Kericho"/>
    <s v="Kericho"/>
    <m/>
    <m/>
    <s v="-0.36853 , 35.26047"/>
    <s v="-0.36881 , 35.26075"/>
    <n v="0"/>
    <n v="1"/>
  </r>
  <r>
    <x v="2"/>
    <x v="162"/>
    <x v="184"/>
    <x v="2"/>
    <d v="2025-08-04T10:01:36"/>
    <s v="Mon"/>
    <n v="2025"/>
    <x v="4"/>
    <x v="21"/>
    <d v="2025-08-04T10:02:36"/>
    <n v="105"/>
    <s v="km/h"/>
    <s v="00:00:59"/>
    <n v="0.98333333333333328"/>
    <m/>
    <s v="Eldoret Bypass, Kapseret, Uasin Gishu County, KE"/>
    <m/>
    <m/>
    <s v="0.4981, 35.1944"/>
    <s v="0.5099, 35.1873"/>
    <n v="2"/>
    <n v="1"/>
  </r>
  <r>
    <x v="2"/>
    <x v="81"/>
    <x v="82"/>
    <x v="2"/>
    <d v="2025-08-04T06:02:34"/>
    <s v="Mon"/>
    <n v="2025"/>
    <x v="4"/>
    <x v="21"/>
    <d v="2025-08-04T06:02:51"/>
    <n v="91"/>
    <s v="km/h"/>
    <s v="00:00:16"/>
    <n v="0.26666666666666666"/>
    <m/>
    <s v="Meru-Nairobi Highway, Kenol, Gatanga, Murang'a County, KE"/>
    <m/>
    <m/>
    <s v="-0.9619, 37.1043"/>
    <s v="-0.9601, 37.1082"/>
    <n v="0"/>
    <n v="1"/>
  </r>
  <r>
    <x v="2"/>
    <x v="155"/>
    <x v="179"/>
    <x v="2"/>
    <d v="2025-08-03T23:30:20"/>
    <s v="Sun"/>
    <n v="2025"/>
    <x v="4"/>
    <x v="21"/>
    <d v="2025-08-03T23:31:00"/>
    <n v="99"/>
    <s v="km/h"/>
    <s v="00:00:39"/>
    <n v="0.65"/>
    <m/>
    <s v="Kitui, Kitui Central, Kitui County, KE"/>
    <m/>
    <m/>
    <s v="-1.3633, 37.9961"/>
    <s v="-1.3724, 37.9974"/>
    <n v="1"/>
    <n v="1"/>
  </r>
  <r>
    <x v="3"/>
    <x v="17"/>
    <x v="18"/>
    <x v="0"/>
    <d v="2025-08-03T23:00:00"/>
    <s v="Sun"/>
    <n v="2025"/>
    <x v="4"/>
    <x v="21"/>
    <d v="2025-08-04T01:16:28"/>
    <n v="257"/>
    <s v="km"/>
    <s v="02:16:28"/>
    <n v="136.46666666666667"/>
    <s v="Kirinyaga"/>
    <s v="Nairobi"/>
    <m/>
    <s v="Total Energies - Opposite Garden City"/>
    <s v="-0.61399 , 37.36243"/>
    <s v="-1.22992 , 36.87946"/>
    <n v="101"/>
    <n v="1"/>
  </r>
  <r>
    <x v="3"/>
    <x v="160"/>
    <x v="185"/>
    <x v="0"/>
    <d v="2025-08-03T23:00:00"/>
    <s v="Sun"/>
    <n v="2025"/>
    <x v="4"/>
    <x v="21"/>
    <d v="2025-08-03T23:11:53"/>
    <n v="25"/>
    <s v="km"/>
    <s v="00:11:53"/>
    <n v="11.883333333333333"/>
    <s v="Nakuru"/>
    <s v="Nakuru"/>
    <m/>
    <m/>
    <s v="-0.29491 , 36.12753"/>
    <s v="-0.32949 , 36.15779"/>
    <n v="6"/>
    <n v="1"/>
  </r>
  <r>
    <x v="1"/>
    <x v="32"/>
    <x v="142"/>
    <x v="1"/>
    <d v="2025-08-03T19:28:36"/>
    <s v="Sun"/>
    <n v="2025"/>
    <x v="4"/>
    <x v="21"/>
    <d v="2025-08-03T19:28:39"/>
    <n v="34"/>
    <s v="km/h"/>
    <s v="00:00:03"/>
    <n v="0.05"/>
    <s v="Nairobi"/>
    <s v="Nairobi"/>
    <s v="Total Energies - Opposite Garden City"/>
    <s v="Total Energies - Opposite Garden City"/>
    <s v="-1.23175 , 36.87725"/>
    <s v="-1.23192 , 36.87703"/>
    <n v="0.125"/>
    <n v="1"/>
  </r>
  <r>
    <x v="1"/>
    <x v="48"/>
    <x v="50"/>
    <x v="1"/>
    <d v="2025-08-03T18:20:12"/>
    <s v="Sun"/>
    <n v="2025"/>
    <x v="4"/>
    <x v="21"/>
    <d v="2025-08-03T18:20:12"/>
    <n v="33"/>
    <s v="km/h"/>
    <s v="00:00:00"/>
    <n v="0"/>
    <s v="Nairobi"/>
    <s v="Nairobi"/>
    <m/>
    <m/>
    <s v="-1.25575 , 36.96819"/>
    <s v="-1.25575 , 36.96819"/>
    <n v="0"/>
    <n v="1"/>
  </r>
  <r>
    <x v="1"/>
    <x v="48"/>
    <x v="50"/>
    <x v="1"/>
    <d v="2025-08-03T17:53:43"/>
    <s v="Sun"/>
    <n v="2025"/>
    <x v="4"/>
    <x v="21"/>
    <d v="2025-08-03T17:53:43"/>
    <n v="34"/>
    <s v="km/h"/>
    <s v="00:00:00"/>
    <n v="0"/>
    <s v="Nairobi"/>
    <s v="Nairobi"/>
    <m/>
    <m/>
    <s v="-1.31878 , 36.90844"/>
    <s v="-1.31878 , 36.90844"/>
    <n v="0"/>
    <n v="1"/>
  </r>
  <r>
    <x v="1"/>
    <x v="48"/>
    <x v="50"/>
    <x v="1"/>
    <d v="2025-08-03T17:14:43"/>
    <s v="Sun"/>
    <n v="2025"/>
    <x v="4"/>
    <x v="21"/>
    <d v="2025-08-03T17:14:43"/>
    <n v="31"/>
    <s v="km/h"/>
    <s v="00:00:00"/>
    <n v="0"/>
    <s v="Nairobi"/>
    <s v="Nairobi"/>
    <m/>
    <m/>
    <s v="-1.34469 , 36.90067"/>
    <s v="-1.34469 , 36.90067"/>
    <n v="0"/>
    <n v="1"/>
  </r>
  <r>
    <x v="1"/>
    <x v="48"/>
    <x v="50"/>
    <x v="1"/>
    <d v="2025-08-03T17:06:35"/>
    <s v="Sun"/>
    <n v="2025"/>
    <x v="4"/>
    <x v="21"/>
    <d v="2025-08-03T17:06:35"/>
    <n v="35"/>
    <s v="km/h"/>
    <s v="00:00:00"/>
    <n v="0"/>
    <s v="Machakos"/>
    <s v="Machakos"/>
    <m/>
    <m/>
    <s v="-1.38053 , 36.92878"/>
    <s v="-1.38053 , 36.92878"/>
    <n v="9.3799999999999994E-2"/>
    <n v="1"/>
  </r>
  <r>
    <x v="1"/>
    <x v="48"/>
    <x v="50"/>
    <x v="1"/>
    <d v="2025-08-03T16:07:29"/>
    <s v="Sun"/>
    <n v="2025"/>
    <x v="4"/>
    <x v="21"/>
    <d v="2025-08-03T16:07:30"/>
    <n v="38"/>
    <s v="km/h"/>
    <s v="00:00:01"/>
    <n v="1.6666666666666666E-2"/>
    <s v="Machakos"/>
    <s v="Machakos"/>
    <m/>
    <m/>
    <s v="-1.57019 , 37.15194"/>
    <s v="-1.56994 , 37.15183"/>
    <n v="0"/>
    <n v="1"/>
  </r>
  <r>
    <x v="2"/>
    <x v="81"/>
    <x v="82"/>
    <x v="2"/>
    <d v="2025-08-03T14:14:35"/>
    <s v="Sun"/>
    <n v="2025"/>
    <x v="4"/>
    <x v="21"/>
    <d v="2025-08-03T14:15:30"/>
    <n v="108"/>
    <s v="km/h"/>
    <s v="00:00:54"/>
    <n v="0.9"/>
    <m/>
    <s v="Limuru Road, Redhill, Kabuku, Ngecha Tigoni ward, Limuru, Kiambu, 11403, KE"/>
    <m/>
    <m/>
    <s v="-1.1337, 36.6536"/>
    <s v="-1.1440, 36.6620"/>
    <n v="2"/>
    <n v="1"/>
  </r>
  <r>
    <x v="1"/>
    <x v="48"/>
    <x v="50"/>
    <x v="1"/>
    <d v="2025-08-03T13:18:57"/>
    <s v="Sun"/>
    <n v="2025"/>
    <x v="4"/>
    <x v="21"/>
    <d v="2025-08-03T13:18:57"/>
    <n v="32"/>
    <s v="km/h"/>
    <s v="00:00:00"/>
    <n v="0"/>
    <s v="Kajiado"/>
    <s v="Kajiado"/>
    <m/>
    <m/>
    <s v="-2.16408 , 37.60936"/>
    <s v="-2.16408 , 37.60936"/>
    <n v="0"/>
    <n v="1"/>
  </r>
  <r>
    <x v="1"/>
    <x v="48"/>
    <x v="50"/>
    <x v="1"/>
    <d v="2025-08-03T13:10:05"/>
    <s v="Sun"/>
    <n v="2025"/>
    <x v="4"/>
    <x v="21"/>
    <d v="2025-08-03T13:10:05"/>
    <n v="36"/>
    <s v="km/h"/>
    <s v="00:00:00"/>
    <n v="0"/>
    <s v="Kajiado"/>
    <s v="Kajiado"/>
    <m/>
    <m/>
    <s v="-2.19028 , 37.66492"/>
    <s v="-2.19028 , 37.66492"/>
    <n v="0.125"/>
    <n v="1"/>
  </r>
  <r>
    <x v="1"/>
    <x v="48"/>
    <x v="50"/>
    <x v="1"/>
    <d v="2025-08-03T12:15:57"/>
    <s v="Sun"/>
    <n v="2025"/>
    <x v="4"/>
    <x v="21"/>
    <d v="2025-08-03T12:15:57"/>
    <n v="31"/>
    <s v="km/h"/>
    <s v="00:00:00"/>
    <n v="0"/>
    <s v="Makueni"/>
    <s v="Makueni"/>
    <m/>
    <m/>
    <s v="-2.38153 , 37.90308"/>
    <s v="-2.38153 , 37.90308"/>
    <n v="0"/>
    <n v="1"/>
  </r>
  <r>
    <x v="3"/>
    <x v="72"/>
    <x v="73"/>
    <x v="1"/>
    <d v="2025-08-03T12:06:14"/>
    <s v="Sun"/>
    <n v="2025"/>
    <x v="4"/>
    <x v="21"/>
    <d v="2025-08-03T12:06:16"/>
    <n v="34"/>
    <s v="km/h"/>
    <s v="00:00:02"/>
    <n v="3.3333333333333333E-2"/>
    <s v="Nakuru"/>
    <s v="Nakuru"/>
    <m/>
    <m/>
    <s v="-0.24464 , 35.92992"/>
    <s v="-0.24461 , 35.92966"/>
    <n v="0"/>
    <n v="1"/>
  </r>
  <r>
    <x v="1"/>
    <x v="12"/>
    <x v="12"/>
    <x v="1"/>
    <d v="2025-08-03T11:50:31"/>
    <s v="Sun"/>
    <n v="2025"/>
    <x v="4"/>
    <x v="21"/>
    <d v="2025-08-03T11:50:31"/>
    <n v="31"/>
    <s v="km/h"/>
    <s v="00:00:00"/>
    <n v="0"/>
    <s v="Nakuru"/>
    <s v="Nakuru"/>
    <m/>
    <m/>
    <s v="-0.57239 , 36.36153"/>
    <s v="-0.57239 , 36.36153"/>
    <n v="0"/>
    <n v="1"/>
  </r>
  <r>
    <x v="1"/>
    <x v="48"/>
    <x v="50"/>
    <x v="1"/>
    <d v="2025-08-03T11:33:35"/>
    <s v="Sun"/>
    <n v="2025"/>
    <x v="4"/>
    <x v="21"/>
    <d v="2025-08-03T11:33:37"/>
    <n v="31"/>
    <s v="km/h"/>
    <s v="00:00:02"/>
    <n v="3.3333333333333333E-2"/>
    <s v="Makueni"/>
    <s v="Makueni"/>
    <m/>
    <m/>
    <s v="-2.60119 , 38.06722"/>
    <s v="-2.601 , 38.06717"/>
    <n v="0"/>
    <n v="1"/>
  </r>
  <r>
    <x v="0"/>
    <x v="135"/>
    <x v="155"/>
    <x v="1"/>
    <d v="2025-08-03T11:24:43"/>
    <s v="Sun"/>
    <n v="2025"/>
    <x v="4"/>
    <x v="21"/>
    <d v="2025-08-03T11:24:44"/>
    <n v="49"/>
    <s v="km/h"/>
    <s v="00:00:01"/>
    <n v="1.6666666666666666E-2"/>
    <s v="Nairobi"/>
    <s v="Nairobi"/>
    <m/>
    <m/>
    <s v="-1.2998 , 36.88589"/>
    <s v="-1.29958 , 36.88596"/>
    <n v="0"/>
    <n v="1"/>
  </r>
  <r>
    <x v="3"/>
    <x v="50"/>
    <x v="52"/>
    <x v="1"/>
    <d v="2025-08-03T10:48:23"/>
    <s v="Sun"/>
    <n v="2025"/>
    <x v="4"/>
    <x v="21"/>
    <d v="2025-08-03T10:48:26"/>
    <n v="47"/>
    <s v="km/h"/>
    <s v="00:00:03"/>
    <n v="0.05"/>
    <s v="Makueni"/>
    <s v="Makueni"/>
    <m/>
    <m/>
    <s v="-2.4104 , 37.94405"/>
    <s v="-2.41046 , 37.94456"/>
    <n v="6.25E-2"/>
    <n v="1"/>
  </r>
  <r>
    <x v="3"/>
    <x v="39"/>
    <x v="149"/>
    <x v="2"/>
    <d v="2025-08-03T08:57:35"/>
    <s v="Sun"/>
    <n v="2025"/>
    <x v="4"/>
    <x v="21"/>
    <d v="2025-08-03T08:57:37"/>
    <n v="81"/>
    <s v="km/h"/>
    <s v="00:00:02"/>
    <n v="3.3333333333333333E-2"/>
    <s v="Kericho"/>
    <s v="Kericho"/>
    <m/>
    <m/>
    <s v="-0.16887 , 35.66093"/>
    <s v="-0.16893 , 35.66034"/>
    <n v="9.3700000000000006E-2"/>
    <n v="1"/>
  </r>
  <r>
    <x v="1"/>
    <x v="48"/>
    <x v="50"/>
    <x v="1"/>
    <d v="2025-08-03T08:00:37"/>
    <s v="Sun"/>
    <n v="2025"/>
    <x v="4"/>
    <x v="21"/>
    <d v="2025-08-03T08:01:03"/>
    <n v="36"/>
    <s v="km/h"/>
    <s v="00:00:26"/>
    <n v="0.43333333333333335"/>
    <s v="Taita-Taveta"/>
    <s v="Taita-Taveta"/>
    <m/>
    <m/>
    <s v="-3.39983 , 38.54886"/>
    <s v="-3.39883 , 38.54681"/>
    <n v="0.3125"/>
    <n v="1"/>
  </r>
  <r>
    <x v="3"/>
    <x v="52"/>
    <x v="54"/>
    <x v="3"/>
    <d v="2025-08-03T06:55:01"/>
    <s v="Sun"/>
    <n v="2025"/>
    <x v="4"/>
    <x v="21"/>
    <d v="2025-08-03T06:55:02"/>
    <n v="29"/>
    <s v="km/h/s"/>
    <s v="00:00:01"/>
    <n v="1.6666666666666666E-2"/>
    <s v="Nakuru"/>
    <m/>
    <m/>
    <m/>
    <s v="-0.87802 , 36.48924"/>
    <m/>
    <n v="0"/>
    <n v="1"/>
  </r>
  <r>
    <x v="3"/>
    <x v="138"/>
    <x v="158"/>
    <x v="1"/>
    <d v="2025-08-03T05:08:25"/>
    <s v="Sun"/>
    <n v="2025"/>
    <x v="4"/>
    <x v="21"/>
    <d v="2025-08-03T05:08:59"/>
    <n v="72"/>
    <s v="km/h"/>
    <s v="00:00:34"/>
    <n v="0.56666666666666665"/>
    <s v="Nairobi"/>
    <s v="Nairobi"/>
    <m/>
    <m/>
    <s v="-1.23505 , 36.87296"/>
    <s v="-1.23989 , 36.86998"/>
    <n v="0.625"/>
    <n v="1"/>
  </r>
  <r>
    <x v="3"/>
    <x v="69"/>
    <x v="71"/>
    <x v="0"/>
    <d v="2025-08-03T02:52:39"/>
    <s v="Sun"/>
    <n v="2025"/>
    <x v="4"/>
    <x v="21"/>
    <d v="2025-08-03T03:59:58"/>
    <n v="40"/>
    <s v="km"/>
    <s v="01:07:19"/>
    <n v="67.316666666666663"/>
    <s v="Nairobi"/>
    <s v="Kiambu"/>
    <m/>
    <m/>
    <s v="-1.23468 , 36.87335"/>
    <s v="-1.13422 , 36.65615"/>
    <n v="35"/>
    <n v="1"/>
  </r>
  <r>
    <x v="3"/>
    <x v="39"/>
    <x v="149"/>
    <x v="0"/>
    <d v="2025-08-03T02:52:31"/>
    <s v="Sun"/>
    <n v="2025"/>
    <x v="4"/>
    <x v="21"/>
    <d v="2025-08-03T03:59:58"/>
    <n v="39"/>
    <s v="km"/>
    <s v="01:07:27"/>
    <n v="67.45"/>
    <s v="Nairobi"/>
    <s v="Kiambu"/>
    <m/>
    <m/>
    <s v="-1.23474 , 36.87338"/>
    <s v="-1.13459 , 36.65679"/>
    <n v="34"/>
    <n v="1"/>
  </r>
  <r>
    <x v="3"/>
    <x v="160"/>
    <x v="185"/>
    <x v="0"/>
    <d v="2025-08-02T23:00:00"/>
    <s v="Sat"/>
    <n v="2025"/>
    <x v="4"/>
    <x v="22"/>
    <d v="2025-08-02T23:44:10"/>
    <n v="46"/>
    <s v="km"/>
    <s v="00:44:10"/>
    <n v="44.166666666666664"/>
    <s v="Kiambu"/>
    <s v="Nakuru"/>
    <m/>
    <m/>
    <s v="-1.03726 , 36.60138"/>
    <s v="-0.88455 , 36.49768"/>
    <n v="22"/>
    <n v="1"/>
  </r>
  <r>
    <x v="3"/>
    <x v="52"/>
    <x v="54"/>
    <x v="0"/>
    <d v="2025-08-02T23:00:00"/>
    <s v="Sat"/>
    <n v="2025"/>
    <x v="4"/>
    <x v="22"/>
    <d v="2025-08-02T23:11:34"/>
    <n v="164"/>
    <s v="km"/>
    <s v="00:11:34"/>
    <n v="11.566666666666666"/>
    <s v="Nakuru"/>
    <s v="Nakuru"/>
    <m/>
    <m/>
    <s v="-0.19933 , 35.82775"/>
    <s v="-0.20684 , 35.851"/>
    <n v="3"/>
    <n v="1"/>
  </r>
  <r>
    <x v="2"/>
    <x v="81"/>
    <x v="82"/>
    <x v="2"/>
    <d v="2025-08-02T22:29:48"/>
    <s v="Sat"/>
    <n v="2025"/>
    <x v="4"/>
    <x v="22"/>
    <d v="2025-08-02T22:30:25"/>
    <n v="108"/>
    <s v="km/h"/>
    <s v="00:00:37"/>
    <n v="0.6166666666666667"/>
    <m/>
    <s v="Kericho-Kisumu Highway, Londiani Junction, Chepseon, Kipkelion East, Kericho County, 20200, KE"/>
    <m/>
    <m/>
    <s v="-0.2675, 35.4427"/>
    <s v="-0.2657, 35.4540"/>
    <n v="1"/>
    <n v="1"/>
  </r>
  <r>
    <x v="1"/>
    <x v="32"/>
    <x v="142"/>
    <x v="1"/>
    <d v="2025-08-02T20:50:21"/>
    <s v="Sat"/>
    <n v="2025"/>
    <x v="4"/>
    <x v="22"/>
    <d v="2025-08-02T20:50:25"/>
    <n v="40"/>
    <s v="km/h"/>
    <s v="00:00:04"/>
    <n v="6.6666666666666666E-2"/>
    <s v="Meru"/>
    <s v="Meru"/>
    <m/>
    <m/>
    <s v="-0.01392 , 37.72853"/>
    <s v="-0.01342 , 37.72847"/>
    <n v="0"/>
    <n v="1"/>
  </r>
  <r>
    <x v="0"/>
    <x v="127"/>
    <x v="186"/>
    <x v="4"/>
    <d v="2025-08-02T16:47:16"/>
    <s v="Sat"/>
    <n v="2025"/>
    <x v="4"/>
    <x v="22"/>
    <d v="2025-08-02T16:47:17"/>
    <n v="14"/>
    <s v="km/h/s"/>
    <s v="00:00:01"/>
    <n v="1.6666666666666666E-2"/>
    <s v="Nairobi"/>
    <m/>
    <m/>
    <m/>
    <s v="-1.19332 , 36.92662"/>
    <m/>
    <n v="0"/>
    <n v="1"/>
  </r>
  <r>
    <x v="2"/>
    <x v="155"/>
    <x v="179"/>
    <x v="2"/>
    <d v="2025-08-02T15:39:21"/>
    <s v="Sat"/>
    <n v="2025"/>
    <x v="4"/>
    <x v="22"/>
    <d v="2025-08-02T15:39:34"/>
    <n v="96"/>
    <s v="km/h"/>
    <s v="00:00:12"/>
    <n v="0.2"/>
    <m/>
    <s v="Meru-Nairobi Highway, Keria, Mwimbi, Tharaka-Nithi, KE"/>
    <m/>
    <m/>
    <s v="-0.2254, 37.6559"/>
    <s v="-0.2212, 37.6565"/>
    <n v="0"/>
    <n v="1"/>
  </r>
  <r>
    <x v="0"/>
    <x v="34"/>
    <x v="35"/>
    <x v="3"/>
    <d v="2025-08-02T14:19:21"/>
    <s v="Sat"/>
    <n v="2025"/>
    <x v="4"/>
    <x v="22"/>
    <d v="2025-08-02T14:19:22"/>
    <n v="27"/>
    <s v="km/h/s"/>
    <s v="00:00:01"/>
    <n v="1.6666666666666666E-2"/>
    <s v="Machakos"/>
    <m/>
    <m/>
    <m/>
    <s v="-0.84702 , 37.23262"/>
    <m/>
    <n v="0"/>
    <n v="1"/>
  </r>
  <r>
    <x v="2"/>
    <x v="157"/>
    <x v="180"/>
    <x v="2"/>
    <d v="2025-08-02T11:50:20"/>
    <s v="Sat"/>
    <n v="2025"/>
    <x v="4"/>
    <x v="22"/>
    <d v="2025-08-02T11:50:50"/>
    <n v="98"/>
    <s v="km/h"/>
    <s v="00:00:29"/>
    <n v="0.48333333333333334"/>
    <m/>
    <s v="Mombasa Road, Salama, Kilome, Makueni, KE"/>
    <m/>
    <m/>
    <s v="-1.8216, 37.2389"/>
    <s v="-1.8279, 37.2420"/>
    <n v="1"/>
    <n v="1"/>
  </r>
  <r>
    <x v="1"/>
    <x v="19"/>
    <x v="116"/>
    <x v="1"/>
    <d v="2025-08-02T10:57:06"/>
    <s v="Sat"/>
    <n v="2025"/>
    <x v="4"/>
    <x v="22"/>
    <d v="2025-08-02T10:57:11"/>
    <n v="38"/>
    <s v="km/h"/>
    <s v="00:00:05"/>
    <n v="8.3333333333333329E-2"/>
    <s v="Kericho"/>
    <s v="Kericho"/>
    <m/>
    <m/>
    <s v="-0.30725 , 35.17725"/>
    <s v="-0.30719 , 35.17675"/>
    <n v="0.125"/>
    <n v="1"/>
  </r>
  <r>
    <x v="2"/>
    <x v="134"/>
    <x v="154"/>
    <x v="2"/>
    <d v="2025-08-02T10:18:46"/>
    <s v="Sat"/>
    <n v="2025"/>
    <x v="4"/>
    <x v="22"/>
    <d v="2025-08-02T10:20:57"/>
    <n v="108"/>
    <s v="km/h"/>
    <s v="00:02:10"/>
    <n v="2.1666666666666665"/>
    <m/>
    <s v="Mayweather Suites, Limuru Road, Ruaka, Kiambaa, Kiambu, 11403, KE"/>
    <m/>
    <m/>
    <s v="-1.1932, 36.7485"/>
    <s v="-1.2051, 36.7772"/>
    <n v="4"/>
    <n v="1"/>
  </r>
  <r>
    <x v="2"/>
    <x v="155"/>
    <x v="179"/>
    <x v="2"/>
    <d v="2025-08-02T04:47:50"/>
    <s v="Sat"/>
    <n v="2025"/>
    <x v="4"/>
    <x v="22"/>
    <d v="2025-08-02T04:49:40"/>
    <n v="103"/>
    <s v="km/h"/>
    <s v="00:01:49"/>
    <n v="1.8166666666666667"/>
    <m/>
    <s v="A8, Mavoko, Machakos County, KE"/>
    <m/>
    <m/>
    <s v="-1.5069, 37.0925"/>
    <s v="-1.4962, 37.0694"/>
    <n v="3"/>
    <n v="1"/>
  </r>
  <r>
    <x v="3"/>
    <x v="54"/>
    <x v="57"/>
    <x v="1"/>
    <d v="2025-08-02T04:39:44"/>
    <s v="Sat"/>
    <n v="2025"/>
    <x v="4"/>
    <x v="22"/>
    <d v="2025-08-02T04:39:45"/>
    <n v="34"/>
    <s v="km/h"/>
    <s v="00:00:01"/>
    <n v="1.6666666666666666E-2"/>
    <s v="Nakuru"/>
    <s v="Nakuru"/>
    <m/>
    <m/>
    <s v="-0.28937 , 36.0513"/>
    <s v="-0.28943 , 36.05147"/>
    <n v="9.3700000000000006E-2"/>
    <n v="1"/>
  </r>
  <r>
    <x v="1"/>
    <x v="48"/>
    <x v="50"/>
    <x v="1"/>
    <d v="2025-08-01T16:12:49"/>
    <s v="Fri"/>
    <n v="2025"/>
    <x v="4"/>
    <x v="22"/>
    <d v="2025-08-01T16:12:52"/>
    <n v="37"/>
    <s v="km/h"/>
    <s v="00:00:03"/>
    <n v="0.05"/>
    <s v="Makueni"/>
    <s v="Makueni"/>
    <m/>
    <m/>
    <s v="-2.67361 , 38.14311"/>
    <s v="-2.67372 , 38.14344"/>
    <n v="9.3799999999999994E-2"/>
    <n v="1"/>
  </r>
  <r>
    <x v="1"/>
    <x v="12"/>
    <x v="12"/>
    <x v="1"/>
    <d v="2025-08-01T11:59:15"/>
    <s v="Fri"/>
    <n v="2025"/>
    <x v="4"/>
    <x v="22"/>
    <d v="2025-08-01T11:59:16"/>
    <n v="32"/>
    <s v="km/h"/>
    <s v="00:00:01"/>
    <n v="1.6666666666666666E-2"/>
    <s v="Nakuru"/>
    <s v="Nakuru"/>
    <m/>
    <m/>
    <s v="-0.82517 , 36.47033"/>
    <s v="-0.82494 , 36.47025"/>
    <n v="0"/>
    <n v="1"/>
  </r>
  <r>
    <x v="3"/>
    <x v="52"/>
    <x v="54"/>
    <x v="1"/>
    <d v="2025-08-01T05:25:19"/>
    <s v="Fri"/>
    <n v="2025"/>
    <x v="4"/>
    <x v="22"/>
    <d v="2025-08-01T05:25:23"/>
    <n v="35"/>
    <s v="km/h"/>
    <s v="00:00:04"/>
    <n v="6.6666666666666666E-2"/>
    <s v="Kiambu"/>
    <s v="Kiambu"/>
    <m/>
    <m/>
    <s v="-1.11966 , 36.62323"/>
    <s v="-1.11943 , 36.62288"/>
    <n v="9.3700000000000006E-2"/>
    <n v="1"/>
  </r>
  <r>
    <x v="3"/>
    <x v="69"/>
    <x v="71"/>
    <x v="0"/>
    <d v="2025-07-31T23:00:00"/>
    <s v="Thu"/>
    <n v="2025"/>
    <x v="5"/>
    <x v="22"/>
    <d v="2025-07-31T23:10:43"/>
    <n v="257"/>
    <s v="km"/>
    <s v="00:10:43"/>
    <n v="10.716666666666667"/>
    <s v="Kericho"/>
    <s v="Kericho"/>
    <m/>
    <m/>
    <s v="-0.21144 , 35.41427"/>
    <s v="-0.21409 , 35.40343"/>
    <n v="1"/>
    <n v="1"/>
  </r>
  <r>
    <x v="1"/>
    <x v="163"/>
    <x v="55"/>
    <x v="1"/>
    <d v="2025-07-31T20:26:26"/>
    <s v="Thu"/>
    <n v="2025"/>
    <x v="5"/>
    <x v="22"/>
    <d v="2025-07-31T20:26:37"/>
    <n v="37"/>
    <s v="km/h"/>
    <s v="00:00:11"/>
    <n v="0.18333333333333332"/>
    <s v="Kiambu"/>
    <s v="Kiambu"/>
    <m/>
    <m/>
    <s v="-1.00619 , 36.60222"/>
    <s v="-1.00519 , 36.60194"/>
    <n v="9.3700000000000006E-2"/>
    <n v="1"/>
  </r>
  <r>
    <x v="1"/>
    <x v="163"/>
    <x v="55"/>
    <x v="1"/>
    <d v="2025-07-31T20:23:28"/>
    <s v="Thu"/>
    <n v="2025"/>
    <x v="5"/>
    <x v="22"/>
    <d v="2025-07-31T20:23:28"/>
    <n v="31"/>
    <s v="km/h"/>
    <s v="00:00:00"/>
    <n v="0"/>
    <s v="Kiambu"/>
    <s v="Kiambu"/>
    <m/>
    <m/>
    <s v="-1.01717 , 36.60142"/>
    <s v="-1.01717 , 36.60142"/>
    <n v="0"/>
    <n v="1"/>
  </r>
  <r>
    <x v="1"/>
    <x v="163"/>
    <x v="55"/>
    <x v="1"/>
    <d v="2025-07-31T20:23:15"/>
    <s v="Thu"/>
    <n v="2025"/>
    <x v="5"/>
    <x v="22"/>
    <d v="2025-07-31T20:23:16"/>
    <n v="32"/>
    <s v="km/h"/>
    <s v="00:00:01"/>
    <n v="1.6666666666666666E-2"/>
    <s v="Kiambu"/>
    <s v="Kiambu"/>
    <m/>
    <m/>
    <s v="-1.018 , 36.60203"/>
    <s v="-1.01786 , 36.60192"/>
    <n v="0"/>
    <n v="1"/>
  </r>
  <r>
    <x v="1"/>
    <x v="163"/>
    <x v="55"/>
    <x v="1"/>
    <d v="2025-07-31T20:11:32"/>
    <s v="Thu"/>
    <n v="2025"/>
    <x v="5"/>
    <x v="22"/>
    <d v="2025-07-31T20:11:35"/>
    <n v="37"/>
    <s v="km/h"/>
    <s v="00:00:03"/>
    <n v="0.05"/>
    <s v="Kiambu"/>
    <s v="Kiambu"/>
    <m/>
    <m/>
    <s v="-1.07817 , 36.60236"/>
    <s v="-1.07789 , 36.60236"/>
    <n v="0.125"/>
    <n v="1"/>
  </r>
  <r>
    <x v="1"/>
    <x v="163"/>
    <x v="55"/>
    <x v="1"/>
    <d v="2025-07-31T20:06:10"/>
    <s v="Thu"/>
    <n v="2025"/>
    <x v="5"/>
    <x v="22"/>
    <d v="2025-07-31T20:06:42"/>
    <n v="38"/>
    <s v="km/h"/>
    <s v="00:00:32"/>
    <n v="0.53333333333333333"/>
    <s v="Kiambu"/>
    <s v="Kiambu"/>
    <m/>
    <m/>
    <s v="-1.11189 , 36.61536"/>
    <s v="-1.11008 , 36.61328"/>
    <n v="0.3125"/>
    <n v="1"/>
  </r>
  <r>
    <x v="2"/>
    <x v="146"/>
    <x v="166"/>
    <x v="2"/>
    <d v="2025-07-31T17:23:43"/>
    <s v="Thu"/>
    <n v="2025"/>
    <x v="5"/>
    <x v="22"/>
    <d v="2025-07-31T17:24:09"/>
    <n v="95"/>
    <s v="km/h"/>
    <s v="00:00:26"/>
    <n v="0.43333333333333335"/>
    <m/>
    <s v="B7, Mathunyani, Kitui West, Kitui County, KE"/>
    <m/>
    <m/>
    <s v="-1.2536, 37.9174"/>
    <s v="-1.2475, 37.9143"/>
    <n v="1"/>
    <n v="1"/>
  </r>
  <r>
    <x v="1"/>
    <x v="31"/>
    <x v="33"/>
    <x v="1"/>
    <d v="2025-07-31T17:07:37"/>
    <s v="Thu"/>
    <n v="2025"/>
    <x v="5"/>
    <x v="22"/>
    <d v="2025-07-31T17:07:40"/>
    <n v="32"/>
    <s v="km/h"/>
    <s v="00:00:03"/>
    <n v="0.05"/>
    <s v="Kericho"/>
    <s v="Kericho"/>
    <m/>
    <m/>
    <s v="-0.26617 , 35.452"/>
    <s v="-0.26608 , 35.45242"/>
    <n v="9.7600000000000006E-2"/>
    <n v="1"/>
  </r>
  <r>
    <x v="2"/>
    <x v="126"/>
    <x v="144"/>
    <x v="2"/>
    <d v="2025-07-30T17:36:46"/>
    <s v="Wed"/>
    <n v="2025"/>
    <x v="5"/>
    <x v="22"/>
    <d v="2025-07-30T17:37:13"/>
    <n v="93"/>
    <s v="km"/>
    <s v="00:00:26"/>
    <n v="0.43333333333333335"/>
    <m/>
    <m/>
    <m/>
    <m/>
    <s v="-1.0938, 36.1246"/>
    <s v="-1.0954, 36.1309"/>
    <n v="1"/>
    <n v="1"/>
  </r>
  <r>
    <x v="1"/>
    <x v="31"/>
    <x v="33"/>
    <x v="1"/>
    <d v="2025-07-30T16:27:50"/>
    <s v="Wed"/>
    <n v="2025"/>
    <x v="5"/>
    <x v="22"/>
    <d v="2025-07-30T16:28:20"/>
    <n v="33"/>
    <s v="km/h"/>
    <s v="00:00:30"/>
    <n v="0.5"/>
    <s v="Kisumu"/>
    <s v="Kisumu"/>
    <m/>
    <m/>
    <s v="-0.14642 , 35.03769"/>
    <s v="-0.14642 , 35.03436"/>
    <n v="0.30080000000000001"/>
    <n v="1"/>
  </r>
  <r>
    <x v="1"/>
    <x v="48"/>
    <x v="50"/>
    <x v="1"/>
    <d v="2025-07-30T15:56:51"/>
    <s v="Wed"/>
    <n v="2025"/>
    <x v="5"/>
    <x v="22"/>
    <d v="2025-07-30T15:57:04"/>
    <n v="35"/>
    <s v="km/h"/>
    <s v="00:00:13"/>
    <n v="0.21666666666666667"/>
    <s v="Kirinyaga"/>
    <s v="Kirinyaga"/>
    <m/>
    <m/>
    <s v="-0.77622 , 37.26864"/>
    <s v="-0.77725 , 37.26825"/>
    <n v="9.3700000000000006E-2"/>
    <n v="1"/>
  </r>
  <r>
    <x v="0"/>
    <x v="164"/>
    <x v="187"/>
    <x v="2"/>
    <d v="2025-07-30T13:33:52"/>
    <s v="Wed"/>
    <n v="2025"/>
    <x v="5"/>
    <x v="22"/>
    <d v="2025-07-30T13:33:55"/>
    <n v="83"/>
    <s v="km/h"/>
    <s v="00:00:03"/>
    <n v="0.05"/>
    <s v="Nairobi"/>
    <s v="Nairobi"/>
    <m/>
    <m/>
    <s v="-1.26445 , 36.83676"/>
    <s v="-1.264 , 36.83744"/>
    <n v="9.3700000000000006E-2"/>
    <n v="1"/>
  </r>
  <r>
    <x v="1"/>
    <x v="31"/>
    <x v="33"/>
    <x v="1"/>
    <d v="2025-07-30T08:10:10"/>
    <s v="Wed"/>
    <n v="2025"/>
    <x v="5"/>
    <x v="22"/>
    <d v="2025-07-30T08:10:12"/>
    <n v="31"/>
    <s v="km/h"/>
    <s v="00:00:02"/>
    <n v="3.3333333333333333E-2"/>
    <s v="Kiambu"/>
    <s v="Kiambu"/>
    <m/>
    <m/>
    <s v="-1.11944 , 36.62294"/>
    <s v="-1.11931 , 36.62267"/>
    <n v="0"/>
    <n v="1"/>
  </r>
  <r>
    <x v="0"/>
    <x v="165"/>
    <x v="188"/>
    <x v="1"/>
    <d v="2025-07-29T12:10:26"/>
    <s v="Tue"/>
    <n v="2025"/>
    <x v="5"/>
    <x v="22"/>
    <d v="2025-07-29T12:10:32"/>
    <n v="46"/>
    <s v="km/h"/>
    <s v="00:00:06"/>
    <n v="0.1"/>
    <s v="Nairobi"/>
    <s v="Nairobi"/>
    <m/>
    <m/>
    <s v="-1.26158 , 36.87889"/>
    <s v="-1.26075 , 36.87886"/>
    <n v="0.10929999999999999"/>
    <n v="1"/>
  </r>
  <r>
    <x v="2"/>
    <x v="155"/>
    <x v="179"/>
    <x v="2"/>
    <d v="2025-07-29T07:31:37"/>
    <s v="Tue"/>
    <n v="2025"/>
    <x v="5"/>
    <x v="22"/>
    <d v="2025-07-29T07:32:47"/>
    <n v="102"/>
    <s v="km"/>
    <s v="00:01:09"/>
    <n v="1.1499999999999999"/>
    <m/>
    <m/>
    <m/>
    <m/>
    <s v="-2.3733, 37.9871"/>
    <s v="-2.3893, 37.9833"/>
    <n v="2"/>
    <n v="1"/>
  </r>
  <r>
    <x v="1"/>
    <x v="156"/>
    <x v="189"/>
    <x v="0"/>
    <d v="2025-07-28T23:37:51"/>
    <s v="Mon"/>
    <n v="2025"/>
    <x v="5"/>
    <x v="22"/>
    <d v="2025-07-29T00:24:00"/>
    <n v="8"/>
    <s v="km"/>
    <s v="00:46:09"/>
    <n v="46.15"/>
    <s v="Kilifi"/>
    <s v="Kwale"/>
    <m/>
    <m/>
    <s v="-3.83597 , 39.4385"/>
    <s v="-3.88317 , 39.48992"/>
    <n v="8"/>
    <n v="1"/>
  </r>
  <r>
    <x v="1"/>
    <x v="156"/>
    <x v="189"/>
    <x v="0"/>
    <d v="2025-07-28T23:15:37"/>
    <s v="Mon"/>
    <n v="2025"/>
    <x v="5"/>
    <x v="22"/>
    <d v="2025-07-28T23:31:03"/>
    <n v="1"/>
    <s v="km"/>
    <s v="00:15:26"/>
    <n v="15.433333333333334"/>
    <s v="Kilifi"/>
    <s v="Kilifi"/>
    <m/>
    <m/>
    <s v="-3.83525 , 39.43864"/>
    <s v="-3.83444 , 39.43767"/>
    <n v="0"/>
    <n v="1"/>
  </r>
  <r>
    <x v="1"/>
    <x v="79"/>
    <x v="190"/>
    <x v="1"/>
    <d v="2025-07-28T19:45:17"/>
    <s v="Mon"/>
    <n v="2025"/>
    <x v="5"/>
    <x v="22"/>
    <d v="2025-07-28T19:45:17"/>
    <n v="34"/>
    <s v="km/h"/>
    <s v="00:00:00"/>
    <n v="0"/>
    <s v="Machakos"/>
    <s v="Machakos"/>
    <m/>
    <m/>
    <s v="-1.55028 , 37.144"/>
    <s v="-1.55028 , 37.144"/>
    <n v="0"/>
    <n v="1"/>
  </r>
  <r>
    <x v="3"/>
    <x v="45"/>
    <x v="46"/>
    <x v="1"/>
    <d v="2025-07-28T15:24:49"/>
    <s v="Mon"/>
    <n v="2025"/>
    <x v="5"/>
    <x v="22"/>
    <d v="2025-07-28T15:24:50"/>
    <n v="34"/>
    <s v="km/h"/>
    <s v="00:00:01"/>
    <n v="1.6666666666666666E-2"/>
    <s v="Nakuru"/>
    <s v="Nakuru"/>
    <m/>
    <m/>
    <s v="-0.58838 , 36.37321"/>
    <s v="-0.58845 , 36.37325"/>
    <n v="0"/>
    <n v="1"/>
  </r>
  <r>
    <x v="1"/>
    <x v="19"/>
    <x v="66"/>
    <x v="1"/>
    <d v="2025-07-27T15:57:04"/>
    <s v="Sun"/>
    <n v="2025"/>
    <x v="5"/>
    <x v="22"/>
    <d v="2025-07-27T15:57:14"/>
    <n v="44"/>
    <s v="km/h"/>
    <s v="00:00:10"/>
    <n v="0.16666666666666666"/>
    <s v="Murang'a"/>
    <s v="Murang'a"/>
    <m/>
    <m/>
    <s v="-0.74083 , 37.16192"/>
    <s v="-0.74183 , 37.16275"/>
    <n v="6.25E-2"/>
    <n v="1"/>
  </r>
  <r>
    <x v="1"/>
    <x v="19"/>
    <x v="66"/>
    <x v="1"/>
    <d v="2025-07-27T15:56:01"/>
    <s v="Sun"/>
    <n v="2025"/>
    <x v="5"/>
    <x v="22"/>
    <d v="2025-07-27T15:56:53"/>
    <n v="42"/>
    <s v="km/h"/>
    <s v="00:00:52"/>
    <n v="0.8666666666666667"/>
    <s v="Murang'a"/>
    <s v="Murang'a"/>
    <m/>
    <m/>
    <s v="-0.73922 , 37.15617"/>
    <s v="-0.74017 , 37.16108"/>
    <n v="0.5625"/>
    <n v="1"/>
  </r>
  <r>
    <x v="1"/>
    <x v="56"/>
    <x v="92"/>
    <x v="0"/>
    <d v="2025-07-27T01:01:08"/>
    <s v="Sun"/>
    <n v="2025"/>
    <x v="5"/>
    <x v="22"/>
    <d v="2025-07-27T01:18:32"/>
    <n v="5"/>
    <s v="km"/>
    <s v="00:17:24"/>
    <n v="17.399999999999999"/>
    <s v="Makueni"/>
    <s v="Makueni"/>
    <m/>
    <m/>
    <s v="-2.67222 , 38.13525"/>
    <s v="-2.69453 , 38.168"/>
    <n v="4"/>
    <n v="1"/>
  </r>
  <r>
    <x v="1"/>
    <x v="56"/>
    <x v="92"/>
    <x v="0"/>
    <d v="2025-07-27T00:06:40"/>
    <s v="Sun"/>
    <n v="2025"/>
    <x v="5"/>
    <x v="22"/>
    <d v="2025-07-27T01:00:23"/>
    <n v="35"/>
    <s v="km"/>
    <s v="00:53:43"/>
    <n v="53.716666666666669"/>
    <s v="Makueni"/>
    <s v="Makueni"/>
    <m/>
    <m/>
    <s v="-2.42108 , 37.96217"/>
    <s v="-2.67197 , 38.13358"/>
    <n v="35"/>
    <n v="1"/>
  </r>
  <r>
    <x v="1"/>
    <x v="56"/>
    <x v="92"/>
    <x v="0"/>
    <d v="2025-07-26T23:00:01"/>
    <s v="Sat"/>
    <n v="2025"/>
    <x v="5"/>
    <x v="23"/>
    <d v="2025-07-27T00:05:56"/>
    <n v="68"/>
    <s v="km"/>
    <s v="01:05:55"/>
    <n v="65.916666666666671"/>
    <s v="Kajiado"/>
    <s v="Makueni"/>
    <m/>
    <m/>
    <s v="-2.2055 , 37.68778"/>
    <s v="-2.41933 , 37.96156"/>
    <n v="40"/>
    <n v="1"/>
  </r>
  <r>
    <x v="1"/>
    <x v="36"/>
    <x v="113"/>
    <x v="0"/>
    <d v="2025-07-26T23:00:01"/>
    <s v="Sat"/>
    <n v="2025"/>
    <x v="5"/>
    <x v="23"/>
    <d v="2025-07-27T01:21:29"/>
    <n v="236"/>
    <s v="km"/>
    <s v="02:21:28"/>
    <n v="141.46666666666667"/>
    <s v="Kajiado"/>
    <s v="Makueni"/>
    <m/>
    <m/>
    <s v="-2.15967 , 37.59269"/>
    <s v="-2.69478 , 38.16833"/>
    <n v="89"/>
    <n v="1"/>
  </r>
  <r>
    <x v="2"/>
    <x v="155"/>
    <x v="179"/>
    <x v="2"/>
    <d v="2025-07-26T20:56:49"/>
    <s v="Sat"/>
    <n v="2025"/>
    <x v="5"/>
    <x v="23"/>
    <d v="2025-07-26T20:57:29"/>
    <n v="99"/>
    <s v="km"/>
    <s v="00:00:39"/>
    <n v="0.65"/>
    <m/>
    <m/>
    <m/>
    <m/>
    <s v="-0.8920, 37.2285"/>
    <s v="-0.8835, 37.2328"/>
    <n v="1"/>
    <n v="1"/>
  </r>
  <r>
    <x v="1"/>
    <x v="142"/>
    <x v="56"/>
    <x v="1"/>
    <d v="2025-07-26T12:04:50"/>
    <s v="Sat"/>
    <n v="2025"/>
    <x v="5"/>
    <x v="23"/>
    <d v="2025-07-26T12:04:58"/>
    <n v="50"/>
    <s v="km/h"/>
    <s v="00:00:08"/>
    <n v="0.13333333333333333"/>
    <s v="Kiambu"/>
    <s v="Kiambu"/>
    <m/>
    <m/>
    <s v="-1.13886 , 36.96936"/>
    <s v="-1.13811 , 36.96978"/>
    <n v="0"/>
    <n v="1"/>
  </r>
  <r>
    <x v="2"/>
    <x v="155"/>
    <x v="179"/>
    <x v="2"/>
    <d v="2025-07-26T07:04:20"/>
    <s v="Sat"/>
    <n v="2025"/>
    <x v="5"/>
    <x v="23"/>
    <d v="2025-07-26T07:07:00"/>
    <n v="111"/>
    <s v="km"/>
    <s v="00:02:40"/>
    <n v="2.6666666666666665"/>
    <m/>
    <m/>
    <m/>
    <m/>
    <s v="-1.1546, 36.6724"/>
    <s v="-1.1703, 36.7045"/>
    <n v="4"/>
    <n v="1"/>
  </r>
  <r>
    <x v="0"/>
    <x v="0"/>
    <x v="0"/>
    <x v="1"/>
    <d v="2025-07-26T06:29:47"/>
    <s v="Sat"/>
    <n v="2025"/>
    <x v="5"/>
    <x v="23"/>
    <d v="2025-07-26T06:29:51"/>
    <n v="41"/>
    <s v="km/h"/>
    <s v="00:00:04"/>
    <n v="6.6666666666666666E-2"/>
    <s v="Murang'a"/>
    <s v="Murang'a"/>
    <m/>
    <m/>
    <s v="-0.82401 , 37.1392"/>
    <s v="-0.82358 , 37.13935"/>
    <n v="0.125"/>
    <n v="1"/>
  </r>
  <r>
    <x v="2"/>
    <x v="157"/>
    <x v="180"/>
    <x v="2"/>
    <d v="2025-07-26T06:25:17"/>
    <s v="Sat"/>
    <n v="2025"/>
    <x v="5"/>
    <x v="23"/>
    <d v="2025-07-26T06:25:57"/>
    <n v="109"/>
    <s v="km"/>
    <s v="00:00:39"/>
    <n v="0.65"/>
    <m/>
    <m/>
    <m/>
    <m/>
    <s v="-1.1027, 36.0378"/>
    <s v="-1.1106, 36.0431"/>
    <n v="1"/>
    <n v="1"/>
  </r>
  <r>
    <x v="1"/>
    <x v="32"/>
    <x v="191"/>
    <x v="1"/>
    <d v="2025-07-26T06:21:03"/>
    <s v="Sat"/>
    <n v="2025"/>
    <x v="5"/>
    <x v="23"/>
    <d v="2025-07-26T06:21:05"/>
    <n v="41"/>
    <s v="km/h"/>
    <s v="00:00:02"/>
    <n v="3.3333333333333333E-2"/>
    <s v="Kericho"/>
    <s v="Kericho"/>
    <m/>
    <m/>
    <s v="-0.18506 , 35.11619"/>
    <s v="-0.18492 , 35.11592"/>
    <n v="0"/>
    <n v="1"/>
  </r>
  <r>
    <x v="0"/>
    <x v="95"/>
    <x v="99"/>
    <x v="1"/>
    <d v="2025-07-26T02:05:40"/>
    <s v="Sat"/>
    <n v="2025"/>
    <x v="5"/>
    <x v="23"/>
    <d v="2025-07-26T02:05:42"/>
    <n v="39"/>
    <s v="km/h"/>
    <s v="00:00:02"/>
    <n v="3.3333333333333333E-2"/>
    <s v="Uasin Gishu"/>
    <s v="Uasin Gishu"/>
    <m/>
    <m/>
    <s v="0.1167 , 35.46843"/>
    <s v="0.11696 , 35.46829"/>
    <n v="0"/>
    <n v="1"/>
  </r>
  <r>
    <x v="2"/>
    <x v="155"/>
    <x v="179"/>
    <x v="2"/>
    <d v="2025-07-25T23:50:09"/>
    <s v="Fri"/>
    <n v="2025"/>
    <x v="5"/>
    <x v="23"/>
    <d v="2025-07-25T23:51:06"/>
    <n v="106"/>
    <s v="km"/>
    <s v="00:00:56"/>
    <n v="0.93333333333333335"/>
    <m/>
    <m/>
    <m/>
    <m/>
    <s v="-0.0361, 35.6332"/>
    <s v="-0.0470, 35.6396"/>
    <n v="1"/>
    <n v="1"/>
  </r>
  <r>
    <x v="2"/>
    <x v="157"/>
    <x v="180"/>
    <x v="2"/>
    <d v="2025-07-25T15:27:46"/>
    <s v="Fri"/>
    <n v="2025"/>
    <x v="5"/>
    <x v="23"/>
    <d v="2025-07-25T15:28:21"/>
    <n v="97"/>
    <s v="km"/>
    <s v="00:00:35"/>
    <n v="0.58333333333333337"/>
    <m/>
    <m/>
    <m/>
    <m/>
    <s v="-0.8502, 34.5695"/>
    <s v="-0.8439, 34.5748"/>
    <n v="1"/>
    <n v="1"/>
  </r>
  <r>
    <x v="2"/>
    <x v="146"/>
    <x v="166"/>
    <x v="2"/>
    <d v="2025-07-25T13:46:56"/>
    <s v="Fri"/>
    <n v="2025"/>
    <x v="5"/>
    <x v="23"/>
    <d v="2025-07-25T13:47:21"/>
    <n v="94"/>
    <s v="km"/>
    <s v="00:00:25"/>
    <n v="0.41666666666666669"/>
    <m/>
    <m/>
    <m/>
    <m/>
    <s v="-0.8224, 37.2382"/>
    <s v="-0.8181, 37.2434"/>
    <n v="1"/>
    <n v="1"/>
  </r>
  <r>
    <x v="2"/>
    <x v="166"/>
    <x v="192"/>
    <x v="2"/>
    <d v="2025-07-25T12:13:34"/>
    <s v="Fri"/>
    <n v="2025"/>
    <x v="5"/>
    <x v="23"/>
    <d v="2025-07-25T12:13:57"/>
    <n v="89"/>
    <s v="km"/>
    <s v="00:00:22"/>
    <n v="0.36666666666666664"/>
    <m/>
    <m/>
    <m/>
    <m/>
    <s v="-1.2473, 36.8730"/>
    <s v="-1.2498, 36.8783"/>
    <n v="1"/>
    <n v="1"/>
  </r>
  <r>
    <x v="3"/>
    <x v="45"/>
    <x v="46"/>
    <x v="1"/>
    <d v="2025-07-24T16:25:33"/>
    <s v="Thu"/>
    <n v="2025"/>
    <x v="5"/>
    <x v="23"/>
    <d v="2025-07-24T16:25:37"/>
    <n v="34"/>
    <s v="km/h"/>
    <s v="00:00:04"/>
    <n v="6.6666666666666666E-2"/>
    <s v="Kericho"/>
    <s v="Kericho"/>
    <m/>
    <m/>
    <s v="-0.1693 , 35.59788"/>
    <s v="-0.16926 , 35.59827"/>
    <n v="0"/>
    <n v="1"/>
  </r>
  <r>
    <x v="0"/>
    <x v="167"/>
    <x v="193"/>
    <x v="3"/>
    <d v="2025-07-24T14:48:41"/>
    <s v="Thu"/>
    <n v="2025"/>
    <x v="5"/>
    <x v="23"/>
    <d v="2025-07-24T14:48:42"/>
    <n v="16"/>
    <s v="km/h/s"/>
    <s v="00:00:01"/>
    <n v="1.6666666666666666E-2"/>
    <s v="Murang'a"/>
    <m/>
    <m/>
    <m/>
    <s v="-0.75579 , 37.06076"/>
    <m/>
    <n v="0"/>
    <n v="1"/>
  </r>
  <r>
    <x v="0"/>
    <x v="167"/>
    <x v="193"/>
    <x v="1"/>
    <d v="2025-07-24T14:44:39"/>
    <s v="Thu"/>
    <n v="2025"/>
    <x v="5"/>
    <x v="23"/>
    <d v="2025-07-24T14:45:40"/>
    <n v="72"/>
    <s v="km/h"/>
    <s v="00:01:01"/>
    <n v="1.0166666666666666"/>
    <s v="Murang'a"/>
    <s v="Murang'a"/>
    <m/>
    <m/>
    <s v="-0.7616 , 37.02922"/>
    <s v="-0.76133 , 37.03837"/>
    <n v="1"/>
    <n v="1"/>
  </r>
  <r>
    <x v="0"/>
    <x v="168"/>
    <x v="194"/>
    <x v="2"/>
    <d v="2025-07-24T08:11:06"/>
    <s v="Thu"/>
    <n v="2025"/>
    <x v="5"/>
    <x v="23"/>
    <d v="2025-07-24T08:11:08"/>
    <n v="82"/>
    <s v="km/h"/>
    <s v="00:00:02"/>
    <n v="3.3333333333333333E-2"/>
    <s v="Murang'a"/>
    <s v="Murang'a"/>
    <m/>
    <m/>
    <s v="-0.96164 , 37.10494"/>
    <s v="-0.96142 , 37.1055"/>
    <n v="0.10150000000000001"/>
    <n v="1"/>
  </r>
  <r>
    <x v="2"/>
    <x v="145"/>
    <x v="165"/>
    <x v="2"/>
    <d v="2025-07-24T08:10:24"/>
    <s v="Thu"/>
    <n v="2025"/>
    <x v="5"/>
    <x v="23"/>
    <d v="2025-07-24T08:10:41"/>
    <n v="91"/>
    <s v="km"/>
    <s v="00:00:16"/>
    <n v="0.26666666666666666"/>
    <m/>
    <m/>
    <m/>
    <m/>
    <s v="-0.9625, 37.1032"/>
    <s v="-0.9606, 37.1073"/>
    <n v="0"/>
    <n v="1"/>
  </r>
  <r>
    <x v="0"/>
    <x v="168"/>
    <x v="194"/>
    <x v="2"/>
    <d v="2025-07-24T08:09:38"/>
    <s v="Thu"/>
    <n v="2025"/>
    <x v="5"/>
    <x v="23"/>
    <d v="2025-07-24T08:09:46"/>
    <n v="83"/>
    <s v="km/h"/>
    <s v="00:00:08"/>
    <n v="0.13333333333333333"/>
    <s v="Murang'a"/>
    <s v="Murang'a"/>
    <m/>
    <m/>
    <s v="-0.97311 , 37.09653"/>
    <s v="-0.97128 , 37.09686"/>
    <n v="0.1953"/>
    <n v="1"/>
  </r>
  <r>
    <x v="2"/>
    <x v="82"/>
    <x v="83"/>
    <x v="2"/>
    <d v="2025-07-24T07:17:39"/>
    <s v="Thu"/>
    <n v="2025"/>
    <x v="5"/>
    <x v="23"/>
    <d v="2025-07-24T07:18:39"/>
    <n v="88"/>
    <s v="km"/>
    <s v="00:01:00"/>
    <n v="1"/>
    <m/>
    <m/>
    <m/>
    <m/>
    <s v="-1.0793, 37.0440"/>
    <s v="-1.0893, 37.0355"/>
    <n v="2"/>
    <n v="1"/>
  </r>
  <r>
    <x v="1"/>
    <x v="89"/>
    <x v="14"/>
    <x v="2"/>
    <d v="2025-07-24T06:14:57"/>
    <s v="Thu"/>
    <n v="2025"/>
    <x v="5"/>
    <x v="23"/>
    <d v="2025-07-24T06:15:01"/>
    <n v="82"/>
    <s v="km/h"/>
    <s v="00:00:04"/>
    <n v="6.6666666666666666E-2"/>
    <s v="Samburu"/>
    <s v="Samburu"/>
    <m/>
    <m/>
    <s v="0.90061 , 37.56053"/>
    <s v="0.90161 , 37.56075"/>
    <n v="0.125"/>
    <n v="1"/>
  </r>
  <r>
    <x v="2"/>
    <x v="169"/>
    <x v="195"/>
    <x v="0"/>
    <d v="2025-07-24T03:34:33"/>
    <s v="Thu"/>
    <n v="2025"/>
    <x v="5"/>
    <x v="23"/>
    <d v="2025-07-24T03:57:57"/>
    <m/>
    <s v="km"/>
    <s v="00:23:24"/>
    <n v="23.4"/>
    <m/>
    <m/>
    <m/>
    <m/>
    <s v="-1.2110, 36.8748"/>
    <s v="-1.2804, 36.8342"/>
    <n v="11"/>
    <n v="1"/>
  </r>
  <r>
    <x v="1"/>
    <x v="79"/>
    <x v="190"/>
    <x v="1"/>
    <d v="2025-07-23T15:01:43"/>
    <s v="Wed"/>
    <n v="2025"/>
    <x v="5"/>
    <x v="23"/>
    <d v="2025-07-23T15:01:43"/>
    <n v="40"/>
    <s v="km/h"/>
    <s v="00:00:00"/>
    <n v="0"/>
    <s v="Makueni"/>
    <s v="Makueni"/>
    <m/>
    <m/>
    <s v="-2.65633 , 38.11028"/>
    <s v="-2.65633 , 38.11028"/>
    <n v="0"/>
    <n v="1"/>
  </r>
  <r>
    <x v="1"/>
    <x v="79"/>
    <x v="190"/>
    <x v="1"/>
    <d v="2025-07-23T14:13:43"/>
    <s v="Wed"/>
    <n v="2025"/>
    <x v="5"/>
    <x v="23"/>
    <d v="2025-07-23T14:13:45"/>
    <n v="40"/>
    <s v="km/h"/>
    <s v="00:00:02"/>
    <n v="3.3333333333333333E-2"/>
    <s v="Taita-Taveta"/>
    <s v="Taita-Taveta"/>
    <m/>
    <m/>
    <s v="-2.70103 , 38.17475"/>
    <s v="-2.70083 , 38.17453"/>
    <n v="0"/>
    <n v="1"/>
  </r>
  <r>
    <x v="2"/>
    <x v="155"/>
    <x v="179"/>
    <x v="2"/>
    <d v="2025-07-23T09:55:41"/>
    <s v="Wed"/>
    <n v="2025"/>
    <x v="5"/>
    <x v="23"/>
    <d v="2025-07-23T09:59:41"/>
    <n v="112"/>
    <s v="km/h"/>
    <s v="00:03:59"/>
    <n v="3.9833333333333334"/>
    <m/>
    <m/>
    <m/>
    <m/>
    <s v="-1.5247, 37.1202"/>
    <s v="-1.4961, 37.0688"/>
    <n v="6.5"/>
    <n v="1"/>
  </r>
  <r>
    <x v="1"/>
    <x v="48"/>
    <x v="50"/>
    <x v="1"/>
    <d v="2025-07-22T16:08:38"/>
    <s v="Tue"/>
    <n v="2025"/>
    <x v="5"/>
    <x v="23"/>
    <d v="2025-07-22T16:09:00"/>
    <n v="38"/>
    <s v="km/h"/>
    <s v="00:00:22"/>
    <n v="0.36666666666666664"/>
    <s v="Kiambu"/>
    <s v="Kiambu"/>
    <m/>
    <m/>
    <s v="-1.08108 , 37.31506"/>
    <s v="-1.07961 , 37.31361"/>
    <n v="0.3125"/>
    <n v="1"/>
  </r>
  <r>
    <x v="2"/>
    <x v="166"/>
    <x v="192"/>
    <x v="2"/>
    <d v="2025-07-22T12:59:39"/>
    <s v="Tue"/>
    <n v="2025"/>
    <x v="5"/>
    <x v="23"/>
    <d v="2025-07-22T13:00:05"/>
    <n v="88"/>
    <s v="km/h"/>
    <s v="00:00:26"/>
    <n v="0.43333333333333335"/>
    <m/>
    <m/>
    <m/>
    <m/>
    <s v="-1.2564, 36.8552"/>
    <s v="-1.2520, 36.8599"/>
    <n v="0.7"/>
    <n v="1"/>
  </r>
  <r>
    <x v="3"/>
    <x v="138"/>
    <x v="158"/>
    <x v="1"/>
    <d v="2025-07-22T07:41:26"/>
    <s v="Tue"/>
    <n v="2025"/>
    <x v="5"/>
    <x v="23"/>
    <d v="2025-07-22T07:41:31"/>
    <n v="36"/>
    <s v="km/h"/>
    <s v="00:00:05"/>
    <n v="8.3333333333333329E-2"/>
    <s v="Kericho"/>
    <s v="Kericho"/>
    <m/>
    <m/>
    <s v="-0.16917 , 35.48288"/>
    <s v="-0.16956 , 35.48254"/>
    <n v="0"/>
    <n v="1"/>
  </r>
  <r>
    <x v="0"/>
    <x v="0"/>
    <x v="120"/>
    <x v="1"/>
    <d v="2025-07-22T07:04:41"/>
    <s v="Tue"/>
    <n v="2025"/>
    <x v="5"/>
    <x v="23"/>
    <d v="2025-07-22T07:04:45"/>
    <n v="58"/>
    <s v="km/h"/>
    <s v="00:00:04"/>
    <n v="6.6666666666666666E-2"/>
    <s v="Murang'a"/>
    <s v="Murang'a"/>
    <m/>
    <m/>
    <s v="-0.96249 , 37.10312"/>
    <s v="-0.96217 , 37.10374"/>
    <n v="6.25E-2"/>
    <n v="1"/>
  </r>
  <r>
    <x v="1"/>
    <x v="79"/>
    <x v="190"/>
    <x v="1"/>
    <d v="2025-07-22T06:23:39"/>
    <s v="Tue"/>
    <n v="2025"/>
    <x v="5"/>
    <x v="23"/>
    <d v="2025-07-22T06:23:40"/>
    <n v="40"/>
    <s v="km/h"/>
    <s v="00:00:01"/>
    <n v="1.6666666666666666E-2"/>
    <s v="Kwale"/>
    <s v="Kwale"/>
    <m/>
    <m/>
    <s v="-3.79186 , 39.35919"/>
    <s v="-3.79189 , 39.35939"/>
    <n v="0"/>
    <n v="1"/>
  </r>
  <r>
    <x v="3"/>
    <x v="45"/>
    <x v="46"/>
    <x v="1"/>
    <d v="2025-07-22T05:08:23"/>
    <s v="Tue"/>
    <n v="2025"/>
    <x v="5"/>
    <x v="23"/>
    <d v="2025-07-22T05:08:26"/>
    <n v="37"/>
    <s v="km/h"/>
    <s v="00:00:03"/>
    <n v="0.05"/>
    <s v="Kisumu"/>
    <s v="Kisumu"/>
    <m/>
    <m/>
    <s v="-0.07531 , 34.71098"/>
    <s v="-0.07526 , 34.71065"/>
    <n v="0"/>
    <n v="1"/>
  </r>
  <r>
    <x v="2"/>
    <x v="155"/>
    <x v="179"/>
    <x v="2"/>
    <d v="2025-07-22T00:59:10"/>
    <s v="Tue"/>
    <n v="2025"/>
    <x v="5"/>
    <x v="23"/>
    <d v="2025-07-22T01:00:07"/>
    <n v="107"/>
    <s v="km/h"/>
    <s v="00:00:56"/>
    <n v="0.93333333333333335"/>
    <m/>
    <m/>
    <m/>
    <m/>
    <s v="-1.0810, 37.0428"/>
    <s v="-1.0917, 37.0332"/>
    <n v="1.6"/>
    <n v="1"/>
  </r>
  <r>
    <x v="1"/>
    <x v="79"/>
    <x v="190"/>
    <x v="1"/>
    <d v="2025-07-21T18:47:16"/>
    <s v="Mon"/>
    <n v="2025"/>
    <x v="5"/>
    <x v="23"/>
    <d v="2025-07-21T18:47:19"/>
    <n v="36"/>
    <s v="km/h"/>
    <s v="00:00:03"/>
    <n v="0.05"/>
    <s v="Taita-Taveta"/>
    <s v="Taita-Taveta"/>
    <m/>
    <m/>
    <s v="-3.33042 , 38.52453"/>
    <s v="-3.33072 , 38.52458"/>
    <n v="0"/>
    <n v="1"/>
  </r>
  <r>
    <x v="0"/>
    <x v="168"/>
    <x v="194"/>
    <x v="2"/>
    <d v="2025-07-21T14:18:57"/>
    <s v="Mon"/>
    <n v="2025"/>
    <x v="5"/>
    <x v="23"/>
    <d v="2025-07-21T14:19:05"/>
    <n v="83"/>
    <s v="km/h"/>
    <s v="00:00:08"/>
    <n v="0.13333333333333333"/>
    <s v="Murang'a"/>
    <s v="Murang'a"/>
    <m/>
    <m/>
    <s v="-0.94506 , 37.121"/>
    <s v="-0.94625 , 37.11958"/>
    <n v="0.1953"/>
    <n v="1"/>
  </r>
  <r>
    <x v="0"/>
    <x v="168"/>
    <x v="194"/>
    <x v="2"/>
    <d v="2025-07-21T07:49:55"/>
    <s v="Mon"/>
    <n v="2025"/>
    <x v="5"/>
    <x v="23"/>
    <d v="2025-07-21T07:49:56"/>
    <n v="81"/>
    <s v="km/h"/>
    <s v="00:00:01"/>
    <n v="1.6666666666666666E-2"/>
    <s v="Murang'a"/>
    <s v="Murang'a"/>
    <m/>
    <m/>
    <s v="-0.82006 , 37.241"/>
    <s v="-0.81981 , 37.24131"/>
    <n v="0.1016"/>
    <n v="1"/>
  </r>
  <r>
    <x v="2"/>
    <x v="170"/>
    <x v="196"/>
    <x v="2"/>
    <d v="2025-07-21T04:58:22"/>
    <s v="Mon"/>
    <n v="2025"/>
    <x v="5"/>
    <x v="23"/>
    <d v="2025-07-21T04:58:48"/>
    <n v="94"/>
    <s v="km/h"/>
    <s v="00:00:25"/>
    <n v="0.41666666666666669"/>
    <m/>
    <m/>
    <m/>
    <m/>
    <s v="-0.1680, 35.6648"/>
    <s v="-0.1689, 35.6582"/>
    <n v="0.7"/>
    <n v="1"/>
  </r>
  <r>
    <x v="0"/>
    <x v="74"/>
    <x v="75"/>
    <x v="1"/>
    <d v="2025-07-20T12:29:27"/>
    <s v="Sun"/>
    <n v="2025"/>
    <x v="5"/>
    <x v="23"/>
    <d v="2025-07-20T12:29:34"/>
    <n v="63"/>
    <s v="km/h"/>
    <s v="00:00:07"/>
    <n v="0.11666666666666667"/>
    <s v="Murang'a"/>
    <s v="Murang'a"/>
    <m/>
    <m/>
    <s v="-0.9998 , 37.08192"/>
    <s v="-1.00079 , 37.08137"/>
    <n v="0.125"/>
    <n v="1"/>
  </r>
  <r>
    <x v="2"/>
    <x v="171"/>
    <x v="197"/>
    <x v="2"/>
    <d v="2025-07-19T23:41:07"/>
    <s v="Sat"/>
    <n v="2025"/>
    <x v="5"/>
    <x v="24"/>
    <d v="2025-07-19T23:41:57"/>
    <n v="93"/>
    <s v="km/h"/>
    <s v="00:00:50"/>
    <n v="0.83333333333333337"/>
    <m/>
    <m/>
    <m/>
    <m/>
    <s v="-0.6923, 37.2478"/>
    <s v="-0.7018, 37.2534"/>
    <n v="1.2"/>
    <n v="1"/>
  </r>
  <r>
    <x v="1"/>
    <x v="48"/>
    <x v="20"/>
    <x v="4"/>
    <d v="2025-07-19T16:36:23"/>
    <s v="Sat"/>
    <n v="2025"/>
    <x v="5"/>
    <x v="24"/>
    <d v="2025-07-19T16:36:25"/>
    <n v="15"/>
    <s v="km/h/s"/>
    <s v="00:00:02"/>
    <n v="3.3333333333333333E-2"/>
    <s v="Kirinyaga"/>
    <m/>
    <m/>
    <m/>
    <s v="-0.78478 , 37.26889"/>
    <m/>
    <n v="0"/>
    <n v="1"/>
  </r>
  <r>
    <x v="1"/>
    <x v="47"/>
    <x v="85"/>
    <x v="1"/>
    <d v="2025-07-19T15:52:59"/>
    <s v="Sat"/>
    <n v="2025"/>
    <x v="5"/>
    <x v="24"/>
    <d v="2025-07-19T15:53:12"/>
    <n v="40"/>
    <s v="km/h"/>
    <s v="00:00:13"/>
    <n v="0.21666666666666667"/>
    <s v="Kitui"/>
    <s v="Kitui"/>
    <m/>
    <m/>
    <s v="-1.11003 , 37.75583"/>
    <s v="-1.10969 , 37.75803"/>
    <n v="0.25"/>
    <n v="1"/>
  </r>
  <r>
    <x v="2"/>
    <x v="172"/>
    <x v="198"/>
    <x v="2"/>
    <d v="2025-07-18T22:22:12"/>
    <s v="Fri"/>
    <n v="2025"/>
    <x v="5"/>
    <x v="24"/>
    <d v="2025-07-18T22:23:19"/>
    <n v="90"/>
    <s v="km/h"/>
    <s v="00:01:06"/>
    <n v="1.1000000000000001"/>
    <m/>
    <m/>
    <m/>
    <m/>
    <s v="-1.1601, 36.6855"/>
    <s v="-1.1686, 36.6974"/>
    <n v="1.6"/>
    <n v="1"/>
  </r>
  <r>
    <x v="1"/>
    <x v="53"/>
    <x v="56"/>
    <x v="4"/>
    <d v="2025-07-18T18:11:16"/>
    <s v="Fri"/>
    <n v="2025"/>
    <x v="5"/>
    <x v="24"/>
    <d v="2025-07-18T18:11:16"/>
    <n v="16"/>
    <s v="km/h/s"/>
    <s v="00:00:00"/>
    <n v="0"/>
    <s v="Nairobi"/>
    <s v="Nairobi"/>
    <s v="Kenya Breweries Limited; ISANDA AREA; KBL FACTORY"/>
    <s v="Kenya Breweries Limited; ISANDA AREA; KBL FACTORY"/>
    <s v="-1.23703 , 36.87461"/>
    <s v="-1.23703 , 36.87461"/>
    <n v="0"/>
    <n v="1"/>
  </r>
  <r>
    <x v="3"/>
    <x v="138"/>
    <x v="158"/>
    <x v="1"/>
    <d v="2025-07-18T15:51:16"/>
    <s v="Fri"/>
    <n v="2025"/>
    <x v="5"/>
    <x v="24"/>
    <d v="2025-07-18T15:51:31"/>
    <n v="66"/>
    <s v="km/h"/>
    <s v="00:00:15"/>
    <n v="0.25"/>
    <s v="Kericho"/>
    <s v="Kericho"/>
    <m/>
    <m/>
    <s v="-0.16532 , 35.64729"/>
    <s v="-0.16592 , 35.6496"/>
    <n v="0.28129999999999999"/>
    <n v="1"/>
  </r>
  <r>
    <x v="1"/>
    <x v="56"/>
    <x v="131"/>
    <x v="4"/>
    <d v="2025-07-18T11:12:47"/>
    <s v="Fri"/>
    <n v="2025"/>
    <x v="5"/>
    <x v="24"/>
    <d v="2025-07-18T11:12:47"/>
    <n v="11"/>
    <s v="km/h/s"/>
    <s v="00:00:00"/>
    <n v="0"/>
    <s v="Nairobi"/>
    <s v="Nairobi"/>
    <m/>
    <m/>
    <s v="-1.31044 , 36.85647"/>
    <s v="-1.31044 , 36.85647"/>
    <n v="0"/>
    <n v="1"/>
  </r>
  <r>
    <x v="2"/>
    <x v="173"/>
    <x v="199"/>
    <x v="2"/>
    <d v="2025-07-18T10:28:54"/>
    <s v="Fri"/>
    <n v="2025"/>
    <x v="5"/>
    <x v="24"/>
    <d v="2025-07-18T10:30:24"/>
    <n v="90"/>
    <s v="km/h"/>
    <s v="00:01:30"/>
    <n v="1.5"/>
    <m/>
    <m/>
    <m/>
    <m/>
    <s v="-1.5243, 37.1195"/>
    <s v="-1.5139, 37.1034"/>
    <n v="2.1"/>
    <n v="1"/>
  </r>
  <r>
    <x v="0"/>
    <x v="168"/>
    <x v="194"/>
    <x v="2"/>
    <d v="2025-07-18T06:59:10"/>
    <s v="Fri"/>
    <n v="2025"/>
    <x v="5"/>
    <x v="24"/>
    <d v="2025-07-18T06:59:16"/>
    <n v="83"/>
    <s v="km/h"/>
    <s v="00:00:06"/>
    <n v="0.1"/>
    <s v="Machakos"/>
    <s v="Machakos"/>
    <m/>
    <m/>
    <s v="-0.84533 , 37.23244"/>
    <s v="-0.84411 , 37.23228"/>
    <n v="0.1016"/>
    <n v="1"/>
  </r>
  <r>
    <x v="2"/>
    <x v="155"/>
    <x v="179"/>
    <x v="2"/>
    <d v="2025-07-17T23:38:36"/>
    <s v="Thu"/>
    <n v="2025"/>
    <x v="5"/>
    <x v="24"/>
    <d v="2025-07-17T23:39:46"/>
    <n v="113"/>
    <s v="km/h"/>
    <s v="00:01:09"/>
    <n v="1.1499999999999999"/>
    <m/>
    <m/>
    <m/>
    <m/>
    <s v="-3.1393, 36.6933"/>
    <s v="-3.1216, 36.6962"/>
    <n v="2"/>
    <n v="1"/>
  </r>
  <r>
    <x v="0"/>
    <x v="113"/>
    <x v="123"/>
    <x v="3"/>
    <d v="2025-07-17T18:21:36"/>
    <s v="Thu"/>
    <n v="2025"/>
    <x v="5"/>
    <x v="24"/>
    <d v="2025-07-17T18:21:37"/>
    <n v="18"/>
    <s v="km/h/s"/>
    <s v="00:00:01"/>
    <n v="1.6666666666666666E-2"/>
    <s v="Nairobi"/>
    <m/>
    <m/>
    <m/>
    <s v="-1.29774 , 36.87045"/>
    <s v="-0.1689, 35.6582"/>
    <n v="0"/>
    <n v="1"/>
  </r>
  <r>
    <x v="1"/>
    <x v="79"/>
    <x v="190"/>
    <x v="1"/>
    <d v="2025-07-17T16:39:47"/>
    <s v="Thu"/>
    <n v="2025"/>
    <x v="5"/>
    <x v="24"/>
    <d v="2025-07-17T16:39:49"/>
    <n v="40"/>
    <s v="km/h"/>
    <s v="00:00:02"/>
    <n v="3.3333333333333333E-2"/>
    <s v="Kirinyaga"/>
    <s v="Kirinyaga"/>
    <m/>
    <m/>
    <s v="-0.76906 , 37.27153"/>
    <s v="-0.76933 , 37.27142"/>
    <n v="9.3700000000000006E-2"/>
    <n v="1"/>
  </r>
  <r>
    <x v="0"/>
    <x v="165"/>
    <x v="188"/>
    <x v="1"/>
    <d v="2025-07-17T10:37:35"/>
    <s v="Thu"/>
    <n v="2025"/>
    <x v="5"/>
    <x v="24"/>
    <d v="2025-07-17T10:37:35"/>
    <n v="59"/>
    <s v="km/h"/>
    <s v="00:00:00"/>
    <n v="0"/>
    <s v="Nairobi"/>
    <s v="Nairobi"/>
    <m/>
    <m/>
    <s v="-1.24106 , 36.98967"/>
    <s v="-1.24106 , 36.98967"/>
    <n v="0"/>
    <n v="1"/>
  </r>
  <r>
    <x v="1"/>
    <x v="48"/>
    <x v="50"/>
    <x v="1"/>
    <d v="2025-07-17T08:03:32"/>
    <s v="Thu"/>
    <n v="2025"/>
    <x v="5"/>
    <x v="24"/>
    <d v="2025-07-17T08:03:32"/>
    <n v="38"/>
    <s v="km/h"/>
    <s v="00:00:00"/>
    <n v="0"/>
    <s v="Nakuru"/>
    <s v="Nakuru"/>
    <m/>
    <m/>
    <s v="-0.28978 , 36.05347"/>
    <s v="-0.28978 , 36.05347"/>
    <n v="0"/>
    <n v="1"/>
  </r>
  <r>
    <x v="1"/>
    <x v="48"/>
    <x v="50"/>
    <x v="1"/>
    <d v="2025-07-17T07:29:49"/>
    <s v="Thu"/>
    <n v="2025"/>
    <x v="5"/>
    <x v="24"/>
    <d v="2025-07-17T07:30:14"/>
    <n v="34"/>
    <s v="km/h"/>
    <s v="00:00:25"/>
    <n v="0.41666666666666669"/>
    <s v="Nakuru"/>
    <s v="Nakuru"/>
    <m/>
    <m/>
    <s v="-0.20378 , 35.84467"/>
    <s v="-0.20472 , 35.84658"/>
    <n v="0.1875"/>
    <n v="1"/>
  </r>
  <r>
    <x v="2"/>
    <x v="155"/>
    <x v="179"/>
    <x v="2"/>
    <d v="2025-07-17T06:11:39"/>
    <s v="Thu"/>
    <n v="2025"/>
    <x v="5"/>
    <x v="24"/>
    <d v="2025-07-17T06:12:39"/>
    <n v="105"/>
    <s v="km/h"/>
    <s v="00:00:59"/>
    <n v="0.98333333333333328"/>
    <m/>
    <m/>
    <m/>
    <m/>
    <s v="-1.8970, 36.7788"/>
    <s v="-1.9107, 36.7795"/>
    <n v="1.5"/>
    <n v="1"/>
  </r>
  <r>
    <x v="1"/>
    <x v="12"/>
    <x v="178"/>
    <x v="1"/>
    <d v="2025-07-16T20:22:08"/>
    <s v="Wed"/>
    <n v="2025"/>
    <x v="5"/>
    <x v="24"/>
    <d v="2025-07-16T20:22:13"/>
    <n v="39"/>
    <s v="km/h"/>
    <s v="00:00:05"/>
    <n v="8.3333333333333329E-2"/>
    <s v="Baringo"/>
    <s v="Baringo"/>
    <m/>
    <m/>
    <s v="0.03144 , 35.53053"/>
    <s v="0.03203 , 35.53078"/>
    <n v="0"/>
    <n v="1"/>
  </r>
  <r>
    <x v="2"/>
    <x v="90"/>
    <x v="93"/>
    <x v="2"/>
    <d v="2025-07-16T18:54:57"/>
    <s v="Wed"/>
    <n v="2025"/>
    <x v="5"/>
    <x v="24"/>
    <d v="2025-07-16T18:56:55"/>
    <n v="88"/>
    <s v="km/h"/>
    <s v="00:01:58"/>
    <n v="1.9666666666666668"/>
    <m/>
    <m/>
    <m/>
    <m/>
    <s v="-0.2400, 35.9178"/>
    <s v="-0.2288, 35.8951"/>
    <n v="3"/>
    <n v="1"/>
  </r>
  <r>
    <x v="1"/>
    <x v="79"/>
    <x v="190"/>
    <x v="1"/>
    <d v="2025-07-16T18:02:32"/>
    <s v="Wed"/>
    <n v="2025"/>
    <x v="5"/>
    <x v="24"/>
    <d v="2025-07-16T18:02:40"/>
    <n v="41"/>
    <s v="km/h"/>
    <s v="00:00:08"/>
    <n v="0.13333333333333333"/>
    <s v="Murang'a"/>
    <s v="Murang'a"/>
    <m/>
    <m/>
    <s v="-0.89486 , 37.22575"/>
    <s v="-0.89433 , 37.22647"/>
    <n v="9.3700000000000006E-2"/>
    <n v="1"/>
  </r>
  <r>
    <x v="3"/>
    <x v="45"/>
    <x v="46"/>
    <x v="1"/>
    <d v="2025-07-16T15:31:53"/>
    <s v="Wed"/>
    <n v="2025"/>
    <x v="5"/>
    <x v="24"/>
    <d v="2025-07-16T15:32:02"/>
    <n v="35"/>
    <s v="km/h"/>
    <s v="00:00:09"/>
    <n v="0.15"/>
    <s v="Nakuru"/>
    <s v="Nakuru"/>
    <m/>
    <m/>
    <s v="-0.58542 , 36.37141"/>
    <s v="-0.58472 , 36.37096"/>
    <n v="0.10929999999999999"/>
    <n v="1"/>
  </r>
  <r>
    <x v="1"/>
    <x v="48"/>
    <x v="50"/>
    <x v="1"/>
    <d v="2025-07-16T14:27:50"/>
    <s v="Wed"/>
    <n v="2025"/>
    <x v="5"/>
    <x v="24"/>
    <d v="2025-07-16T14:27:50"/>
    <n v="38"/>
    <s v="km/h"/>
    <s v="00:00:00"/>
    <n v="0"/>
    <s v="Trans Nzoia"/>
    <s v="Trans Nzoia"/>
    <m/>
    <m/>
    <s v="0.97256 , 35.04944"/>
    <s v="0.97256 , 35.04944"/>
    <n v="0"/>
    <n v="1"/>
  </r>
  <r>
    <x v="1"/>
    <x v="48"/>
    <x v="50"/>
    <x v="1"/>
    <d v="2025-07-16T14:19:59"/>
    <s v="Wed"/>
    <n v="2025"/>
    <x v="5"/>
    <x v="24"/>
    <d v="2025-07-16T14:20:46"/>
    <n v="37"/>
    <s v="km/h"/>
    <s v="00:00:47"/>
    <n v="0.78333333333333333"/>
    <s v="Trans Nzoia"/>
    <s v="Trans Nzoia"/>
    <m/>
    <m/>
    <s v="0.98225 , 35.02683"/>
    <s v="0.98217 , 35.03122"/>
    <n v="0.5"/>
    <n v="1"/>
  </r>
  <r>
    <x v="3"/>
    <x v="45"/>
    <x v="46"/>
    <x v="1"/>
    <d v="2025-07-16T14:14:42"/>
    <s v="Wed"/>
    <n v="2025"/>
    <x v="5"/>
    <x v="24"/>
    <d v="2025-07-16T14:14:43"/>
    <n v="41"/>
    <s v="km/h"/>
    <s v="00:00:01"/>
    <n v="1.6666666666666666E-2"/>
    <s v="Kiambu"/>
    <s v="Kiambu"/>
    <m/>
    <m/>
    <s v="-0.99929 , 36.60145"/>
    <s v="-0.99921 , 36.60142"/>
    <n v="0"/>
    <n v="1"/>
  </r>
  <r>
    <x v="2"/>
    <x v="155"/>
    <x v="179"/>
    <x v="2"/>
    <d v="2025-07-16T12:21:39"/>
    <s v="Wed"/>
    <n v="2025"/>
    <x v="5"/>
    <x v="24"/>
    <d v="2025-07-16T12:23:09"/>
    <n v="105"/>
    <s v="km/h"/>
    <s v="00:01:29"/>
    <n v="1.4833333333333334"/>
    <m/>
    <m/>
    <m/>
    <m/>
    <s v="-0.9285, 36.5317"/>
    <s v="-0.9445, 36.5450"/>
    <n v="2"/>
    <n v="1"/>
  </r>
  <r>
    <x v="1"/>
    <x v="53"/>
    <x v="56"/>
    <x v="1"/>
    <d v="2025-07-16T11:54:34"/>
    <s v="Wed"/>
    <n v="2025"/>
    <x v="5"/>
    <x v="24"/>
    <d v="2025-07-16T11:54:35"/>
    <n v="55"/>
    <s v="km/h"/>
    <s v="00:00:01"/>
    <n v="1.6666666666666666E-2"/>
    <s v="Siaya"/>
    <s v="Siaya"/>
    <m/>
    <m/>
    <s v="0.15936 , 34.31817"/>
    <s v="0.1595 , 34.31792"/>
    <n v="0"/>
    <n v="1"/>
  </r>
  <r>
    <x v="1"/>
    <x v="48"/>
    <x v="50"/>
    <x v="1"/>
    <d v="2025-07-16T10:45:03"/>
    <s v="Wed"/>
    <n v="2025"/>
    <x v="5"/>
    <x v="24"/>
    <d v="2025-07-16T10:45:05"/>
    <n v="31"/>
    <s v="km/h"/>
    <s v="00:00:02"/>
    <n v="3.3333333333333333E-2"/>
    <s v="West Pokot"/>
    <s v="West Pokot"/>
    <m/>
    <m/>
    <s v="1.25961 , 35.09794"/>
    <s v="1.2595 , 35.09775"/>
    <n v="9.3799999999999994E-2"/>
    <n v="1"/>
  </r>
  <r>
    <x v="1"/>
    <x v="48"/>
    <x v="50"/>
    <x v="1"/>
    <d v="2025-07-16T08:44:59"/>
    <s v="Wed"/>
    <n v="2025"/>
    <x v="5"/>
    <x v="24"/>
    <d v="2025-07-16T08:45:03"/>
    <n v="37"/>
    <s v="km/h"/>
    <s v="00:00:04"/>
    <n v="6.6666666666666666E-2"/>
    <s v="West Pokot"/>
    <s v="West Pokot"/>
    <m/>
    <m/>
    <s v="1.45325 , 35.36556"/>
    <s v="1.45289 , 35.36525"/>
    <n v="9.3799999999999994E-2"/>
    <n v="1"/>
  </r>
  <r>
    <x v="0"/>
    <x v="174"/>
    <x v="200"/>
    <x v="2"/>
    <d v="2025-07-15T18:52:07"/>
    <s v="Tue"/>
    <n v="2025"/>
    <x v="5"/>
    <x v="24"/>
    <d v="2025-07-15T18:52:09"/>
    <n v="82"/>
    <s v="km/h"/>
    <s v="00:00:02"/>
    <n v="3.3333333333333333E-2"/>
    <s v="Murang'a"/>
    <s v="Murang'a"/>
    <m/>
    <m/>
    <s v="-0.96115 , 37.10647"/>
    <s v="-0.9614 , 37.10593"/>
    <n v="0"/>
    <n v="1"/>
  </r>
  <r>
    <x v="1"/>
    <x v="48"/>
    <x v="50"/>
    <x v="1"/>
    <d v="2025-07-15T15:42:40"/>
    <s v="Tue"/>
    <n v="2025"/>
    <x v="5"/>
    <x v="24"/>
    <d v="2025-07-15T15:42:42"/>
    <n v="32"/>
    <s v="km/h"/>
    <s v="00:00:02"/>
    <n v="3.3333333333333333E-2"/>
    <s v="Turkana"/>
    <s v="Turkana"/>
    <m/>
    <m/>
    <s v="2.93358 , 35.61258"/>
    <s v="2.93336 , 35.61261"/>
    <n v="9.3799999999999994E-2"/>
    <n v="1"/>
  </r>
  <r>
    <x v="1"/>
    <x v="48"/>
    <x v="50"/>
    <x v="1"/>
    <d v="2025-07-15T15:23:49"/>
    <s v="Tue"/>
    <n v="2025"/>
    <x v="5"/>
    <x v="24"/>
    <d v="2025-07-15T15:23:49"/>
    <n v="35"/>
    <s v="km/h"/>
    <s v="00:00:00"/>
    <n v="0"/>
    <s v="Turkana"/>
    <s v="Turkana"/>
    <m/>
    <m/>
    <s v="3.06617 , 35.61881"/>
    <s v="3.06617 , 35.61881"/>
    <n v="0"/>
    <n v="1"/>
  </r>
  <r>
    <x v="1"/>
    <x v="48"/>
    <x v="50"/>
    <x v="1"/>
    <d v="2025-07-15T15:23:02"/>
    <s v="Tue"/>
    <n v="2025"/>
    <x v="5"/>
    <x v="24"/>
    <d v="2025-07-15T15:23:09"/>
    <n v="38"/>
    <s v="km/h"/>
    <s v="00:00:07"/>
    <n v="0.11666666666666667"/>
    <s v="Turkana"/>
    <s v="Turkana"/>
    <m/>
    <m/>
    <s v="3.07053 , 35.61839"/>
    <s v="3.06978 , 35.61844"/>
    <n v="9.3700000000000006E-2"/>
    <n v="1"/>
  </r>
  <r>
    <x v="1"/>
    <x v="89"/>
    <x v="132"/>
    <x v="4"/>
    <d v="2025-07-15T15:12:31"/>
    <s v="Tue"/>
    <n v="2025"/>
    <x v="5"/>
    <x v="24"/>
    <d v="2025-07-15T15:12:31"/>
    <n v="12"/>
    <s v="km/h/s"/>
    <s v="00:00:00"/>
    <n v="0"/>
    <s v="Kericho"/>
    <s v="Kericho"/>
    <m/>
    <m/>
    <s v="-0.30844 , 35.16575"/>
    <s v="-0.30844 , 35.16575"/>
    <n v="0"/>
    <n v="1"/>
  </r>
  <r>
    <x v="0"/>
    <x v="44"/>
    <x v="201"/>
    <x v="1"/>
    <d v="2025-07-15T14:17:29"/>
    <s v="Tue"/>
    <n v="2025"/>
    <x v="5"/>
    <x v="24"/>
    <d v="2025-07-15T14:17:36"/>
    <n v="43"/>
    <s v="km/h"/>
    <s v="00:00:07"/>
    <n v="0.11666666666666667"/>
    <s v="Murang'a"/>
    <s v="Murang'a"/>
    <m/>
    <m/>
    <s v="-0.79972 , 37.13668"/>
    <s v="-0.80049 , 37.13704"/>
    <n v="9.3700000000000006E-2"/>
    <n v="1"/>
  </r>
  <r>
    <x v="2"/>
    <x v="84"/>
    <x v="86"/>
    <x v="2"/>
    <d v="2025-07-15T13:39:15"/>
    <s v="Tue"/>
    <n v="2025"/>
    <x v="5"/>
    <x v="24"/>
    <d v="2025-07-15T13:40:15"/>
    <n v="98"/>
    <s v="km/h"/>
    <s v="00:00:59"/>
    <n v="0.98333333333333328"/>
    <m/>
    <m/>
    <m/>
    <m/>
    <s v="-1.1054, 36.1931"/>
    <s v="-1.1050, 36.2067"/>
    <n v="2"/>
    <n v="1"/>
  </r>
  <r>
    <x v="1"/>
    <x v="19"/>
    <x v="56"/>
    <x v="1"/>
    <d v="2025-07-15T12:35:46"/>
    <s v="Tue"/>
    <n v="2025"/>
    <x v="5"/>
    <x v="24"/>
    <d v="2025-07-15T12:35:46"/>
    <n v="43"/>
    <s v="km/h"/>
    <s v="00:00:00"/>
    <n v="0"/>
    <s v="Nairobi"/>
    <s v="Nairobi"/>
    <s v="DHL-Kasarani"/>
    <s v="DHL-Kasarani"/>
    <s v="-1.22069 , 36.89017"/>
    <s v="-1.22069 , 36.89017"/>
    <n v="6.25E-2"/>
    <n v="1"/>
  </r>
  <r>
    <x v="0"/>
    <x v="106"/>
    <x v="115"/>
    <x v="4"/>
    <d v="2025-07-15T07:15:06"/>
    <s v="Tue"/>
    <n v="2025"/>
    <x v="5"/>
    <x v="24"/>
    <d v="2025-07-15T07:15:07"/>
    <n v="12"/>
    <s v="km/h/s"/>
    <s v="00:00:01"/>
    <n v="1.6666666666666666E-2"/>
    <s v="Machakos"/>
    <m/>
    <m/>
    <m/>
    <s v="-1.39561 , 36.94086"/>
    <m/>
    <n v="0"/>
    <n v="1"/>
  </r>
  <r>
    <x v="2"/>
    <x v="155"/>
    <x v="179"/>
    <x v="2"/>
    <d v="2025-07-15T05:33:50"/>
    <s v="Tue"/>
    <n v="2025"/>
    <x v="5"/>
    <x v="24"/>
    <d v="2025-07-15T05:34:55"/>
    <n v="100"/>
    <s v="km/h"/>
    <s v="00:01:04"/>
    <n v="1.0666666666666667"/>
    <m/>
    <m/>
    <m/>
    <m/>
    <s v="0.4577, 34.8585"/>
    <s v="0.4720, 34.8519"/>
    <n v="2"/>
    <n v="1"/>
  </r>
  <r>
    <x v="3"/>
    <x v="54"/>
    <x v="202"/>
    <x v="1"/>
    <d v="2025-07-15T05:01:04"/>
    <s v="Tue"/>
    <n v="2025"/>
    <x v="5"/>
    <x v="24"/>
    <d v="2025-07-15T05:01:05"/>
    <n v="34"/>
    <s v="km/h"/>
    <s v="00:00:01"/>
    <n v="1.6666666666666666E-2"/>
    <s v="Nakuru"/>
    <s v="Nakuru"/>
    <m/>
    <m/>
    <s v="-0.20536 , 35.78747"/>
    <s v="-0.2054 , 35.78759"/>
    <n v="0.125"/>
    <n v="1"/>
  </r>
  <r>
    <x v="2"/>
    <x v="175"/>
    <x v="203"/>
    <x v="2"/>
    <d v="2025-07-14T18:28:25"/>
    <s v="Mon"/>
    <n v="2025"/>
    <x v="5"/>
    <x v="24"/>
    <d v="2025-07-14T18:29:00"/>
    <n v="84"/>
    <s v="km/h"/>
    <s v="00:00:34"/>
    <n v="0.56666666666666665"/>
    <m/>
    <m/>
    <m/>
    <m/>
    <s v="-1.1945, 36.6518"/>
    <s v="-1.2020, 36.6551"/>
    <n v="1"/>
    <n v="1"/>
  </r>
  <r>
    <x v="3"/>
    <x v="138"/>
    <x v="158"/>
    <x v="1"/>
    <d v="2025-07-14T15:09:35"/>
    <s v="Mon"/>
    <n v="2025"/>
    <x v="5"/>
    <x v="24"/>
    <d v="2025-07-14T15:09:58"/>
    <n v="46"/>
    <s v="km/h"/>
    <s v="00:00:23"/>
    <n v="0.38333333333333336"/>
    <s v="Kericho"/>
    <s v="Kericho"/>
    <m/>
    <m/>
    <s v="-0.16057 , 35.58307"/>
    <s v="-0.16268 , 35.58409"/>
    <n v="0.1875"/>
    <n v="1"/>
  </r>
  <r>
    <x v="2"/>
    <x v="64"/>
    <x v="67"/>
    <x v="2"/>
    <d v="2025-07-14T15:06:13"/>
    <s v="Mon"/>
    <n v="2025"/>
    <x v="5"/>
    <x v="24"/>
    <d v="2025-07-14T15:06:53"/>
    <n v="106"/>
    <s v="km/h"/>
    <s v="00:00:40"/>
    <n v="0.66666666666666663"/>
    <m/>
    <m/>
    <m/>
    <m/>
    <s v="-0.0077, 35.5912"/>
    <s v="-0.0140, 35.5981"/>
    <n v="1"/>
    <n v="1"/>
  </r>
  <r>
    <x v="3"/>
    <x v="45"/>
    <x v="46"/>
    <x v="1"/>
    <d v="2025-07-14T15:05:47"/>
    <s v="Mon"/>
    <n v="2025"/>
    <x v="5"/>
    <x v="24"/>
    <d v="2025-07-14T15:05:48"/>
    <n v="38"/>
    <s v="km/h"/>
    <s v="00:00:01"/>
    <n v="1.6666666666666666E-2"/>
    <s v="Nyandarua"/>
    <s v="Nyandarua"/>
    <m/>
    <m/>
    <s v="-0.28543 , 36.37473"/>
    <s v="-0.28562 , 36.37472"/>
    <n v="9.3799999999999994E-2"/>
    <n v="1"/>
  </r>
  <r>
    <x v="0"/>
    <x v="119"/>
    <x v="130"/>
    <x v="1"/>
    <d v="2025-07-14T11:28:52"/>
    <s v="Mon"/>
    <n v="2025"/>
    <x v="5"/>
    <x v="24"/>
    <d v="2025-07-14T11:29:14"/>
    <n v="42"/>
    <s v="km/h"/>
    <s v="00:00:22"/>
    <n v="0.36666666666666664"/>
    <s v="Nairobi"/>
    <s v="Nairobi"/>
    <m/>
    <m/>
    <s v="-1.21582 , 36.89218"/>
    <s v="-1.21372 , 36.89283"/>
    <n v="0.3125"/>
    <n v="1"/>
  </r>
  <r>
    <x v="0"/>
    <x v="136"/>
    <x v="156"/>
    <x v="4"/>
    <d v="2025-07-14T05:26:11"/>
    <s v="Mon"/>
    <n v="2025"/>
    <x v="5"/>
    <x v="24"/>
    <d v="2025-07-14T05:26:12"/>
    <n v="11"/>
    <s v="km/h/s"/>
    <s v="00:00:01"/>
    <n v="1.6666666666666666E-2"/>
    <s v="Nairobi"/>
    <m/>
    <s v="Kenya Breweries Limited; Zone 4 - Keg Road; KBL FACTORY"/>
    <m/>
    <s v="-1.238 , 36.87901"/>
    <m/>
    <n v="0"/>
    <n v="1"/>
  </r>
  <r>
    <x v="0"/>
    <x v="176"/>
    <x v="204"/>
    <x v="4"/>
    <d v="2025-07-13T21:31:26"/>
    <s v="Sun"/>
    <n v="2025"/>
    <x v="5"/>
    <x v="24"/>
    <d v="2025-07-13T21:31:26"/>
    <n v="11"/>
    <s v="km/h/s"/>
    <s v="00:00:00"/>
    <n v="0"/>
    <s v="Nairobi"/>
    <m/>
    <s v="Kenya Breweries Limited; Zone 4 - Keg Road; KBL FACTORY"/>
    <m/>
    <s v="-1.23824 , 36.8767"/>
    <m/>
    <n v="0"/>
    <n v="1"/>
  </r>
  <r>
    <x v="1"/>
    <x v="142"/>
    <x v="162"/>
    <x v="1"/>
    <d v="2025-07-13T19:38:29"/>
    <s v="Sun"/>
    <n v="2025"/>
    <x v="5"/>
    <x v="24"/>
    <d v="2025-07-13T19:38:31"/>
    <n v="33"/>
    <s v="km/h"/>
    <s v="00:00:02"/>
    <n v="3.3333333333333333E-2"/>
    <s v="Kajiado"/>
    <s v="Kajiado"/>
    <m/>
    <m/>
    <s v="-2.12794 , 37.54494"/>
    <s v="-2.12775 , 37.54467"/>
    <n v="0"/>
    <n v="1"/>
  </r>
  <r>
    <x v="1"/>
    <x v="142"/>
    <x v="162"/>
    <x v="1"/>
    <d v="2025-07-13T17:36:57"/>
    <s v="Sun"/>
    <n v="2025"/>
    <x v="5"/>
    <x v="24"/>
    <d v="2025-07-13T17:37:06"/>
    <n v="37"/>
    <s v="km/h"/>
    <s v="00:00:09"/>
    <n v="0.15"/>
    <s v="Makueni"/>
    <s v="Makueni"/>
    <m/>
    <m/>
    <s v="-2.43025 , 37.96511"/>
    <s v="-2.42925 , 37.96492"/>
    <n v="0.125"/>
    <n v="1"/>
  </r>
  <r>
    <x v="0"/>
    <x v="44"/>
    <x v="201"/>
    <x v="1"/>
    <d v="2025-07-13T15:59:33"/>
    <s v="Sun"/>
    <n v="2025"/>
    <x v="5"/>
    <x v="24"/>
    <d v="2025-07-13T15:59:35"/>
    <n v="35"/>
    <s v="km/h"/>
    <s v="00:00:02"/>
    <n v="3.3333333333333333E-2"/>
    <s v="Nairobi"/>
    <s v="Nairobi"/>
    <m/>
    <m/>
    <s v="-1.32537 , 36.84767"/>
    <s v="-1.32524 , 36.84745"/>
    <n v="0"/>
    <n v="1"/>
  </r>
  <r>
    <x v="2"/>
    <x v="20"/>
    <x v="21"/>
    <x v="2"/>
    <d v="2025-07-13T12:49:55"/>
    <s v="Sun"/>
    <n v="2025"/>
    <x v="5"/>
    <x v="24"/>
    <d v="2025-07-13T12:50:55"/>
    <n v="111"/>
    <s v="km/h"/>
    <s v="00:01:00"/>
    <n v="1"/>
    <m/>
    <m/>
    <m/>
    <m/>
    <s v="-1.8188, 37.2375"/>
    <s v="-1.8307, 37.2440"/>
    <n v="2"/>
    <n v="1"/>
  </r>
  <r>
    <x v="3"/>
    <x v="54"/>
    <x v="202"/>
    <x v="1"/>
    <d v="2025-07-13T10:58:36"/>
    <s v="Sun"/>
    <n v="2025"/>
    <x v="5"/>
    <x v="24"/>
    <d v="2025-07-13T10:58:37"/>
    <n v="33"/>
    <s v="km/h"/>
    <s v="00:00:01"/>
    <n v="1.6666666666666666E-2"/>
    <s v="Kiambu"/>
    <s v="Kiambu"/>
    <m/>
    <m/>
    <s v="-1.00073 , 36.60234"/>
    <s v="-1.00057 , 36.60231"/>
    <n v="0"/>
    <n v="1"/>
  </r>
  <r>
    <x v="3"/>
    <x v="45"/>
    <x v="46"/>
    <x v="1"/>
    <d v="2025-07-11T23:40:26"/>
    <s v="Fri"/>
    <n v="2025"/>
    <x v="5"/>
    <x v="25"/>
    <d v="2025-07-11T23:40:28"/>
    <n v="37"/>
    <s v="km/h"/>
    <s v="00:00:02"/>
    <n v="3.3333333333333333E-2"/>
    <s v="Nakuru"/>
    <s v="Nakuru"/>
    <m/>
    <m/>
    <s v="-0.28937 , 36.05131"/>
    <s v="-0.28946 , 36.05156"/>
    <n v="9.3799999999999994E-2"/>
    <n v="1"/>
  </r>
  <r>
    <x v="1"/>
    <x v="40"/>
    <x v="41"/>
    <x v="1"/>
    <d v="2025-07-11T21:23:06"/>
    <s v="Fri"/>
    <n v="2025"/>
    <x v="5"/>
    <x v="25"/>
    <d v="2025-07-11T21:23:07"/>
    <n v="37"/>
    <s v="km/h"/>
    <s v="00:00:01"/>
    <n v="1.6666666666666666E-2"/>
    <s v="Uasin Gishu"/>
    <s v="Uasin Gishu"/>
    <m/>
    <m/>
    <s v="0.52333 , 35.253"/>
    <s v="0.5235 , 35.25289"/>
    <n v="9.3799999999999994E-2"/>
    <n v="1"/>
  </r>
  <r>
    <x v="1"/>
    <x v="142"/>
    <x v="162"/>
    <x v="1"/>
    <d v="2025-07-11T17:02:32"/>
    <s v="Fri"/>
    <n v="2025"/>
    <x v="5"/>
    <x v="25"/>
    <d v="2025-07-11T17:02:41"/>
    <n v="37"/>
    <s v="km/h"/>
    <s v="00:00:09"/>
    <n v="0.15"/>
    <s v="Makueni"/>
    <s v="Makueni"/>
    <m/>
    <m/>
    <s v="-2.67211 , 38.13406"/>
    <s v="-2.67225 , 38.13494"/>
    <n v="0.125"/>
    <n v="1"/>
  </r>
  <r>
    <x v="2"/>
    <x v="143"/>
    <x v="163"/>
    <x v="2"/>
    <d v="2025-07-11T11:04:55"/>
    <s v="Fri"/>
    <n v="2025"/>
    <x v="5"/>
    <x v="25"/>
    <d v="2025-07-11T11:05:44"/>
    <n v="94"/>
    <s v="km/h"/>
    <s v="00:00:49"/>
    <n v="0.81666666666666665"/>
    <m/>
    <m/>
    <m/>
    <m/>
    <s v="-1.0801, 37.0435"/>
    <s v="-1.0888, 37.0360"/>
    <n v="1"/>
    <n v="1"/>
  </r>
  <r>
    <x v="0"/>
    <x v="2"/>
    <x v="205"/>
    <x v="2"/>
    <d v="2025-07-11T11:02:46"/>
    <s v="Fri"/>
    <n v="2025"/>
    <x v="5"/>
    <x v="25"/>
    <d v="2025-07-11T11:02:50"/>
    <n v="81"/>
    <s v="km/h"/>
    <s v="00:00:04"/>
    <n v="6.6666666666666666E-2"/>
    <s v="Uasin Gishu"/>
    <s v="Uasin Gishu"/>
    <m/>
    <m/>
    <s v="0.24971 , 35.40718"/>
    <s v="0.25037 , 35.40642"/>
    <n v="9.3700000000000006E-2"/>
    <n v="1"/>
  </r>
  <r>
    <x v="0"/>
    <x v="2"/>
    <x v="205"/>
    <x v="2"/>
    <d v="2025-07-11T10:33:13"/>
    <s v="Fri"/>
    <n v="2025"/>
    <x v="5"/>
    <x v="25"/>
    <d v="2025-07-11T10:33:26"/>
    <n v="93"/>
    <s v="km/h"/>
    <s v="00:00:13"/>
    <n v="0.21666666666666667"/>
    <s v="Uasin Gishu"/>
    <s v="Uasin Gishu"/>
    <m/>
    <m/>
    <s v="0.09964 , 35.49184"/>
    <s v="0.0993 , 35.48877"/>
    <n v="0.3125"/>
    <n v="1"/>
  </r>
  <r>
    <x v="0"/>
    <x v="2"/>
    <x v="205"/>
    <x v="2"/>
    <d v="2025-07-11T08:59:34"/>
    <s v="Fri"/>
    <n v="2025"/>
    <x v="5"/>
    <x v="25"/>
    <d v="2025-07-11T08:59:35"/>
    <n v="81"/>
    <s v="km/h"/>
    <s v="00:00:01"/>
    <n v="1.6666666666666666E-2"/>
    <s v="Nakuru"/>
    <s v="Nakuru"/>
    <m/>
    <m/>
    <s v="-0.13715 , 35.6777"/>
    <s v="-0.13696 , 35.67774"/>
    <n v="9.3700000000000006E-2"/>
    <n v="1"/>
  </r>
  <r>
    <x v="3"/>
    <x v="45"/>
    <x v="46"/>
    <x v="1"/>
    <d v="2025-07-11T08:25:30"/>
    <s v="Fri"/>
    <n v="2025"/>
    <x v="5"/>
    <x v="25"/>
    <d v="2025-07-11T08:25:33"/>
    <n v="35"/>
    <s v="km/h"/>
    <s v="00:00:03"/>
    <n v="0.05"/>
    <s v="Nakuru"/>
    <s v="Nakuru"/>
    <m/>
    <m/>
    <s v="-0.15915 , 35.69291"/>
    <s v="-0.15924 , 35.6926"/>
    <n v="0"/>
    <n v="1"/>
  </r>
  <r>
    <x v="2"/>
    <x v="177"/>
    <x v="206"/>
    <x v="2"/>
    <d v="2025-07-11T05:47:14"/>
    <s v="Fri"/>
    <n v="2025"/>
    <x v="5"/>
    <x v="25"/>
    <d v="2025-07-11T05:48:34"/>
    <n v="98"/>
    <s v="km/h"/>
    <s v="00:01:19"/>
    <n v="1.3166666666666667"/>
    <m/>
    <m/>
    <m/>
    <m/>
    <s v="-1.2140, 36.8981"/>
    <s v="-1.2069, 36.9140"/>
    <n v="2"/>
    <n v="1"/>
  </r>
  <r>
    <x v="0"/>
    <x v="2"/>
    <x v="205"/>
    <x v="0"/>
    <d v="2025-07-10T23:48:54"/>
    <s v="Thu"/>
    <n v="2025"/>
    <x v="5"/>
    <x v="25"/>
    <d v="2025-07-11T00:00:18"/>
    <n v="0"/>
    <s v="km"/>
    <s v="00:11:24"/>
    <n v="11.4"/>
    <s v="Nakuru"/>
    <s v="Nakuru"/>
    <m/>
    <m/>
    <s v="-0.22331 , 35.88266"/>
    <s v="-0.22331 , 35.88266"/>
    <n v="0"/>
    <n v="1"/>
  </r>
  <r>
    <x v="0"/>
    <x v="2"/>
    <x v="205"/>
    <x v="0"/>
    <d v="2025-07-10T23:44:44"/>
    <s v="Thu"/>
    <n v="2025"/>
    <x v="5"/>
    <x v="25"/>
    <d v="2025-07-10T23:45:36"/>
    <n v="0"/>
    <s v="km"/>
    <s v="00:00:52"/>
    <n v="0.8666666666666667"/>
    <s v="Nakuru"/>
    <s v="Nakuru"/>
    <m/>
    <m/>
    <s v="-0.22463 , 35.88359"/>
    <s v="-0.22427 , 35.88376"/>
    <n v="0"/>
    <n v="1"/>
  </r>
  <r>
    <x v="0"/>
    <x v="111"/>
    <x v="207"/>
    <x v="3"/>
    <d v="2025-07-10T18:31:51"/>
    <s v="Thu"/>
    <n v="2025"/>
    <x v="5"/>
    <x v="25"/>
    <d v="2025-07-10T18:31:52"/>
    <n v="23"/>
    <s v="km/h/s"/>
    <s v="00:00:01"/>
    <n v="1.6666666666666666E-2"/>
    <s v="Baringo"/>
    <m/>
    <m/>
    <m/>
    <s v="0.04025 , 35.5372"/>
    <m/>
    <n v="0"/>
    <n v="1"/>
  </r>
  <r>
    <x v="0"/>
    <x v="74"/>
    <x v="75"/>
    <x v="1"/>
    <d v="2025-07-10T17:48:07"/>
    <s v="Thu"/>
    <n v="2025"/>
    <x v="5"/>
    <x v="25"/>
    <d v="2025-07-10T17:48:08"/>
    <n v="36"/>
    <s v="km/h"/>
    <s v="00:00:01"/>
    <n v="1.6666666666666666E-2"/>
    <s v="Murang'a"/>
    <s v="Murang'a"/>
    <m/>
    <m/>
    <s v="-0.87306 , 37.14177"/>
    <s v="-0.87321 , 37.14178"/>
    <n v="0"/>
    <n v="1"/>
  </r>
  <r>
    <x v="2"/>
    <x v="146"/>
    <x v="166"/>
    <x v="2"/>
    <d v="2025-07-10T09:52:20"/>
    <s v="Thu"/>
    <n v="2025"/>
    <x v="5"/>
    <x v="25"/>
    <d v="2025-07-10T09:54:59"/>
    <n v="88"/>
    <s v="km/h"/>
    <s v="00:02:39"/>
    <n v="2.65"/>
    <m/>
    <m/>
    <m/>
    <m/>
    <s v="-0.8016, 36.4634"/>
    <s v="-0.7708, 36.4503"/>
    <n v="4"/>
    <n v="1"/>
  </r>
  <r>
    <x v="0"/>
    <x v="178"/>
    <x v="208"/>
    <x v="2"/>
    <d v="2025-07-09T23:35:26"/>
    <s v="Wed"/>
    <n v="2025"/>
    <x v="5"/>
    <x v="25"/>
    <d v="2025-07-09T23:35:30"/>
    <n v="82"/>
    <s v="km/h"/>
    <s v="00:00:04"/>
    <n v="6.6666666666666666E-2"/>
    <s v="Laikipia"/>
    <s v="Laikipia"/>
    <m/>
    <m/>
    <s v="-0.074 , 36.60322"/>
    <s v="-0.07383 , 36.60222"/>
    <n v="9.3799999999999994E-2"/>
    <n v="1"/>
  </r>
  <r>
    <x v="0"/>
    <x v="178"/>
    <x v="208"/>
    <x v="2"/>
    <d v="2025-07-09T23:21:45"/>
    <s v="Wed"/>
    <n v="2025"/>
    <x v="5"/>
    <x v="25"/>
    <d v="2025-07-09T23:22:00"/>
    <n v="90"/>
    <s v="km/h"/>
    <s v="00:00:15"/>
    <n v="0.25"/>
    <s v="Nyeri"/>
    <s v="Nyeri"/>
    <m/>
    <m/>
    <s v="-0.13744 , 36.70656"/>
    <s v="-0.13575 , 36.70353"/>
    <n v="0.40620000000000001"/>
    <n v="1"/>
  </r>
  <r>
    <x v="0"/>
    <x v="178"/>
    <x v="208"/>
    <x v="2"/>
    <d v="2025-07-09T23:19:14"/>
    <s v="Wed"/>
    <n v="2025"/>
    <x v="5"/>
    <x v="25"/>
    <d v="2025-07-09T23:19:15"/>
    <n v="81"/>
    <s v="km/h"/>
    <s v="00:00:01"/>
    <n v="1.6666666666666666E-2"/>
    <s v="Nyeri"/>
    <s v="Nyeri"/>
    <m/>
    <m/>
    <s v="-0.15242 , 36.72058"/>
    <s v="-0.15219 , 36.72025"/>
    <n v="0.1094"/>
    <n v="1"/>
  </r>
  <r>
    <x v="0"/>
    <x v="178"/>
    <x v="208"/>
    <x v="2"/>
    <d v="2025-07-09T23:15:59"/>
    <s v="Wed"/>
    <n v="2025"/>
    <x v="5"/>
    <x v="25"/>
    <d v="2025-07-09T23:16:13"/>
    <n v="88"/>
    <s v="km/h"/>
    <s v="00:00:14"/>
    <n v="0.23333333333333334"/>
    <s v="Nyeri"/>
    <s v="Nyeri"/>
    <m/>
    <m/>
    <s v="-0.16467 , 36.74742"/>
    <s v="-0.16194 , 36.74617"/>
    <n v="0.29680000000000001"/>
    <n v="1"/>
  </r>
  <r>
    <x v="2"/>
    <x v="64"/>
    <x v="67"/>
    <x v="2"/>
    <d v="2025-07-09T11:18:25"/>
    <s v="Wed"/>
    <n v="2025"/>
    <x v="5"/>
    <x v="25"/>
    <d v="2025-07-09T11:20:26"/>
    <n v="107"/>
    <s v="km/h"/>
    <m/>
    <n v="0"/>
    <m/>
    <m/>
    <m/>
    <m/>
    <s v="-1.5087, 37.0952"/>
    <s v=", -1.5087, 37.0952"/>
    <n v="3.1"/>
    <n v="1"/>
  </r>
  <r>
    <x v="1"/>
    <x v="156"/>
    <x v="53"/>
    <x v="3"/>
    <d v="2025-07-08T19:50:34"/>
    <s v="Tue"/>
    <n v="2025"/>
    <x v="5"/>
    <x v="25"/>
    <d v="2025-07-08T19:50:35"/>
    <n v="29"/>
    <s v="km/h/s"/>
    <s v="00:00:01"/>
    <n v="1.6666666666666666E-2"/>
    <s v="Meru"/>
    <m/>
    <m/>
    <m/>
    <s v="-0.14489 , 37.81311"/>
    <m/>
    <n v="0"/>
    <n v="1"/>
  </r>
  <r>
    <x v="2"/>
    <x v="179"/>
    <x v="209"/>
    <x v="2"/>
    <d v="2025-07-08T18:08:22"/>
    <s v="Tue"/>
    <n v="2025"/>
    <x v="5"/>
    <x v="25"/>
    <d v="2025-07-08T18:09:52"/>
    <n v="94"/>
    <s v="km/h"/>
    <m/>
    <n v="0"/>
    <m/>
    <m/>
    <m/>
    <m/>
    <s v="-0.0185, 37.7445"/>
    <s v=", -0.0185, 37.7445"/>
    <n v="2.1"/>
    <n v="1"/>
  </r>
  <r>
    <x v="0"/>
    <x v="180"/>
    <x v="210"/>
    <x v="2"/>
    <d v="2025-07-08T18:02:12"/>
    <s v="Tue"/>
    <n v="2025"/>
    <x v="5"/>
    <x v="25"/>
    <d v="2025-07-08T18:02:21"/>
    <n v="83"/>
    <s v="km/h"/>
    <s v="00:00:09"/>
    <n v="0.15"/>
    <s v="Nakuru"/>
    <s v="Nakuru"/>
    <m/>
    <m/>
    <s v="-0.23663 , 35.91106"/>
    <s v="-0.23563 , 35.90899"/>
    <n v="0.2031"/>
    <n v="1"/>
  </r>
  <r>
    <x v="0"/>
    <x v="178"/>
    <x v="208"/>
    <x v="2"/>
    <d v="2025-07-08T15:26:40"/>
    <s v="Tue"/>
    <n v="2025"/>
    <x v="5"/>
    <x v="25"/>
    <d v="2025-07-08T15:26:40"/>
    <n v="81"/>
    <s v="km/h"/>
    <s v="00:00:00"/>
    <n v="0"/>
    <s v="Murang'a"/>
    <s v="Murang'a"/>
    <m/>
    <m/>
    <s v="-0.73136 , 36.96608"/>
    <s v="-0.73136 , 36.96608"/>
    <n v="0"/>
    <n v="1"/>
  </r>
  <r>
    <x v="2"/>
    <x v="181"/>
    <x v="211"/>
    <x v="2"/>
    <d v="2025-07-07T22:32:33"/>
    <s v="Mon"/>
    <n v="2025"/>
    <x v="5"/>
    <x v="25"/>
    <d v="2025-07-07T22:33:21"/>
    <n v="86"/>
    <s v="km/h"/>
    <m/>
    <n v="0"/>
    <m/>
    <m/>
    <m/>
    <m/>
    <s v="-2.1765, 37.6458"/>
    <s v=", -2.1765, 37.6458"/>
    <n v="1.2"/>
    <n v="1"/>
  </r>
  <r>
    <x v="0"/>
    <x v="180"/>
    <x v="210"/>
    <x v="2"/>
    <d v="2025-07-07T21:08:11"/>
    <s v="Mon"/>
    <n v="2025"/>
    <x v="5"/>
    <x v="25"/>
    <d v="2025-07-07T21:08:14"/>
    <n v="84"/>
    <s v="km/h"/>
    <s v="00:00:03"/>
    <n v="0.05"/>
    <s v="Uasin Gishu"/>
    <s v="Uasin Gishu"/>
    <m/>
    <m/>
    <s v="0.09949 , 35.49048"/>
    <s v="0.09939 , 35.48959"/>
    <n v="0.10150000000000001"/>
    <n v="1"/>
  </r>
  <r>
    <x v="2"/>
    <x v="182"/>
    <x v="212"/>
    <x v="2"/>
    <d v="2025-07-07T17:37:56"/>
    <s v="Mon"/>
    <n v="2025"/>
    <x v="5"/>
    <x v="25"/>
    <d v="2025-07-07T17:39:15"/>
    <n v="88"/>
    <s v="km/h"/>
    <m/>
    <n v="0"/>
    <m/>
    <m/>
    <m/>
    <m/>
    <s v="-1.5042, 37.0883"/>
    <s v=", -1.5042, 37.0883"/>
    <n v="1.9"/>
    <n v="1"/>
  </r>
  <r>
    <x v="2"/>
    <x v="183"/>
    <x v="213"/>
    <x v="2"/>
    <d v="2025-07-07T08:13:12"/>
    <s v="Mon"/>
    <n v="2025"/>
    <x v="5"/>
    <x v="25"/>
    <d v="2025-07-07T08:13:28"/>
    <n v="83"/>
    <s v="km/h"/>
    <m/>
    <n v="0"/>
    <m/>
    <m/>
    <m/>
    <m/>
    <s v="-0.8217, 37.2392"/>
    <s v=", -0.8217, 37.2392"/>
    <n v="0.5"/>
    <n v="1"/>
  </r>
  <r>
    <x v="2"/>
    <x v="151"/>
    <x v="172"/>
    <x v="2"/>
    <d v="2025-07-06T09:56:09"/>
    <s v="Sun"/>
    <n v="2025"/>
    <x v="5"/>
    <x v="25"/>
    <d v="2025-07-06T09:56:24"/>
    <n v="84"/>
    <s v="km/h"/>
    <m/>
    <n v="0"/>
    <m/>
    <m/>
    <m/>
    <m/>
    <s v="-1.2012, 36.7633"/>
    <s v=", -1.2012, 36.7633"/>
    <n v="0.5"/>
    <n v="1"/>
  </r>
  <r>
    <x v="2"/>
    <x v="184"/>
    <x v="214"/>
    <x v="2"/>
    <d v="2025-07-06T07:01:34"/>
    <s v="Sun"/>
    <n v="2025"/>
    <x v="5"/>
    <x v="25"/>
    <d v="2025-07-06T07:03:24"/>
    <n v="89"/>
    <s v="km/h"/>
    <m/>
    <n v="0"/>
    <m/>
    <m/>
    <m/>
    <m/>
    <s v="-0.9319, 36.5346"/>
    <s v=", -0.9319, 36.5346"/>
    <n v="2.6"/>
    <n v="1"/>
  </r>
  <r>
    <x v="0"/>
    <x v="180"/>
    <x v="210"/>
    <x v="2"/>
    <d v="2025-07-06T04:56:14"/>
    <s v="Sun"/>
    <n v="2025"/>
    <x v="5"/>
    <x v="25"/>
    <d v="2025-07-06T04:56:15"/>
    <n v="82"/>
    <s v="km/h"/>
    <s v="00:00:01"/>
    <n v="1.6666666666666666E-2"/>
    <s v="Nakuru"/>
    <s v="Nakuru"/>
    <m/>
    <m/>
    <s v="-0.13751 , 35.6777"/>
    <s v="-0.13707 , 35.67777"/>
    <n v="0"/>
    <n v="1"/>
  </r>
  <r>
    <x v="1"/>
    <x v="185"/>
    <x v="131"/>
    <x v="1"/>
    <d v="2025-07-05T12:37:13"/>
    <s v="Sat"/>
    <n v="2025"/>
    <x v="5"/>
    <x v="26"/>
    <d v="2025-07-05T12:37:35"/>
    <n v="39"/>
    <s v="km/h"/>
    <s v="00:00:22"/>
    <n v="0.36666666666666664"/>
    <s v="Nairobi"/>
    <s v="Nairobi"/>
    <m/>
    <m/>
    <s v="-1.33372 , 36.89017"/>
    <s v="-1.33236 , 36.88869"/>
    <n v="0.3125"/>
    <n v="1"/>
  </r>
  <r>
    <x v="1"/>
    <x v="185"/>
    <x v="131"/>
    <x v="3"/>
    <d v="2025-07-05T06:59:56"/>
    <s v="Sat"/>
    <n v="2025"/>
    <x v="5"/>
    <x v="26"/>
    <d v="2025-07-05T06:59:57"/>
    <n v="17"/>
    <s v="km/h/s"/>
    <s v="00:00:01"/>
    <n v="1.6666666666666666E-2"/>
    <s v="Makueni"/>
    <m/>
    <m/>
    <m/>
    <s v="-2.52625 , 38.01958"/>
    <m/>
    <n v="0"/>
    <n v="1"/>
  </r>
  <r>
    <x v="1"/>
    <x v="19"/>
    <x v="94"/>
    <x v="1"/>
    <d v="2025-07-04T15:39:48"/>
    <s v="Fri"/>
    <n v="2025"/>
    <x v="5"/>
    <x v="26"/>
    <d v="2025-07-04T15:39:48"/>
    <n v="31"/>
    <s v="km/h"/>
    <s v="00:00:00"/>
    <n v="0"/>
    <s v="Kitui"/>
    <s v="Kitui"/>
    <m/>
    <m/>
    <s v="-1.10519 , 37.76792"/>
    <s v="-1.10519 , 37.76792"/>
    <n v="0"/>
    <n v="1"/>
  </r>
  <r>
    <x v="2"/>
    <x v="146"/>
    <x v="166"/>
    <x v="2"/>
    <d v="2025-07-04T14:11:29"/>
    <s v="Fri"/>
    <n v="2025"/>
    <x v="5"/>
    <x v="26"/>
    <d v="2025-07-04T14:11:56"/>
    <n v="94"/>
    <s v="km/h"/>
    <m/>
    <n v="0"/>
    <m/>
    <m/>
    <m/>
    <m/>
    <s v="-0.8225, 37.2382"/>
    <s v=", -0.8225, 37.2382"/>
    <n v="0.7"/>
    <n v="1"/>
  </r>
  <r>
    <x v="2"/>
    <x v="186"/>
    <x v="215"/>
    <x v="2"/>
    <d v="2025-07-04T12:51:03"/>
    <s v="Fri"/>
    <n v="2025"/>
    <x v="5"/>
    <x v="26"/>
    <d v="2025-07-04T12:51:43"/>
    <n v="97"/>
    <s v="km/h"/>
    <m/>
    <n v="0"/>
    <m/>
    <m/>
    <m/>
    <m/>
    <s v="-1.0014, 35.6277"/>
    <s v=", -1.0014, 35.6277"/>
    <n v="1"/>
    <n v="1"/>
  </r>
  <r>
    <x v="2"/>
    <x v="182"/>
    <x v="212"/>
    <x v="2"/>
    <d v="2025-07-04T06:51:45"/>
    <s v="Fri"/>
    <n v="2025"/>
    <x v="5"/>
    <x v="26"/>
    <d v="2025-07-04T06:53:44"/>
    <n v="98"/>
    <s v="km/h"/>
    <m/>
    <n v="0"/>
    <m/>
    <m/>
    <m/>
    <m/>
    <s v="-1.5086, 37.0951"/>
    <s v=", -1.5086, 37.0951"/>
    <n v="3"/>
    <n v="1"/>
  </r>
  <r>
    <x v="1"/>
    <x v="187"/>
    <x v="216"/>
    <x v="2"/>
    <d v="2025-05-19T19:30:09"/>
    <s v="Mon"/>
    <n v="2025"/>
    <x v="6"/>
    <x v="27"/>
    <d v="2025-05-19T19:30:10"/>
    <n v="81"/>
    <s v="km/h"/>
    <s v="00:00:01"/>
    <n v="1.6666666666666666E-2"/>
    <s v="Kiambu"/>
    <s v="Kiambu"/>
    <s v="Thika Road, Witeithie ward, Juja, Kiambu, Central Kenya, Kenya"/>
    <s v="Thika Road, Witeithie ward, Juja, Kiambu, Central Kenya, Kenya"/>
    <s v="-1.0829 , 37.04137"/>
    <s v="-1.08322 , 37.04111"/>
    <n v="0"/>
    <n v="1"/>
  </r>
  <r>
    <x v="1"/>
    <x v="187"/>
    <x v="216"/>
    <x v="2"/>
    <d v="2025-05-19T19:23:37"/>
    <s v="Mon"/>
    <n v="2025"/>
    <x v="6"/>
    <x v="27"/>
    <d v="2025-05-19T19:23:39"/>
    <n v="83"/>
    <s v="km/h"/>
    <s v="00:00:02"/>
    <n v="3.3333333333333333E-2"/>
    <s v="Kiambu"/>
    <s v="Kiambu"/>
    <s v="Meru-Nairobi Highway, Thika Township ward, Thika Town, Kiambu, Central Kenya, 01000, Kenya"/>
    <s v="Meru-Nairobi Highway, Thika Township ward, Thika Town, Kiambu, Central Kenya, 01000, Kenya"/>
    <s v="-1.02283 , 37.06789"/>
    <s v="-1.02331 , 37.06748"/>
    <n v="0"/>
    <n v="1"/>
  </r>
  <r>
    <x v="1"/>
    <x v="187"/>
    <x v="216"/>
    <x v="2"/>
    <d v="2025-05-19T19:16:12"/>
    <s v="Mon"/>
    <n v="2025"/>
    <x v="6"/>
    <x v="27"/>
    <d v="2025-05-19T19:16:14"/>
    <n v="82"/>
    <s v="km/h"/>
    <s v="00:00:02"/>
    <n v="3.3333333333333333E-2"/>
    <s v="Murang'a"/>
    <s v="Murang'a"/>
    <s v="Meru-Nairobi Highway, Kenol, Murang`a South, Murang`a, Central Kenya, Kenya"/>
    <s v="Meru-Nairobi Highway, Kenol, Murang`a South, Murang`a, Central Kenya, Kenya"/>
    <s v="-0.96125 , 37.10619"/>
    <s v="-0.9615 , 37.10561"/>
    <n v="0.125"/>
    <n v="1"/>
  </r>
  <r>
    <x v="0"/>
    <x v="59"/>
    <x v="217"/>
    <x v="3"/>
    <d v="2025-05-19T15:59:35"/>
    <s v="Mon"/>
    <n v="2025"/>
    <x v="6"/>
    <x v="27"/>
    <d v="2025-05-19T15:59:36"/>
    <n v="17"/>
    <s v="km/h/s"/>
    <s v="00:00:01"/>
    <n v="1.6666666666666666E-2"/>
    <s v="Nakuru"/>
    <m/>
    <s v="Nakuru - Eldoret Road, Ngata sublocation, Cdn Ngata Estate, Mosop ward, Rongai, Nakuru, Rift Valley, Kenya"/>
    <m/>
    <s v="-0.25684 , 35.98869"/>
    <m/>
    <n v="0"/>
    <n v="1"/>
  </r>
  <r>
    <x v="1"/>
    <x v="188"/>
    <x v="218"/>
    <x v="2"/>
    <d v="2025-05-18T18:39:40"/>
    <s v="Sun"/>
    <n v="2025"/>
    <x v="6"/>
    <x v="27"/>
    <d v="2025-05-18T18:39:40"/>
    <n v="81"/>
    <s v="km/h"/>
    <s v="00:00:00"/>
    <n v="0"/>
    <s v="Uasin Gishu"/>
    <s v="Uasin Gishu"/>
    <s v="Eldoret-Nakuru Road, Tarakwa ward, Kesses, Uasin Gishu, Rift Valley, Kenya"/>
    <s v="Eldoret-Nakuru Road, Tarakwa ward, Kesses, Uasin Gishu, Rift Valley, Kenya"/>
    <s v="0.12219 , 35.46422"/>
    <s v="0.12219 , 35.46422"/>
    <n v="0"/>
    <n v="1"/>
  </r>
  <r>
    <x v="2"/>
    <x v="68"/>
    <x v="70"/>
    <x v="2"/>
    <d v="2025-05-18T17:23:59"/>
    <s v="Sun"/>
    <n v="2025"/>
    <x v="6"/>
    <x v="27"/>
    <d v="2025-05-18T17:24:24"/>
    <n v="84"/>
    <s v="km/h"/>
    <s v="00:00:25"/>
    <n v="0.41666666666666669"/>
    <m/>
    <m/>
    <s v="Eldoret Kapsabet Road, Musoriot, Lelmoko/Ngechek ward, Chesumei, Nandi County, Rift Valley, KE"/>
    <s v="Lelmoko/Ngechek ward, Chesumei, Nandi County, Rift Valley, KE"/>
    <s v="0.3467, 35.1924"/>
    <s v="0.3527, 35.1936"/>
    <n v="0.7"/>
    <n v="1"/>
  </r>
  <r>
    <x v="1"/>
    <x v="188"/>
    <x v="218"/>
    <x v="2"/>
    <d v="2025-05-18T11:40:05"/>
    <s v="Sun"/>
    <n v="2025"/>
    <x v="6"/>
    <x v="27"/>
    <d v="2025-05-18T11:40:05"/>
    <n v="81"/>
    <s v="km/h"/>
    <s v="00:00:00"/>
    <n v="0"/>
    <s v="Nakuru"/>
    <s v="Nakuru"/>
    <s v="Naivasha-Mai Mahiu-Limuru Rd., Longonot sublocation, Astu, Hells Gate ward, Naivasha, Nakuru, Rift Valley, Kenya"/>
    <s v="Naivasha-Mai Mahiu-Limuru Rd., Longonot sublocation, Astu, Hells Gate ward, Naivasha, Nakuru, Rift Valley, Kenya"/>
    <s v="-0.79297 , 36.46061"/>
    <s v="-0.79297 , 36.46061"/>
    <n v="0"/>
    <n v="1"/>
  </r>
  <r>
    <x v="2"/>
    <x v="189"/>
    <x v="219"/>
    <x v="0"/>
    <d v="2025-05-18T03:06:45"/>
    <s v="Sun"/>
    <n v="2025"/>
    <x v="6"/>
    <x v="27"/>
    <d v="2025-05-18T03:48:42"/>
    <m/>
    <m/>
    <s v="00:41:57"/>
    <n v="41.95"/>
    <m/>
    <m/>
    <s v="Naivasha-Mai Mahiu-Limuru Rd., Social Area, Naivasha, Naivasha, Nakuru, Rift Valley, KE"/>
    <s v="Nairobi-Nakuru Road, weigh bridge, Gilgil ward, Gilgil, Nakuru, Rift Valley, KE"/>
    <s v="-0.7120, 36.4293"/>
    <s v="-0.5786, 36.3666"/>
    <n v="18"/>
    <n v="1"/>
  </r>
  <r>
    <x v="1"/>
    <x v="53"/>
    <x v="220"/>
    <x v="2"/>
    <d v="2025-05-17T14:36:08"/>
    <s v="Sat"/>
    <n v="2025"/>
    <x v="6"/>
    <x v="28"/>
    <d v="2025-05-17T14:36:09"/>
    <n v="85"/>
    <s v="km/h"/>
    <s v="00:00:01"/>
    <n v="1.6666666666666666E-2"/>
    <s v="Murang'a"/>
    <s v="Murang'a"/>
    <s v="Murang'a- Nairobi Road, Murang'a, Kiharu, Murang`a, Central Kenya, 10200, Kenya"/>
    <s v="Murang'a- Nairobi Road, Murang'a, Kiharu, Murang`a, Central Kenya, 10200, Kenya"/>
    <s v="-0.74178 , 37.16275"/>
    <s v="-0.74211 , 37.16297"/>
    <n v="0.125"/>
    <n v="1"/>
  </r>
  <r>
    <x v="0"/>
    <x v="2"/>
    <x v="210"/>
    <x v="2"/>
    <d v="2025-05-17T10:47:49"/>
    <s v="Sat"/>
    <n v="2025"/>
    <x v="6"/>
    <x v="28"/>
    <d v="2025-05-17T10:47:52"/>
    <n v="83"/>
    <s v="km/h"/>
    <s v="00:00:03"/>
    <n v="0.05"/>
    <s v="Murang'a"/>
    <s v="Murang'a"/>
    <s v="Meru-Nairobi Highway, Kenol, Gatanga, Murang`a, Central Kenya, Kenya"/>
    <s v="Meru-Nairobi Highway, Kenol, Gatanga, Murang`a, Central Kenya, Kenya"/>
    <s v="-0.97491 , 37.09627"/>
    <s v="-0.97411 , 37.0964"/>
    <n v="9.4E-2"/>
    <n v="1"/>
  </r>
  <r>
    <x v="0"/>
    <x v="2"/>
    <x v="210"/>
    <x v="2"/>
    <d v="2025-05-17T10:11:21"/>
    <s v="Sat"/>
    <n v="2025"/>
    <x v="6"/>
    <x v="28"/>
    <d v="2025-05-17T10:11:24"/>
    <n v="82"/>
    <s v="km/h"/>
    <s v="00:00:03"/>
    <n v="0.05"/>
    <s v="Kiambu"/>
    <s v="Kiambu"/>
    <s v="Thika Road, Kahawa West ward, Kasarani, Nairobi, Ruiru, Nairobi, 00609, Kenya"/>
    <s v="Thika Road, Kahawa West ward, Kasarani, Nairobi, Ruiru, Nairobi, 00609, Kenya"/>
    <s v="-1.17615 , 36.94261"/>
    <s v="-1.17554 , 36.94315"/>
    <n v="0"/>
    <n v="1"/>
  </r>
  <r>
    <x v="3"/>
    <x v="69"/>
    <x v="158"/>
    <x v="1"/>
    <d v="2025-05-17T05:48:20"/>
    <s v="Sat"/>
    <n v="2025"/>
    <x v="6"/>
    <x v="28"/>
    <d v="2025-05-17T05:48:22"/>
    <n v="57"/>
    <s v="km/h"/>
    <s v="00:00:02"/>
    <n v="3.3333333333333333E-2"/>
    <s v="Kiambu"/>
    <s v="Kiambu"/>
    <s v="Limuru-Maimahiu Rd., Kamirithu sublocation, Limuru, Bibirioni ward, Limuru, Kiambu, Central Kenya, 00217, Kenya"/>
    <s v="Limuru-Maimahiu Rd., Kamirithu sublocation, Limuru, Bibirioni ward, Limuru, Kiambu, Central Kenya, 00217, Kenya"/>
    <s v="-1.07854 , 36.60247"/>
    <s v="-1.07813 , 36.60242"/>
    <n v="0"/>
    <n v="1"/>
  </r>
  <r>
    <x v="3"/>
    <x v="6"/>
    <x v="6"/>
    <x v="0"/>
    <d v="2025-05-16T23:31:50"/>
    <s v="Fri"/>
    <n v="2025"/>
    <x v="6"/>
    <x v="28"/>
    <d v="2025-05-17T00:58:07"/>
    <n v="63.1"/>
    <s v="km"/>
    <s v="01:26:17"/>
    <n v="86.283333333333331"/>
    <s v="Nakuru"/>
    <s v="Nakuru"/>
    <s v="Nakuru - Eldoret Road, Kapsaos, Kamara ward, Kuresoi North, Nakuru, Rift Valley, Kenya"/>
    <s v="Total, Old Nairobi Road, Mbaruk sublocation, Greensteads, Nakuru, Gilgil, Nakuru, Rift Valley, 20116, Kenya"/>
    <s v="-0.16888 , 35.70351"/>
    <s v="-0.32949 , 36.15796"/>
    <n v="63"/>
    <n v="1"/>
  </r>
  <r>
    <x v="1"/>
    <x v="19"/>
    <x v="221"/>
    <x v="3"/>
    <d v="2025-05-16T19:05:42"/>
    <s v="Fri"/>
    <n v="2025"/>
    <x v="6"/>
    <x v="28"/>
    <d v="2025-05-16T19:05:42"/>
    <n v="19"/>
    <s v="km/h/s"/>
    <s v="00:00:00"/>
    <n v="0"/>
    <s v="Nairobi"/>
    <s v="Nairobi"/>
    <s v="DHL-Kasarani"/>
    <s v="DHL-Kasarani"/>
    <s v="-1.22483 , 36.88592"/>
    <s v="-1.22483 , 36.88592"/>
    <n v="0"/>
    <n v="1"/>
  </r>
  <r>
    <x v="2"/>
    <x v="190"/>
    <x v="222"/>
    <x v="2"/>
    <d v="2025-05-16T13:53:33"/>
    <s v="Fri"/>
    <n v="2025"/>
    <x v="6"/>
    <x v="28"/>
    <d v="2025-05-16T13:53:58"/>
    <n v="89"/>
    <s v="km/h"/>
    <s v="00:00:24"/>
    <n v="0.4"/>
    <m/>
    <m/>
    <s v="Kericho-Kisumu Highway, Londiani Junction, Chepseon, Chepseon ward, Kipkelion East, Kericho County, Rift Valley, 20200, KE"/>
    <s v="Kericho-Kisumu Highway, Londiani Junction, Chepseon, Chepseon ward, Kipkelion East, Kericho County, Rift Valley, 20200, KE"/>
    <s v="-0.3125, 35.3839"/>
    <s v="-0.3156, 35.3784"/>
    <n v="0.7"/>
    <n v="1"/>
  </r>
  <r>
    <x v="0"/>
    <x v="2"/>
    <x v="210"/>
    <x v="0"/>
    <d v="2025-05-16T02:51:11"/>
    <s v="Fri"/>
    <n v="2025"/>
    <x v="6"/>
    <x v="28"/>
    <d v="2025-05-16T03:02:59"/>
    <n v="2.1"/>
    <s v="km"/>
    <s v="00:11:48"/>
    <n v="11.8"/>
    <s v="Kiambu"/>
    <s v="Kiambu"/>
    <s v="Thika Road, Theta ward, Juja, Kiambu, Central Kenya, 01001, Kenya"/>
    <s v="Thika Road, Kihunguro, Gatongora ward, Ruiru, Kiambu, Central Kenya, 01001, Kenya"/>
    <s v="-1.1372 , 36.97068"/>
    <s v="-1.15133 , 36.96171"/>
    <n v="1.9059999999999999"/>
    <n v="1"/>
  </r>
  <r>
    <x v="0"/>
    <x v="2"/>
    <x v="210"/>
    <x v="0"/>
    <d v="2025-05-16T01:29:55"/>
    <s v="Fri"/>
    <n v="2025"/>
    <x v="6"/>
    <x v="28"/>
    <d v="2025-05-16T02:41:58"/>
    <n v="38.5"/>
    <s v="km"/>
    <s v="01:12:03"/>
    <n v="72.05"/>
    <s v="Murang'a"/>
    <s v="Kiambu"/>
    <s v="Embu-Nairobi Highway, Kambiti Town, Murang`a South, Murang`a, Central Kenya, Kenya"/>
    <s v="Thika Road, Theta ward, Juja, Kiambu, Central Kenya, 01001, Kenya"/>
    <s v="-0.91588 , 37.20012"/>
    <s v="-1.13558 , 36.97171"/>
    <n v="38.311999999999998"/>
    <n v="1"/>
  </r>
  <r>
    <x v="1"/>
    <x v="53"/>
    <x v="220"/>
    <x v="2"/>
    <d v="2025-05-15T11:22:06"/>
    <s v="Thu"/>
    <n v="2025"/>
    <x v="6"/>
    <x v="28"/>
    <d v="2025-05-15T11:22:06"/>
    <n v="84"/>
    <s v="km/h"/>
    <s v="00:00:00"/>
    <n v="0"/>
    <s v="Murang'a"/>
    <s v="Murang'a"/>
    <s v="Meru-Nairobi Highway, Kenol, Gatanga, Murang`a, Central Kenya, Kenya"/>
    <s v="Meru-Nairobi Highway, Kenol, Gatanga, Murang`a, Central Kenya, Kenya"/>
    <s v="-0.96178 , 37.10453"/>
    <s v="-0.96178 , 37.10453"/>
    <n v="0"/>
    <n v="1"/>
  </r>
  <r>
    <x v="1"/>
    <x v="48"/>
    <x v="223"/>
    <x v="2"/>
    <d v="2025-05-15T09:38:39"/>
    <s v="Thu"/>
    <n v="2025"/>
    <x v="6"/>
    <x v="28"/>
    <d v="2025-05-15T09:38:39"/>
    <n v="81"/>
    <s v="km/h"/>
    <s v="00:00:00"/>
    <n v="0"/>
    <s v="Nairobi"/>
    <s v="Nairobi"/>
    <s v="Thika Road, Zimmerman, Zimmerman ward, Kasarani, Nairobi, 00608, Kenya"/>
    <s v="Thika Road, Zimmerman, Zimmerman ward, Kasarani, Nairobi, 00608, Kenya"/>
    <s v="-1.20869 , 36.91211"/>
    <s v="-1.20869 , 36.91211"/>
    <n v="0"/>
    <n v="1"/>
  </r>
  <r>
    <x v="3"/>
    <x v="69"/>
    <x v="158"/>
    <x v="1"/>
    <d v="2025-05-15T07:52:13"/>
    <s v="Thu"/>
    <n v="2025"/>
    <x v="6"/>
    <x v="28"/>
    <d v="2025-05-15T07:52:14"/>
    <n v="51"/>
    <s v="km/h"/>
    <s v="00:00:01"/>
    <n v="1.6666666666666666E-2"/>
    <s v="Kiambu"/>
    <s v="Kiambu"/>
    <s v="Thika Road, Juja ward, Juja, Kiambu, Central Kenya, 01001, Kenya"/>
    <s v="Thika Road, Juja ward, Juja, Kiambu, Central Kenya, 01001, Kenya"/>
    <s v="-1.09735 , 37.02583"/>
    <s v="-1.0972 , 37.026"/>
    <n v="0"/>
    <n v="1"/>
  </r>
  <r>
    <x v="0"/>
    <x v="164"/>
    <x v="187"/>
    <x v="0"/>
    <d v="2025-05-15T03:13:25"/>
    <s v="Thu"/>
    <n v="2025"/>
    <x v="6"/>
    <x v="28"/>
    <d v="2025-05-15T03:59:58"/>
    <n v="31.3"/>
    <s v="km"/>
    <s v="00:46:33"/>
    <n v="46.55"/>
    <s v="Makueni"/>
    <s v="Makueni"/>
    <s v="Mombasa Road, Mtito Andei, Kibwezi East, Makueni, Eastern, Kenya"/>
    <s v="Kinyambu Market, Mombasa Road, Thange, Kibwezi East, Makueni, Eastern, Kenya"/>
    <s v="-2.68936 , 38.1621"/>
    <s v="-2.48384 , 37.99664"/>
    <n v="31.187999999999999"/>
    <n v="1"/>
  </r>
  <r>
    <x v="1"/>
    <x v="191"/>
    <x v="224"/>
    <x v="0"/>
    <d v="2025-05-14T23:25:39"/>
    <s v="Wed"/>
    <n v="2025"/>
    <x v="6"/>
    <x v="28"/>
    <d v="2025-05-14T23:27:55"/>
    <n v="0.4"/>
    <s v="km"/>
    <s v="00:02:16"/>
    <n v="2.2666666666666666"/>
    <s v="Makueni"/>
    <s v="Makueni"/>
    <s v="Mombasa Road, Salama, Kilome, Makueni, Eastern, Kenya"/>
    <s v="Mombasa Road, Salama, Kilome, Makueni, Eastern, Kenya"/>
    <s v="-1.85034 , 37.2557"/>
    <s v="-1.84835 , 37.2543"/>
    <n v="45.875"/>
    <n v="1"/>
  </r>
  <r>
    <x v="0"/>
    <x v="164"/>
    <x v="187"/>
    <x v="0"/>
    <d v="2025-05-14T23:00:00"/>
    <s v="Wed"/>
    <n v="2025"/>
    <x v="6"/>
    <x v="28"/>
    <d v="2025-05-15T02:32:35"/>
    <n v="240"/>
    <s v="km"/>
    <s v="03:32:35"/>
    <n v="212.58333333333334"/>
    <s v="Taita-Taveta"/>
    <s v="Makueni"/>
    <s v="Mombasa Road, Mackinnon Road, Mackinon Road ward, Voi, Kwale, Kenya"/>
    <s v="Mombasa Road, Mtito Andei, Kibwezi East, Makueni, Eastern, Kenya"/>
    <s v="-3.6408 , 38.89099"/>
    <s v="-2.69076 , 38.16354"/>
    <n v="143.40600000000001"/>
    <n v="1"/>
  </r>
  <r>
    <x v="0"/>
    <x v="29"/>
    <x v="225"/>
    <x v="1"/>
    <d v="2025-05-14T19:42:16"/>
    <s v="Wed"/>
    <n v="2025"/>
    <x v="6"/>
    <x v="28"/>
    <d v="2025-05-14T19:43:12"/>
    <n v="54"/>
    <s v="km/h"/>
    <s v="00:00:56"/>
    <n v="0.93333333333333335"/>
    <s v="Nakuru"/>
    <s v="Nakuru"/>
    <s v="Nakuru-Eldoret Rd., Sumeek sublocation, Kimanyi A, Molo ward, Molo, Nakuru, Rift Valley, Kenya"/>
    <s v="Nakuru-Eldoret Rd., Sumeek sublocation, Kimanyi A, Molo ward, Eldama Ravine, Baringo, Rift Valley, Kenya"/>
    <s v="-0.22657 , 35.7582"/>
    <s v="-0.22448 , 35.76345"/>
    <n v="0.68799999999999994"/>
    <n v="1"/>
  </r>
  <r>
    <x v="3"/>
    <x v="69"/>
    <x v="158"/>
    <x v="0"/>
    <d v="2025-05-13T23:00:00"/>
    <s v="Tue"/>
    <n v="2025"/>
    <x v="6"/>
    <x v="28"/>
    <d v="2025-05-13T23:14:30"/>
    <n v="43.1"/>
    <s v="km"/>
    <s v="00:14:30"/>
    <n v="14.5"/>
    <s v="Nakuru"/>
    <s v="Nakuru"/>
    <s v="Old Nairobi Road, Mbaruk sublocation, Greensteads, Gilgil ward, Gilgil, Nakuru, Rift Valley, 20116, Kenya"/>
    <s v="Old Nairobi Road, Mbaruk sublocation, Greensteads, Gilgil ward, Gilgil, Nakuru, Rift Valley, 20116, Kenya"/>
    <s v="-0.4667 , 36.28542"/>
    <s v="-0.49977 , 36.3142"/>
    <n v="5.0620000000000003"/>
    <n v="1"/>
  </r>
  <r>
    <x v="1"/>
    <x v="191"/>
    <x v="224"/>
    <x v="2"/>
    <d v="2025-05-13T22:45:32"/>
    <s v="Tue"/>
    <n v="2025"/>
    <x v="6"/>
    <x v="28"/>
    <d v="2025-05-13T22:45:50"/>
    <n v="84"/>
    <s v="km/h"/>
    <s v="00:00:18"/>
    <n v="0.3"/>
    <s v="Makueni"/>
    <s v="Makueni"/>
    <s v="Mombasa Road, Salama, Kilome, Makueni, Eastern, Kenya"/>
    <s v="Mombasa Road, Salama, Kilome, Makueni, Eastern, Kenya"/>
    <s v="-1.83393 , 37.25426"/>
    <s v="-1.83772 , 37.25595"/>
    <n v="0.375"/>
    <n v="1"/>
  </r>
  <r>
    <x v="1"/>
    <x v="191"/>
    <x v="224"/>
    <x v="2"/>
    <d v="2025-05-13T22:45:25"/>
    <s v="Tue"/>
    <n v="2025"/>
    <x v="6"/>
    <x v="28"/>
    <d v="2025-05-13T22:45:26"/>
    <n v="81"/>
    <s v="km/h"/>
    <s v="00:00:01"/>
    <n v="1.6666666666666666E-2"/>
    <s v="Makueni"/>
    <s v="Makueni"/>
    <s v="Mombasa Road, Salama, Kilome, Makueni, Eastern, Kenya"/>
    <s v="Mombasa Road, Salama, Kilome, Makueni, Eastern, Kenya"/>
    <s v="-1.83288 , 37.25316"/>
    <s v="-1.83301 , 37.25333"/>
    <n v="0"/>
    <n v="1"/>
  </r>
  <r>
    <x v="1"/>
    <x v="191"/>
    <x v="224"/>
    <x v="2"/>
    <d v="2025-05-13T22:43:37"/>
    <s v="Tue"/>
    <n v="2025"/>
    <x v="6"/>
    <x v="28"/>
    <d v="2025-05-13T22:43:44"/>
    <n v="83"/>
    <s v="km/h"/>
    <s v="00:00:07"/>
    <n v="0.11666666666666667"/>
    <s v="Makueni"/>
    <s v="Makueni"/>
    <s v="Mombasa Road, Salama, Kilome, Makueni, Eastern, Kenya"/>
    <s v="Mombasa Road, Salama, Kilome, Makueni, Eastern, Kenya"/>
    <s v="-1.82483 , 37.24058"/>
    <s v="-1.82639 , 37.24136"/>
    <n v="0.188"/>
    <n v="1"/>
  </r>
  <r>
    <x v="3"/>
    <x v="39"/>
    <x v="40"/>
    <x v="3"/>
    <d v="2025-05-12T08:59:57"/>
    <s v="Mon"/>
    <n v="2025"/>
    <x v="6"/>
    <x v="28"/>
    <d v="2025-05-12T08:59:58"/>
    <n v="25"/>
    <s v="km/h/s"/>
    <s v="00:00:01"/>
    <n v="1.6666666666666666E-2"/>
    <s v="Nairobi"/>
    <m/>
    <s v="Thika Road, Survey, Garden sublocation, Roysambu ward, Kasarani, Nairobi, 00620, Kenya"/>
    <m/>
    <s v="-1.24946 , 36.86216"/>
    <m/>
    <n v="0"/>
    <n v="1"/>
  </r>
  <r>
    <x v="0"/>
    <x v="135"/>
    <x v="155"/>
    <x v="1"/>
    <d v="2025-05-11T18:34:19"/>
    <s v="Sun"/>
    <n v="2025"/>
    <x v="6"/>
    <x v="28"/>
    <d v="2025-05-11T18:34:20"/>
    <n v="62"/>
    <s v="km/h"/>
    <s v="00:00:01"/>
    <n v="1.6666666666666666E-2"/>
    <s v="Kiambu"/>
    <s v="Kiambu"/>
    <s v="Nairobi - Nakuru Road, Kimende, Kijabe ward, Lari, Kiambu, Central Kenya, Kenya"/>
    <s v="Nairobi - Nakuru Road, Kimende, Kijabe ward, Lari, Kiambu, Central Kenya, Kenya"/>
    <s v="-0.92882 , 36.61448"/>
    <s v="-0.92895 , 36.61456"/>
    <n v="0"/>
    <n v="1"/>
  </r>
  <r>
    <x v="0"/>
    <x v="71"/>
    <x v="226"/>
    <x v="1"/>
    <d v="2025-05-11T18:16:00"/>
    <s v="Sun"/>
    <n v="2025"/>
    <x v="6"/>
    <x v="28"/>
    <d v="2025-05-11T18:16:03"/>
    <n v="33"/>
    <s v="km/h"/>
    <s v="00:00:03"/>
    <n v="0.05"/>
    <s v="Nakuru"/>
    <s v="Nakuru"/>
    <s v="Nairobi-Nakuru Road, weigh bridge, Gilgil ward, Gilgil, Nakuru, Rift Valley, Kenya"/>
    <s v="Nairobi-Nakuru Road, weigh bridge, Gilgil ward, Gilgil, Nakuru, Rift Valley, Kenya"/>
    <s v="-0.57221 , 36.3614"/>
    <s v="-0.57244 , 36.36163"/>
    <n v="0.109"/>
    <n v="1"/>
  </r>
  <r>
    <x v="3"/>
    <x v="39"/>
    <x v="40"/>
    <x v="1"/>
    <d v="2025-05-11T15:05:17"/>
    <s v="Sun"/>
    <n v="2025"/>
    <x v="6"/>
    <x v="28"/>
    <d v="2025-05-11T15:05:18"/>
    <n v="33"/>
    <s v="km/h"/>
    <s v="00:00:01"/>
    <n v="1.6666666666666666E-2"/>
    <s v="Kericho"/>
    <s v="Kericho"/>
    <s v="C674, Soin ward, Sigowet/Soin, Kericho, Rift Valley, Kenya"/>
    <s v="C674, Soin ward, Sigowet/Soin, Kericho, Rift Valley, Kenya"/>
    <s v="-0.17228 , 35.18481"/>
    <s v="-0.17219 , 35.1848"/>
    <n v="0"/>
    <n v="1"/>
  </r>
  <r>
    <x v="3"/>
    <x v="45"/>
    <x v="46"/>
    <x v="1"/>
    <d v="2025-05-11T08:15:35"/>
    <s v="Sun"/>
    <n v="2025"/>
    <x v="6"/>
    <x v="28"/>
    <d v="2025-05-11T08:15:38"/>
    <n v="35"/>
    <s v="km/h"/>
    <s v="00:00:03"/>
    <n v="0.05"/>
    <s v="Kiambu"/>
    <s v="Kiambu"/>
    <s v="Limuru-Maimahiu Rd., Kamirithu sublocation, Limuru, Kiambu, Central Kenya, 00217, Kenya"/>
    <s v="Limuru-Maimahiu Rd., Kamirithu sublocation, Limuru, Kiambu, Central Kenya, 00217, Kenya"/>
    <s v="-1.11248 , 36.61549"/>
    <s v="-1.11212 , 36.61544"/>
    <n v="9.4E-2"/>
    <n v="1"/>
  </r>
  <r>
    <x v="2"/>
    <x v="190"/>
    <x v="222"/>
    <x v="2"/>
    <d v="2025-05-10T17:56:26"/>
    <s v="Sat"/>
    <n v="2025"/>
    <x v="6"/>
    <x v="29"/>
    <d v="2025-05-10T17:57:26"/>
    <n v="100"/>
    <s v="km/h"/>
    <s v="00:01:00"/>
    <n v="1"/>
    <m/>
    <m/>
    <s v="Kericho-Kisumu Highway, Kapsoit, Kapsoit ward, Ainamoi, Kericho County, Rift Valley, 20205, KE"/>
    <s v="Kericho-Kisumu Highway, Kaitui, Soliat ward, Sigowet/Soin, Kericho County, Rift Valley, KE"/>
    <s v="-0.3016, 35.1634"/>
    <s v="-0.2881, 35.1632"/>
    <n v="1.5"/>
    <n v="1"/>
  </r>
  <r>
    <x v="1"/>
    <x v="192"/>
    <x v="138"/>
    <x v="3"/>
    <d v="2025-05-08T17:12:49"/>
    <s v="Thu"/>
    <n v="2025"/>
    <x v="6"/>
    <x v="29"/>
    <d v="2025-05-08T17:12:49"/>
    <n v="16"/>
    <s v="km/h/s"/>
    <s v="00:00:00"/>
    <n v="0"/>
    <s v="Nairobi"/>
    <s v="Nairobi"/>
    <s v="Outer Ring Road, Kariobangi, Kariobangi North ward, Kasarani, Nairobi, 00623, Kenya"/>
    <s v="Outer Ring Road, Kariobangi, Kariobangi North ward, Kasarani, Nairobi, 00623, Kenya"/>
    <s v="-1.26039 , 36.87908"/>
    <s v="-1.26039 , 36.87908"/>
    <n v="0"/>
    <n v="1"/>
  </r>
  <r>
    <x v="0"/>
    <x v="78"/>
    <x v="78"/>
    <x v="3"/>
    <d v="2025-05-08T16:43:27"/>
    <s v="Thu"/>
    <n v="2025"/>
    <x v="6"/>
    <x v="29"/>
    <d v="2025-05-08T16:43:27"/>
    <n v="18"/>
    <s v="km/h/s"/>
    <s v="00:00:00"/>
    <n v="0"/>
    <s v="Embu"/>
    <s v="Embu"/>
    <s v="Embu-Nairobi Highway, Mwea West, Kirinyaga, Central Kenya, Kenya"/>
    <s v="Embu-Nairobi Highway, Mwea West, Kirinyaga, Central Kenya, Kenya"/>
    <s v="-0.77603 , 37.26892"/>
    <s v="-0.77603 , 37.26892"/>
    <n v="0"/>
    <n v="1"/>
  </r>
  <r>
    <x v="1"/>
    <x v="185"/>
    <x v="227"/>
    <x v="2"/>
    <d v="2025-05-08T13:36:03"/>
    <s v="Thu"/>
    <n v="2025"/>
    <x v="6"/>
    <x v="29"/>
    <d v="2025-05-08T13:36:16"/>
    <n v="84"/>
    <s v="km/h"/>
    <s v="00:00:13"/>
    <n v="0.21666666666666667"/>
    <s v="Nairobi"/>
    <s v="Nairobi"/>
    <s v="Southern Bypass, Onyonka, Mugumo-ini ward, Lang'ata, Nairobi, 00603, Kenya"/>
    <s v="Southern Bypass, Onyonka, Mugumo-ini ward, Lang'ata, Nairobi, 00603, Kenya"/>
    <s v="-1.32744 , 36.79669"/>
    <s v="-1.32578 , 36.79458"/>
    <n v="0.312"/>
    <n v="1"/>
  </r>
  <r>
    <x v="1"/>
    <x v="185"/>
    <x v="227"/>
    <x v="2"/>
    <d v="2025-05-08T13:33:34"/>
    <s v="Thu"/>
    <n v="2025"/>
    <x v="6"/>
    <x v="29"/>
    <d v="2025-05-08T13:33:47"/>
    <n v="85"/>
    <s v="km/h"/>
    <s v="00:00:13"/>
    <n v="0.21666666666666667"/>
    <s v="Nairobi"/>
    <s v="Nairobi"/>
    <s v="Southern Bypass, Onyonka, Mugumo-ini ward, Lang'ata, Nairobi, 00603, Kenya"/>
    <s v="Southern Bypass, Onyonka, Mugumo-ini ward, Lang'ata, Nairobi, 00603, Kenya"/>
    <s v="-1.3325 , 36.81639"/>
    <s v="-1.33292 , 36.81389"/>
    <n v="0.40600000000000003"/>
    <n v="1"/>
  </r>
  <r>
    <x v="1"/>
    <x v="185"/>
    <x v="227"/>
    <x v="2"/>
    <d v="2025-05-08T13:32:27"/>
    <s v="Thu"/>
    <n v="2025"/>
    <x v="6"/>
    <x v="29"/>
    <d v="2025-05-08T13:32:28"/>
    <n v="84"/>
    <s v="km/h"/>
    <s v="00:00:01"/>
    <n v="1.6666666666666666E-2"/>
    <s v="Nairobi"/>
    <s v="Nairobi"/>
    <s v="Southern Bypass, Onyonka, South C ward, Lang'ata, Nairobi, 00603, Kenya"/>
    <s v="Southern Bypass, Onyonka, South C ward, Lang'ata, Nairobi, 00603, Kenya"/>
    <s v="-1.33203 , 36.82631"/>
    <s v="-1.33211 , 36.82614"/>
    <n v="0.125"/>
    <n v="1"/>
  </r>
  <r>
    <x v="1"/>
    <x v="185"/>
    <x v="227"/>
    <x v="2"/>
    <d v="2025-05-08T13:31:42"/>
    <s v="Thu"/>
    <n v="2025"/>
    <x v="6"/>
    <x v="29"/>
    <d v="2025-05-08T13:31:45"/>
    <n v="83"/>
    <s v="km/h"/>
    <s v="00:00:03"/>
    <n v="0.05"/>
    <s v="Nairobi"/>
    <s v="Nairobi"/>
    <s v="Southern Bypass, Onyonka, South C ward, Lang'ata, Nairobi, 00603, Kenya"/>
    <s v="Southern Bypass, Onyonka, South C ward, Lang'ata, Nairobi, 00603, Kenya"/>
    <s v="-1.32958 , 36.8335"/>
    <s v="-1.32975 , 36.83275"/>
    <n v="9.4E-2"/>
    <n v="1"/>
  </r>
  <r>
    <x v="3"/>
    <x v="39"/>
    <x v="40"/>
    <x v="1"/>
    <d v="2025-05-08T10:11:56"/>
    <s v="Thu"/>
    <n v="2025"/>
    <x v="6"/>
    <x v="29"/>
    <d v="2025-05-08T10:11:57"/>
    <n v="32"/>
    <s v="km/h"/>
    <s v="00:00:01"/>
    <n v="1.6666666666666666E-2"/>
    <s v="Machakos"/>
    <s v="Machakos"/>
    <s v="Old Mombasa Road, Mlolongo, Syokimau-Mulolongo ward, Mavoko, Machakos, Eastern, 00519, Kenya"/>
    <s v="Old Mombasa Road, Mlolongo, Syokimau-Mulolongo ward, Mavoko, Machakos, Eastern, 00519, Kenya"/>
    <s v="-1.38568 , 36.93411"/>
    <s v="-1.38574 , 36.93416"/>
    <n v="0"/>
    <n v="1"/>
  </r>
  <r>
    <x v="2"/>
    <x v="193"/>
    <x v="228"/>
    <x v="2"/>
    <d v="2025-05-07T12:38:21"/>
    <s v="Wed"/>
    <n v="2025"/>
    <x v="6"/>
    <x v="29"/>
    <d v="2025-05-07T12:39:41"/>
    <n v="100"/>
    <s v="km/h"/>
    <s v="00:01:20"/>
    <n v="1.3333333333333333"/>
    <m/>
    <m/>
    <s v="Mombasa Road, Mua ward, Machakos Town, Machakos County, KE"/>
    <s v="Mombasa Road, Mua ward, Machakos Town, Machakos County, KE"/>
    <s v="-1.5786, 37.1561"/>
    <s v="-1.5956, 37.1644"/>
    <n v="2.1"/>
    <n v="1"/>
  </r>
  <r>
    <x v="1"/>
    <x v="40"/>
    <x v="132"/>
    <x v="1"/>
    <d v="2025-05-03T18:19:36"/>
    <s v="Sat"/>
    <n v="2025"/>
    <x v="6"/>
    <x v="30"/>
    <d v="2025-05-03T18:19:38"/>
    <n v="48"/>
    <s v="km/h"/>
    <s v="00:00:02"/>
    <n v="3.3333333333333333E-2"/>
    <s v="Nyeri"/>
    <s v="Nyeri"/>
    <s v="C70, Othaya, Nyeri, Central Kenya, Kenya"/>
    <s v="C70, Othaya, Nyeri, Central Kenya, Kenya"/>
    <s v="-0.57886 , 36.94431"/>
    <s v="-0.57886 , 36.94464"/>
    <n v="0"/>
    <n v="1"/>
  </r>
  <r>
    <x v="1"/>
    <x v="194"/>
    <x v="229"/>
    <x v="2"/>
    <d v="2025-05-02T16:02:32"/>
    <s v="Fri"/>
    <n v="2025"/>
    <x v="6"/>
    <x v="30"/>
    <d v="2025-05-02T16:03:12"/>
    <n v="85"/>
    <s v="km/h"/>
    <s v="00:00:40"/>
    <n v="0.66666666666666663"/>
    <s v="Machakos"/>
    <s v="Machakos"/>
    <s v="Mombasa-Nairobi Road, Kinanie ward, Mavoko, Machakos, Eastern, Kenya"/>
    <s v="Mombasa-Nairobi Road, Kinanie ward, Mavoko, Machakos, Eastern, Kenya"/>
    <s v="-1.50344 , 37.08703"/>
    <s v="-1.49864 , 37.07947"/>
    <n v="1"/>
    <n v="1"/>
  </r>
  <r>
    <x v="1"/>
    <x v="194"/>
    <x v="229"/>
    <x v="2"/>
    <d v="2025-05-02T15:59:21"/>
    <s v="Fri"/>
    <n v="2025"/>
    <x v="6"/>
    <x v="30"/>
    <d v="2025-05-02T15:59:56"/>
    <n v="83"/>
    <s v="km/h"/>
    <s v="00:00:35"/>
    <n v="0.58333333333333337"/>
    <s v="Machakos"/>
    <s v="Machakos"/>
    <s v="Mombasa-Nairobi Road, Kinanie ward, Mavoko, Machakos, Eastern, Kenya"/>
    <s v="Mombasa-Nairobi Road, Kinanie ward, Mavoko, Machakos, Eastern, Kenya"/>
    <s v="-1.52214 , 37.11625"/>
    <s v="-1.51803 , 37.10956"/>
    <n v="0.81200000000000006"/>
    <n v="1"/>
  </r>
  <r>
    <x v="1"/>
    <x v="194"/>
    <x v="229"/>
    <x v="2"/>
    <d v="2025-05-02T15:15:21"/>
    <s v="Fri"/>
    <n v="2025"/>
    <x v="6"/>
    <x v="30"/>
    <d v="2025-05-02T15:15:32"/>
    <n v="83"/>
    <s v="km/h"/>
    <s v="00:00:11"/>
    <n v="0.18333333333333332"/>
    <s v="Makueni"/>
    <s v="Makueni"/>
    <s v="Mombasa Road, Salama, Kilome, Makueni, Eastern, Kenya"/>
    <s v="Mombasa Road, Salama, Kilome, Makueni, Eastern, Kenya"/>
    <s v="-1.76711 , 37.20761"/>
    <s v="-1.76467 , 37.20675"/>
    <n v="0.188"/>
    <n v="1"/>
  </r>
  <r>
    <x v="0"/>
    <x v="109"/>
    <x v="119"/>
    <x v="1"/>
    <d v="2025-05-02T12:47:04"/>
    <s v="Fri"/>
    <n v="2025"/>
    <x v="6"/>
    <x v="30"/>
    <d v="2025-05-02T12:47:04"/>
    <n v="61"/>
    <s v="km/h"/>
    <s v="00:00:00"/>
    <n v="0"/>
    <s v="Kiambu"/>
    <s v="Kiambu"/>
    <s v="Thika Road, Kiwanja, Nairobi, Kasarani, Nairobi, 00609, Kenya"/>
    <s v="Thika Road, Kiwanja, Nairobi, Kasarani, Nairobi, 00609, Kenya"/>
    <s v="-1.18633 , 36.93344"/>
    <s v="-1.18633 , 36.93344"/>
    <n v="9.4E-2"/>
    <n v="1"/>
  </r>
  <r>
    <x v="0"/>
    <x v="109"/>
    <x v="119"/>
    <x v="1"/>
    <d v="2025-05-02T12:46:50"/>
    <s v="Fri"/>
    <n v="2025"/>
    <x v="6"/>
    <x v="30"/>
    <d v="2025-05-02T12:46:53"/>
    <n v="61"/>
    <s v="km/h"/>
    <s v="00:00:03"/>
    <n v="0.05"/>
    <s v="Kiambu"/>
    <s v="Kiambu"/>
    <s v="Thika Road, Kiwanja, Nairobi, Kasarani, Nairobi, 00609, Kenya"/>
    <s v="Thika Road, Kiwanja, Nairobi, Kasarani, Nairobi, 00609, Kenya"/>
    <s v="-1.18475 , 36.93497"/>
    <s v="-1.18508 , 36.93464"/>
    <n v="0.109"/>
    <n v="1"/>
  </r>
  <r>
    <x v="1"/>
    <x v="194"/>
    <x v="229"/>
    <x v="2"/>
    <d v="2025-05-01T08:53:22"/>
    <s v="Thu"/>
    <n v="2025"/>
    <x v="6"/>
    <x v="30"/>
    <d v="2025-05-01T08:53:22"/>
    <n v="81"/>
    <s v="km/h"/>
    <s v="00:00:00"/>
    <n v="0"/>
    <s v="Kilifi"/>
    <s v="Kilifi"/>
    <s v="Kilifi Kaloleni Road, Galanema, Chasimba ward, Kilifi South, Kilifi, Coast, Kenya"/>
    <s v="Kilifi Kaloleni Road, Galanema, Chasimba ward, Kilifi South, Kilifi, Coast, Kenya"/>
    <s v="-3.70625 , 39.70953"/>
    <s v="-3.70625 , 39.70953"/>
    <n v="0"/>
    <n v="1"/>
  </r>
  <r>
    <x v="1"/>
    <x v="194"/>
    <x v="229"/>
    <x v="2"/>
    <d v="2025-05-01T07:05:18"/>
    <s v="Thu"/>
    <n v="2025"/>
    <x v="6"/>
    <x v="30"/>
    <d v="2025-05-01T07:05:21"/>
    <n v="81"/>
    <s v="km/h"/>
    <s v="00:00:03"/>
    <n v="0.05"/>
    <s v="Kwale"/>
    <s v="Kwale"/>
    <s v="Mombasa Road, Mackinon Road ward, Kinango, Kwale, Coastal Kenya, Kenya"/>
    <s v="Mombasa Road, Mackinon Road ward, Kinango, Kwale, Coastal Kenya, Kenya"/>
    <s v="-3.76378 , 39.17358"/>
    <s v="-3.76403 , 39.17439"/>
    <n v="6.2E-2"/>
    <n v="1"/>
  </r>
  <r>
    <x v="2"/>
    <x v="68"/>
    <x v="70"/>
    <x v="0"/>
    <d v="2025-05-01T03:29:54"/>
    <s v="Thu"/>
    <n v="2025"/>
    <x v="6"/>
    <x v="30"/>
    <d v="2025-05-01T03:45:36"/>
    <m/>
    <s v="km/h"/>
    <s v="00:15:42"/>
    <n v="15.7"/>
    <m/>
    <m/>
    <s v="Nairobi-Nakuru Road, Gg 1, Gilgil ward, Gilgil, Nakuru, Rift Valley, 20116, KE"/>
    <s v="Nairobi-Nakuru Road, weigh bridge, Gilgil ward, Gilgil, Nakuru, Rift Valley, KE"/>
    <s v="-0.5014, 36.3160"/>
    <s v="-0.5770, 36.3657"/>
    <n v="10.199999999999999"/>
    <n v="1"/>
  </r>
  <r>
    <x v="3"/>
    <x v="54"/>
    <x v="57"/>
    <x v="0"/>
    <d v="2025-04-30T23:00:00"/>
    <s v="Wed"/>
    <n v="2025"/>
    <x v="7"/>
    <x v="30"/>
    <d v="2025-04-30T23:10:41"/>
    <n v="49.5"/>
    <s v="km"/>
    <s v="00:10:41"/>
    <n v="10.683333333333334"/>
    <s v="Nakuru"/>
    <s v="Nakuru"/>
    <s v="Nairobi-Nakuru Road, Eburu sublocation, Mbaruk/Eburu ward, Gilgil, Nakuru, Rift Valley, 20116, Kenya"/>
    <s v="Nairobi-Nakuru Road, Gg 1, Gilgil ward, Gilgil, Nakuru, Rift Valley, 20116, Kenya"/>
    <s v="-0.5345 , 36.33377"/>
    <s v="-0.50035 , 36.31492"/>
    <n v="4.4059999999999997"/>
    <n v="1"/>
  </r>
  <r>
    <x v="3"/>
    <x v="69"/>
    <x v="158"/>
    <x v="1"/>
    <d v="2025-04-30T17:27:59"/>
    <s v="Wed"/>
    <n v="2025"/>
    <x v="7"/>
    <x v="30"/>
    <d v="2025-04-30T17:28:02"/>
    <n v="43"/>
    <s v="km/h"/>
    <s v="00:00:03"/>
    <n v="0.05"/>
    <s v="Nyeri"/>
    <s v="Nyeri"/>
    <s v="A2, Sagana, Mathira East, Nyeri, Central Kenya, 10101, Kenya"/>
    <s v="A2, Sagana, Mathira East, Nyeri, Central Kenya, 10101, Kenya"/>
    <s v="-0.46443 , 37.0564"/>
    <s v="-0.46452 , 37.05604"/>
    <n v="0"/>
    <n v="1"/>
  </r>
  <r>
    <x v="2"/>
    <x v="166"/>
    <x v="192"/>
    <x v="2"/>
    <d v="2025-04-30T13:24:39"/>
    <s v="Wed"/>
    <n v="2025"/>
    <x v="7"/>
    <x v="30"/>
    <d v="2025-04-30T13:25:06"/>
    <n v="89"/>
    <s v="km/h"/>
    <s v="00:00:26"/>
    <n v="0.43333333333333335"/>
    <m/>
    <m/>
    <s v="Northern Bypass, Marurui, Kasarani, Nairobi, Nairobi County, 00608, KE"/>
    <s v="Garden Estate, Kasarani, Nairobi, Nairobi County, 00620, KE"/>
    <s v="-1.2152, 36.8578"/>
    <s v="-1.2150, 36.8643"/>
    <n v="0.7"/>
    <n v="1"/>
  </r>
  <r>
    <x v="1"/>
    <x v="194"/>
    <x v="229"/>
    <x v="2"/>
    <d v="2025-04-30T13:14:52"/>
    <s v="Wed"/>
    <n v="2025"/>
    <x v="7"/>
    <x v="30"/>
    <d v="2025-04-30T13:14:54"/>
    <n v="84"/>
    <s v="km/h"/>
    <s v="00:00:02"/>
    <n v="3.3333333333333333E-2"/>
    <s v="Makueni"/>
    <s v="Makueni"/>
    <s v="Mombasa Road, Salama, Kilome, Makueni, Eastern, Kenya"/>
    <s v="Mombasa Road, Salama, Kilome, Makueni, Eastern, Kenya"/>
    <s v="-1.82617 , 37.24119"/>
    <s v="-1.82653 , 37.24139"/>
    <n v="6.2E-2"/>
    <n v="1"/>
  </r>
  <r>
    <x v="1"/>
    <x v="98"/>
    <x v="102"/>
    <x v="0"/>
    <d v="2025-04-29T02:33:09"/>
    <s v="Tue"/>
    <n v="2025"/>
    <x v="7"/>
    <x v="30"/>
    <d v="2025-04-29T02:53:34"/>
    <n v="4.7"/>
    <s v="km"/>
    <s v="00:20:25"/>
    <n v="20.416666666666668"/>
    <s v="Nairobi"/>
    <s v="Nairobi"/>
    <s v="Nanyuki Road, Viwandani, Viwandani ward, Makadara subcounty, Nairobi, 00507, Kenya"/>
    <s v="Factory Street, Landimawe, Industrial Area, Landimawe ward, Nairobi, Starehe, Nairobi, 00200, Kenya"/>
    <s v="-1.30722 , 36.86464"/>
    <s v="-1.29433 , 36.83731"/>
    <n v="4.5620000000000003"/>
    <n v="1"/>
  </r>
  <r>
    <x v="0"/>
    <x v="8"/>
    <x v="8"/>
    <x v="3"/>
    <d v="2025-04-28T21:06:49"/>
    <s v="Mon"/>
    <n v="2025"/>
    <x v="7"/>
    <x v="30"/>
    <d v="2025-04-28T21:06:50"/>
    <n v="16"/>
    <s v="km/h/s"/>
    <s v="00:00:01"/>
    <n v="1.6666666666666666E-2"/>
    <s v="Nairobi"/>
    <m/>
    <s v="Outer Ring Road, Allsops, Drive In, Nairobi, Kasarani, Nairobi, 00623, Kenya"/>
    <m/>
    <s v="-1.24736 , 36.87119"/>
    <m/>
    <n v="0"/>
    <n v="1"/>
  </r>
  <r>
    <x v="0"/>
    <x v="8"/>
    <x v="8"/>
    <x v="3"/>
    <d v="2025-04-28T20:49:59"/>
    <s v="Mon"/>
    <n v="2025"/>
    <x v="7"/>
    <x v="30"/>
    <d v="2025-04-28T20:50:00"/>
    <n v="16"/>
    <s v="km/h/s"/>
    <s v="00:00:01"/>
    <n v="1.6666666666666666E-2"/>
    <s v="Nairobi"/>
    <m/>
    <s v="Mombasa Road, South C ward, Lang'ata, Nairobi, 00603, Kenya"/>
    <m/>
    <s v="-1.32955 , 36.85466"/>
    <m/>
    <n v="0"/>
    <n v="1"/>
  </r>
  <r>
    <x v="2"/>
    <x v="151"/>
    <x v="172"/>
    <x v="2"/>
    <d v="2025-04-27T07:13:12"/>
    <s v="Sun"/>
    <n v="2025"/>
    <x v="7"/>
    <x v="30"/>
    <d v="2025-04-27T07:13:36"/>
    <n v="86"/>
    <s v="km/h"/>
    <s v="00:00:24"/>
    <n v="0.4"/>
    <m/>
    <m/>
    <s v="Nairobi-Nakuru Road, Eburu sublocation, Mbaruk/Eburu ward, Gilgil, Nakuru, Rift Valley, 20116, KE"/>
    <s v="Nairobi-Nakuru Road, Eburu sublocation, Mbaruk/Eburu ward, Gilgil, Nakuru, Rift Valley, 20116, KE"/>
    <s v="-0.5329, 36.3331"/>
    <s v="-0.5382, 36.3358"/>
    <n v="0.7"/>
    <n v="1"/>
  </r>
  <r>
    <x v="0"/>
    <x v="195"/>
    <x v="61"/>
    <x v="2"/>
    <d v="2025-04-26T14:32:37"/>
    <s v="Sat"/>
    <n v="2025"/>
    <x v="7"/>
    <x v="31"/>
    <d v="2025-04-26T14:32:38"/>
    <n v="82"/>
    <s v="km/h"/>
    <s v="00:00:01"/>
    <n v="1.6666666666666666E-2"/>
    <s v="Machakos"/>
    <s v="Machakos"/>
    <s v="Embu-Nairobi Highway, Manaja ward, Masinga, Machakos, Eastern, Kenya"/>
    <s v="Embu-Nairobi Highway, Manaja ward, Masinga, Machakos, Eastern, Kenya"/>
    <s v="-0.84631 , 37.23244"/>
    <s v="-0.84611 , 37.23245"/>
    <n v="9.4E-2"/>
    <n v="1"/>
  </r>
  <r>
    <x v="1"/>
    <x v="192"/>
    <x v="230"/>
    <x v="3"/>
    <d v="2025-04-26T05:49:07"/>
    <s v="Sat"/>
    <n v="2025"/>
    <x v="7"/>
    <x v="31"/>
    <d v="2025-04-26T05:49:08"/>
    <n v="18"/>
    <s v="km/h/s"/>
    <s v="00:00:01"/>
    <n v="1.6666666666666666E-2"/>
    <s v="Kiambu"/>
    <m/>
    <s v="Nairobi - Nakuru Road, Kimende, Kinale ward, Kinangop, Nyandarua, Central Kenya, Kenya"/>
    <m/>
    <s v="-0.88917 , 36.58858"/>
    <m/>
    <n v="0"/>
    <n v="1"/>
  </r>
  <r>
    <x v="2"/>
    <x v="4"/>
    <x v="4"/>
    <x v="0"/>
    <d v="2025-04-26T03:07:40"/>
    <s v="Sat"/>
    <n v="2025"/>
    <x v="7"/>
    <x v="31"/>
    <d v="2025-04-26T03:55:41"/>
    <m/>
    <m/>
    <s v="00:48:00"/>
    <n v="48"/>
    <m/>
    <m/>
    <s v="A14, Likoni, Timbwani ward, Likoni, Mombasa County, Coast, 80110, KE"/>
    <s v="diani complex, Diani Beach Road, Gombato, Gombato Bongwe ward, Msambweni, Kwale, Coast, 80400, KE"/>
    <s v="-4.0831, 39.6620"/>
    <s v="-4.2789, 39.5907"/>
    <n v="28.8"/>
    <n v="1"/>
  </r>
  <r>
    <x v="3"/>
    <x v="54"/>
    <x v="57"/>
    <x v="1"/>
    <d v="2025-04-25T12:55:38"/>
    <s v="Fri"/>
    <n v="2025"/>
    <x v="7"/>
    <x v="31"/>
    <d v="2025-04-25T12:55:39"/>
    <n v="35"/>
    <s v="km/h"/>
    <s v="00:00:01"/>
    <n v="1.6666666666666666E-2"/>
    <s v="Kirinyaga"/>
    <s v="Kirinyaga"/>
    <s v="B6, Mwea East, Kirinyaga, Central Kenya, 60100, Kenya"/>
    <s v="B6, Mwea East, Kirinyaga, Central Kenya, 60100, Kenya"/>
    <s v="-0.54285 , 37.43976"/>
    <s v="-0.54283 , 37.43992"/>
    <n v="0"/>
    <n v="1"/>
  </r>
  <r>
    <x v="0"/>
    <x v="135"/>
    <x v="155"/>
    <x v="1"/>
    <d v="2025-04-25T08:28:20"/>
    <s v="Fri"/>
    <n v="2025"/>
    <x v="7"/>
    <x v="31"/>
    <d v="2025-04-25T08:28:21"/>
    <n v="43"/>
    <s v="km/h"/>
    <s v="00:00:01"/>
    <n v="1.6666666666666666E-2"/>
    <s v="Machakos"/>
    <s v="Machakos"/>
    <s v="Mombasa Road, Kinanie ward, Mavoko, Machakos, Eastern, Kenya"/>
    <s v="Mombasa Road, Kinanie ward, Mavoko, Machakos, Eastern, Kenya"/>
    <s v="-1.53743 , 37.13552"/>
    <s v="-1.5376 , 37.13566"/>
    <n v="0.109"/>
    <n v="1"/>
  </r>
  <r>
    <x v="2"/>
    <x v="73"/>
    <x v="74"/>
    <x v="2"/>
    <d v="2025-04-24T12:43:32"/>
    <s v="Thu"/>
    <n v="2025"/>
    <x v="7"/>
    <x v="31"/>
    <d v="2025-04-24T12:44:12"/>
    <n v="99"/>
    <s v="km/h"/>
    <s v="00:00:40"/>
    <n v="0.66666666666666663"/>
    <m/>
    <m/>
    <s v="Kericho-Kisumu Highway, Londiani Junction, Chepseon, Chepseon ward, Kipkelion East, Kericho County, Rift Valley, 20200, KE"/>
    <s v="Kericho-Kisumu Highway, Londiani Junction, Chepseon, Chepseon ward, Kipkelion East, Kericho County, Rift Valley, 20200, KE"/>
    <s v="-0.2667, 35.4439"/>
    <s v="-0.2659, 35.4530"/>
    <n v="1"/>
    <n v="1"/>
  </r>
  <r>
    <x v="1"/>
    <x v="191"/>
    <x v="224"/>
    <x v="2"/>
    <d v="2025-04-23T17:57:23"/>
    <s v="Wed"/>
    <n v="2025"/>
    <x v="7"/>
    <x v="31"/>
    <d v="2025-04-23T17:57:33"/>
    <n v="86"/>
    <s v="km/h"/>
    <s v="00:00:10"/>
    <n v="0.16666666666666666"/>
    <s v="Marsabit"/>
    <s v="Marsabit"/>
    <s v="Marsabit-Moyale Road, Karare ward, Saku, Marsabit, Eastern, Kenya"/>
    <s v="Marsabit-Moyale Road, Karare ward, Saku, Marsabit, Eastern, Kenya"/>
    <s v="2.30761 , 37.92883"/>
    <s v="2.30626 , 37.92683"/>
    <n v="0.312"/>
    <n v="1"/>
  </r>
  <r>
    <x v="0"/>
    <x v="135"/>
    <x v="155"/>
    <x v="1"/>
    <d v="2025-04-22T18:18:00"/>
    <s v="Tue"/>
    <n v="2025"/>
    <x v="7"/>
    <x v="31"/>
    <d v="2025-04-22T18:18:01"/>
    <n v="75"/>
    <s v="km/h"/>
    <s v="00:00:01"/>
    <n v="1.6666666666666666E-2"/>
    <s v="Makueni"/>
    <s v="Makueni"/>
    <s v="Katumani - Konza Road, Kola ward, Kilome, Makueni, Eastern, Kenya"/>
    <s v="Katumani - Konza Road, Kola ward, Kilome, Makueni, Eastern, Kenya"/>
    <s v="-1.6451 , 37.19465"/>
    <s v="-1.64495 , 37.19475"/>
    <n v="0"/>
    <n v="1"/>
  </r>
  <r>
    <x v="0"/>
    <x v="34"/>
    <x v="35"/>
    <x v="2"/>
    <d v="2025-04-21T16:50:34"/>
    <s v="Mon"/>
    <n v="2025"/>
    <x v="7"/>
    <x v="31"/>
    <d v="2025-04-21T16:50:45"/>
    <n v="88"/>
    <s v="km/h"/>
    <s v="00:00:11"/>
    <n v="0.18333333333333332"/>
    <s v="Uasin Gishu"/>
    <s v="Uasin Gishu"/>
    <s v="Eldoret-Nakuru Road, Tarakwa ward, Kesses, Uasin Gishu, Rift Valley, Kenya"/>
    <s v="Eldoret-Nakuru Road, Tarakwa ward, Kesses, Uasin Gishu, Rift Valley, Kenya"/>
    <s v="0.09975 , 35.49469"/>
    <s v="0.09962 , 35.49219"/>
    <n v="0.28100000000000003"/>
    <n v="1"/>
  </r>
  <r>
    <x v="1"/>
    <x v="196"/>
    <x v="231"/>
    <x v="2"/>
    <d v="2025-04-20T16:33:28"/>
    <s v="Sun"/>
    <n v="2025"/>
    <x v="7"/>
    <x v="31"/>
    <d v="2025-04-20T16:33:32"/>
    <n v="87"/>
    <s v="km/h"/>
    <s v="00:00:04"/>
    <n v="6.6666666666666666E-2"/>
    <s v="Nakuru"/>
    <s v="Nakuru"/>
    <s v="Old Nairobi Road, Mbaruk sublocation, Greensteads, Gilgil ward, Gilgil, Nakuru, Rift Valley, 20116, Kenya"/>
    <s v="Old Nairobi Road, Mbaruk sublocation, Greensteads, Gilgil ward, Gilgil, Nakuru, Rift Valley, 20116, Kenya"/>
    <s v="-0.45492 , 36.27682"/>
    <s v="-0.45596 , 36.27719"/>
    <n v="0.125"/>
    <n v="1"/>
  </r>
  <r>
    <x v="0"/>
    <x v="74"/>
    <x v="75"/>
    <x v="2"/>
    <d v="2025-04-20T08:14:57"/>
    <s v="Sun"/>
    <n v="2025"/>
    <x v="7"/>
    <x v="31"/>
    <d v="2025-04-20T08:15:00"/>
    <n v="82"/>
    <s v="km/h"/>
    <s v="00:00:03"/>
    <n v="0.05"/>
    <s v="Murang'a"/>
    <s v="Murang'a"/>
    <s v="Meru-Nairobi Highway, Kenol, Gatanga, Murang`a, Central Kenya, Kenya"/>
    <s v="Meru-Nairobi Highway, Kenol, Murang`a South, Murang`a, Central Kenya, Kenya"/>
    <s v="-0.96173 , 37.10474"/>
    <s v="-0.96141 , 37.10548"/>
    <n v="9.4E-2"/>
    <n v="1"/>
  </r>
  <r>
    <x v="2"/>
    <x v="182"/>
    <x v="212"/>
    <x v="2"/>
    <d v="2025-04-19T06:57:19"/>
    <s v="Sat"/>
    <n v="2025"/>
    <x v="7"/>
    <x v="32"/>
    <d v="2025-04-19T06:59:17"/>
    <n v="108"/>
    <s v="km/h"/>
    <s v="00:01:57"/>
    <n v="1.95"/>
    <m/>
    <m/>
    <s v="A2, Buuri, Meru County, KE"/>
    <s v="Meru-Nairobi Highway, Buuri, Meru County, KE"/>
    <s v="0.1370, 37.4694"/>
    <s v="0.1434, 37.4954"/>
    <n v="3"/>
    <n v="1"/>
  </r>
  <r>
    <x v="3"/>
    <x v="6"/>
    <x v="6"/>
    <x v="1"/>
    <d v="2025-04-17T05:40:12"/>
    <s v="Thu"/>
    <n v="2025"/>
    <x v="7"/>
    <x v="32"/>
    <d v="2025-04-17T05:40:13"/>
    <n v="33"/>
    <s v="km/h"/>
    <s v="00:00:01"/>
    <n v="1.6666666666666666E-2"/>
    <s v="Nakuru"/>
    <s v="Nakuru"/>
    <s v="Nairobi-Nakuru Road, Gilgil ward, Gilgil, Nakuru, Rift Valley, Kenya"/>
    <s v="Nairobi-Nakuru Road, Gilgil ward, Gilgil, Nakuru, Rift Valley, Kenya"/>
    <s v="-0.57911 , 36.36713"/>
    <s v="-0.57905 , 36.36708"/>
    <n v="0"/>
    <n v="1"/>
  </r>
  <r>
    <x v="0"/>
    <x v="197"/>
    <x v="232"/>
    <x v="3"/>
    <d v="2025-04-15T12:02:29"/>
    <s v="Tue"/>
    <n v="2025"/>
    <x v="7"/>
    <x v="32"/>
    <d v="2025-04-15T12:02:29"/>
    <n v="16"/>
    <s v="km/h/s"/>
    <s v="00:00:00"/>
    <n v="0"/>
    <s v="Tharaka-Nithi"/>
    <s v="Tharaka-Nithi"/>
    <s v="Tharaka South, Tharaka-Nithi, Eastern, Kenya"/>
    <s v="Tharaka South, Tharaka-Nithi, Eastern, Kenya"/>
    <s v="-0.27197 , 37.91022"/>
    <s v="-0.27197 , 37.91022"/>
    <n v="0"/>
    <n v="1"/>
  </r>
  <r>
    <x v="2"/>
    <x v="198"/>
    <x v="233"/>
    <x v="2"/>
    <d v="2025-04-15T11:20:04"/>
    <s v="Tue"/>
    <n v="2025"/>
    <x v="7"/>
    <x v="32"/>
    <d v="2025-04-15T11:22:14"/>
    <n v="94"/>
    <s v="km/h"/>
    <s v="00:02:10"/>
    <n v="2.1666666666666665"/>
    <m/>
    <m/>
    <s v="Embu-Nairobi Highway, Murang`a South, Murang'a County, KE"/>
    <s v="Embu-Nairobi Highway, Kambiti Town, Murang`a South, Murang'a County, KE"/>
    <s v="-0.9293, 37.1736"/>
    <s v="-0.9170, 37.1991"/>
    <n v="3.1"/>
    <n v="1"/>
  </r>
  <r>
    <x v="1"/>
    <x v="199"/>
    <x v="234"/>
    <x v="2"/>
    <d v="2025-04-13T22:59:29"/>
    <s v="Sun"/>
    <n v="2025"/>
    <x v="7"/>
    <x v="32"/>
    <d v="2025-04-13T22:59:33"/>
    <n v="86"/>
    <s v="km/h"/>
    <s v="00:00:04"/>
    <n v="6.6666666666666666E-2"/>
    <s v="Machakos"/>
    <s v="Machakos"/>
    <s v="Mombasa Road, Mua ward, Machakos Town, Machakos, Eastern, Kenya"/>
    <s v="Mombasa Road, Kalama ward, Machakos Town, Machakos, Eastern, Kenya"/>
    <s v="-1.57997 , 37.15683"/>
    <s v="-1.5809 , 37.15729"/>
    <n v="6.2E-2"/>
    <n v="1"/>
  </r>
  <r>
    <x v="1"/>
    <x v="199"/>
    <x v="234"/>
    <x v="2"/>
    <d v="2025-04-12T12:12:47"/>
    <s v="Sat"/>
    <n v="2025"/>
    <x v="7"/>
    <x v="33"/>
    <d v="2025-04-12T12:12:48"/>
    <n v="81"/>
    <s v="km/h"/>
    <s v="00:00:01"/>
    <n v="1.6666666666666666E-2"/>
    <s v="Nakuru"/>
    <s v="Nakuru"/>
    <s v="Naivasha-Mai Mahiu-Limuru Road, Longonot sublocation, Jikaze, Mai Mahiu ward, Naivasha, Nakuru, Rift Valley, 00221, Kenya"/>
    <s v="Naivasha-Mai Mahiu-Limuru Road, Longonot sublocation, Jikaze, Mai Mahiu ward, Naivasha, Nakuru, Rift Valley, 00221, Kenya"/>
    <s v="-0.90745 , 36.51524"/>
    <s v="-0.90761 , 36.51535"/>
    <n v="0"/>
    <n v="1"/>
  </r>
  <r>
    <x v="2"/>
    <x v="200"/>
    <x v="235"/>
    <x v="0"/>
    <d v="2025-04-11T03:27:39"/>
    <s v="Fri"/>
    <n v="2025"/>
    <x v="7"/>
    <x v="33"/>
    <d v="2025-04-11T03:31:02"/>
    <m/>
    <m/>
    <s v="00:03:23"/>
    <n v="3.3833333333333333"/>
    <m/>
    <m/>
    <s v="A8, Kinanie ward, Mavoko, Machakos County, KE"/>
    <s v="East Africa Breweries Limited, Kasarani sublocation, Kasarani, Nairobi, Nairobi County, 00620, KE"/>
    <s v="-1.4872, 37.0527"/>
    <s v="-1.2363, 36.8798"/>
    <n v="49"/>
    <n v="1"/>
  </r>
  <r>
    <x v="3"/>
    <x v="6"/>
    <x v="6"/>
    <x v="1"/>
    <d v="2025-04-10T08:00:04"/>
    <s v="Thu"/>
    <n v="2025"/>
    <x v="7"/>
    <x v="33"/>
    <d v="2025-04-10T08:00:05"/>
    <n v="59"/>
    <s v="km/h"/>
    <s v="00:00:01"/>
    <n v="1.6666666666666666E-2"/>
    <s v="Kiambu"/>
    <s v="Kiambu"/>
    <s v="Limuru Road, Redhill, Kabuku, Ngecha Tigoni ward, Limuru, Kiambu, Central Kenya, 00217, Kenya"/>
    <s v="Limuru Road, Redhill, Kabuku, Ngecha Tigoni ward, Limuru, Kiambu, Central Kenya, 00217, Kenya"/>
    <s v="-1.15457 , 36.67588"/>
    <s v="-1.15457 , 36.67602"/>
    <n v="0"/>
    <n v="1"/>
  </r>
  <r>
    <x v="2"/>
    <x v="201"/>
    <x v="236"/>
    <x v="2"/>
    <d v="2025-04-08T21:26:10"/>
    <s v="Tue"/>
    <n v="2025"/>
    <x v="7"/>
    <x v="33"/>
    <d v="2025-04-08T21:26:36"/>
    <n v="87"/>
    <s v="km/h"/>
    <s v="00:00:25"/>
    <n v="0.41666666666666669"/>
    <m/>
    <m/>
    <s v="A8, Kinanie ward, Mavoko, Machakos County, KE"/>
    <s v="A8, Kinanie ward, Mavoko, Machakos County, KE"/>
    <s v="-1.5245, 37.1201"/>
    <s v="-1.5210, 37.1147"/>
    <n v="0.7"/>
    <n v="1"/>
  </r>
  <r>
    <x v="1"/>
    <x v="199"/>
    <x v="234"/>
    <x v="2"/>
    <d v="2025-04-08T12:06:00"/>
    <s v="Tue"/>
    <n v="2025"/>
    <x v="7"/>
    <x v="33"/>
    <d v="2025-04-08T12:06:02"/>
    <n v="83"/>
    <s v="km/h"/>
    <s v="00:00:02"/>
    <n v="3.3333333333333333E-2"/>
    <s v="Kiambu"/>
    <s v="Kiambu"/>
    <s v="Eldoret-Malaba Road, Gatimu sublocation, Sigona ward, Kikuyu, Kiambu, Central Kenya, 00217, Kenya"/>
    <s v="Eldoret-Malaba Road, Gatimu sublocation, Sigona ward, Kikuyu, Kiambu, Central Kenya, 00217, Kenya"/>
    <s v="-1.17173 , 36.64168"/>
    <s v="-1.17232 , 36.64177"/>
    <n v="0"/>
    <n v="1"/>
  </r>
  <r>
    <x v="2"/>
    <x v="202"/>
    <x v="237"/>
    <x v="2"/>
    <d v="2025-04-08T01:04:59"/>
    <s v="Tue"/>
    <n v="2025"/>
    <x v="7"/>
    <x v="33"/>
    <d v="2025-04-08T01:05:20"/>
    <n v="88"/>
    <s v="km/h"/>
    <s v="00:00:20"/>
    <n v="0.33333333333333331"/>
    <m/>
    <m/>
    <s v="Kericho-Kisumu Highway, Londiani Junction, Chepseon, Chepseon ward, Kipkelion East, Kericho County, Rift Valley, 20200, KE"/>
    <s v="Kericho-Kisumu Highway, Londiani Junction, Chepseon, Chepseon ward, Kipkelion East, Kericho County, Rift Valley, 20200, KE"/>
    <s v="-0.2032, 35.5900"/>
    <s v="-0.2082, 35.5876"/>
    <n v="0.6"/>
    <n v="1"/>
  </r>
  <r>
    <x v="1"/>
    <x v="32"/>
    <x v="238"/>
    <x v="0"/>
    <d v="2025-04-07T23:20:53"/>
    <s v="Mon"/>
    <n v="2025"/>
    <x v="7"/>
    <x v="33"/>
    <d v="2025-04-07T23:31:29"/>
    <n v="1.5"/>
    <s v="km"/>
    <s v="00:10:36"/>
    <n v="10.6"/>
    <s v="Machakos"/>
    <s v="Makueni"/>
    <s v="Mombasa Road, Kilome, Makueni, Eastern, Kenya"/>
    <s v="Mombasa Road, Kilome, Makueni, Eastern, Kenya"/>
    <s v="-1.69875 , 37.19642"/>
    <s v="-1.68708 , 37.19553"/>
    <n v="1.25"/>
    <n v="1"/>
  </r>
  <r>
    <x v="1"/>
    <x v="32"/>
    <x v="238"/>
    <x v="0"/>
    <d v="2025-04-07T23:00:01"/>
    <s v="Mon"/>
    <n v="2025"/>
    <x v="7"/>
    <x v="33"/>
    <d v="2025-04-07T23:10:32"/>
    <n v="11.2"/>
    <s v="km"/>
    <s v="00:10:31"/>
    <n v="10.516666666666667"/>
    <s v="Machakos"/>
    <s v="Machakos"/>
    <s v="Mombasa Road, Kilome, Makueni, Eastern, Kenya"/>
    <s v="Mombasa Road, Kilome, Makueni, Eastern, Kenya"/>
    <s v="-1.70925 , 37.19692"/>
    <s v="-1.70053 , 37.1965"/>
    <n v="1"/>
    <n v="1"/>
  </r>
  <r>
    <x v="1"/>
    <x v="79"/>
    <x v="190"/>
    <x v="0"/>
    <d v="2025-04-07T23:00:01"/>
    <s v="Mon"/>
    <n v="2025"/>
    <x v="7"/>
    <x v="33"/>
    <d v="2025-04-07T23:31:56"/>
    <n v="12.4"/>
    <s v="km"/>
    <s v="00:31:55"/>
    <n v="31.916666666666668"/>
    <s v="Machakos"/>
    <s v="Makueni"/>
    <s v="Mombasa Road, Kilome, Makueni, Eastern, Kenya"/>
    <s v="Mombasa Road, Kilome, Makueni, Eastern, Kenya"/>
    <s v="-1.70811 , 37.19681"/>
    <s v="-1.68692 , 37.1955"/>
    <n v="2.375"/>
    <n v="1"/>
  </r>
  <r>
    <x v="2"/>
    <x v="203"/>
    <x v="239"/>
    <x v="2"/>
    <d v="2025-04-07T15:00:27"/>
    <s v="Mon"/>
    <n v="2025"/>
    <x v="7"/>
    <x v="33"/>
    <d v="2025-04-07T15:02:00"/>
    <n v="91"/>
    <s v="km/h"/>
    <s v="00:01:33"/>
    <n v="1.55"/>
    <m/>
    <m/>
    <s v="Thika Road, Juja, Juja, Kiambu, 01001, KE"/>
    <s v="Thika Road, Kalimoni ward, Juja, Kiambu, 01001, KE"/>
    <s v="-1.1125, 37.0123"/>
    <s v="-1.1288, 36.9984"/>
    <n v="2.4"/>
    <n v="1"/>
  </r>
  <r>
    <x v="0"/>
    <x v="59"/>
    <x v="217"/>
    <x v="2"/>
    <d v="2025-04-07T08:45:30"/>
    <s v="Mon"/>
    <n v="2025"/>
    <x v="7"/>
    <x v="33"/>
    <d v="2025-04-07T08:45:31"/>
    <n v="81"/>
    <s v="km/h"/>
    <s v="00:00:01"/>
    <n v="1.6666666666666666E-2"/>
    <s v="Kiambu"/>
    <s v="Kiambu"/>
    <s v="Thika Road, Kiwanja, Nairobi, Kasarani, Nairobi, 00609, Kenya"/>
    <s v="Thika Road, Kiwanja, Nairobi, Kasarani, Nairobi, 00609, Kenya"/>
    <s v="-1.17669 , 36.9422"/>
    <s v="-1.17654 , 36.94232"/>
    <n v="0"/>
    <n v="1"/>
  </r>
  <r>
    <x v="0"/>
    <x v="59"/>
    <x v="217"/>
    <x v="2"/>
    <d v="2025-04-07T08:44:11"/>
    <s v="Mon"/>
    <n v="2025"/>
    <x v="7"/>
    <x v="33"/>
    <d v="2025-04-07T08:44:12"/>
    <n v="81"/>
    <s v="km/h"/>
    <s v="00:00:01"/>
    <n v="1.6666666666666666E-2"/>
    <s v="Kiambu"/>
    <s v="Kiambu"/>
    <s v="Thika Road, Nairobi, Kasarani, Nairobi, 00609, Kenya"/>
    <s v="Thika Road, Kiwanja, Nairobi, Kasarani, Nairobi, 00609, Kenya"/>
    <s v="-1.18758 , 36.93216"/>
    <s v="-1.18729 , 36.93243"/>
    <n v="0"/>
    <n v="1"/>
  </r>
  <r>
    <x v="0"/>
    <x v="59"/>
    <x v="217"/>
    <x v="2"/>
    <d v="2025-04-07T08:42:28"/>
    <s v="Mon"/>
    <n v="2025"/>
    <x v="7"/>
    <x v="33"/>
    <d v="2025-04-07T08:42:29"/>
    <n v="81"/>
    <s v="km/h"/>
    <s v="00:00:01"/>
    <n v="1.6666666666666666E-2"/>
    <s v="Nairobi"/>
    <s v="Nairobi"/>
    <s v="Thika Road, Nairobi, Kasarani, Nairobi, 00608, Kenya"/>
    <s v="Thika Road, Nairobi, Kasarani, Nairobi, 00608, Kenya"/>
    <s v="-1.20112 , 36.91921"/>
    <s v="-1.20096 , 36.91934"/>
    <n v="0"/>
    <n v="1"/>
  </r>
  <r>
    <x v="1"/>
    <x v="32"/>
    <x v="238"/>
    <x v="0"/>
    <d v="2025-04-06T23:01:09"/>
    <s v="Sun"/>
    <n v="2025"/>
    <x v="7"/>
    <x v="33"/>
    <d v="2025-04-06T23:37:19"/>
    <n v="15.4"/>
    <s v="km"/>
    <s v="00:36:10"/>
    <n v="36.166666666666664"/>
    <s v="Kilifi"/>
    <s v="Mombasa"/>
    <s v="Mombasa Road, Rabai/Kisurutini ward, Rabai, Kilifi, Coast, Kenya"/>
    <s v="Mombasa Road, Kipevu ward, Mombasa, Mikindani ward, Jomvu, Mombasa, Coast, 80102, Kenya"/>
    <s v="-3.96683 , 39.54961"/>
    <s v="-4.02564 , 39.63369"/>
    <n v="15.311999999999999"/>
    <n v="1"/>
  </r>
  <r>
    <x v="2"/>
    <x v="204"/>
    <x v="240"/>
    <x v="2"/>
    <d v="2025-04-06T21:26:35"/>
    <s v="Sun"/>
    <n v="2025"/>
    <x v="7"/>
    <x v="33"/>
    <d v="2025-04-06T21:28:05"/>
    <n v="95"/>
    <s v="km/h"/>
    <s v="00:01:30"/>
    <n v="1.5"/>
    <m/>
    <m/>
    <s v="Meru-Nairobi Highway, Kenol, Gatanga, Murang'a County, 01000, KE"/>
    <s v="Meru-Nairobi Highway, Kenol, Gatanga, Murang'a County, 01000, KE"/>
    <s v="-0.9854, 37.0901"/>
    <s v="-1.0024, 37.0806"/>
    <n v="2.2000000000000002"/>
    <n v="1"/>
  </r>
  <r>
    <x v="0"/>
    <x v="164"/>
    <x v="187"/>
    <x v="1"/>
    <d v="2025-04-06T08:35:05"/>
    <s v="Sun"/>
    <n v="2025"/>
    <x v="7"/>
    <x v="33"/>
    <d v="2025-04-06T08:35:30"/>
    <n v="42"/>
    <s v="km/h"/>
    <s v="00:00:25"/>
    <n v="0.41666666666666669"/>
    <s v="Nairobi"/>
    <s v="Nairobi"/>
    <s v="Outer Ring Road, Uhuru sublocation, Kamukunji, Nairobi, 00611, Kenya"/>
    <s v="Outer Ring Road, Uhuru sublocation, Kamukunji, Nairobi, 00611, Kenya"/>
    <s v="-1.26788 , 36.88019"/>
    <s v="-1.26526 , 36.87954"/>
    <n v="0.29699999999999999"/>
    <n v="1"/>
  </r>
  <r>
    <x v="0"/>
    <x v="135"/>
    <x v="155"/>
    <x v="1"/>
    <d v="2025-04-05T13:34:21"/>
    <s v="Sat"/>
    <n v="2025"/>
    <x v="7"/>
    <x v="34"/>
    <d v="2025-04-05T13:34:24"/>
    <n v="53"/>
    <s v="km/h"/>
    <s v="00:00:03"/>
    <n v="0.05"/>
    <s v="Nairobi"/>
    <s v="Nairobi"/>
    <s v="Outer Ring Road, Nairobi, Kasarani, Nairobi, 00623, Kenya"/>
    <s v="Outer Ring Road, Nairobi, Kasarani, Nairobi, 00623, Kenya"/>
    <s v="-1.24871 , 36.87752"/>
    <s v="-1.24891 , 36.8777"/>
    <n v="0"/>
    <n v="1"/>
  </r>
  <r>
    <x v="0"/>
    <x v="29"/>
    <x v="225"/>
    <x v="2"/>
    <d v="2025-04-04T17:23:06"/>
    <s v="Fri"/>
    <n v="2025"/>
    <x v="7"/>
    <x v="34"/>
    <d v="2025-04-04T17:23:07"/>
    <n v="81"/>
    <s v="km/h"/>
    <s v="00:00:01"/>
    <n v="1.6666666666666666E-2"/>
    <s v="Kirinyaga"/>
    <s v="Kirinyaga"/>
    <s v="A2, Sagana, Kirinyaga West, Kirinyaga, Central Kenya, 10101, Kenya"/>
    <s v="A2, Sagana, Kirinyaga West, Kirinyaga, Central Kenya, 10101, Kenya"/>
    <s v="-0.52038 , 37.17475"/>
    <s v="-0.52052 , 37.17488"/>
    <n v="0"/>
    <n v="1"/>
  </r>
  <r>
    <x v="0"/>
    <x v="205"/>
    <x v="241"/>
    <x v="1"/>
    <d v="2025-04-04T16:11:50"/>
    <s v="Fri"/>
    <n v="2025"/>
    <x v="7"/>
    <x v="34"/>
    <d v="2025-04-04T16:11:56"/>
    <n v="47"/>
    <s v="km/h"/>
    <s v="00:00:06"/>
    <n v="0.1"/>
    <s v="Kiambu"/>
    <s v="Kiambu"/>
    <s v="Eastern Bypass, Membley, Tatu City, Gitothua ward, Ruiru, Kiambu, Central Kenya, 00609, Kenya"/>
    <s v="Eastern Bypass, Membley, Tatu City, Gitothua ward, Ruiru, Kiambu, Central Kenya, 00609, Kenya"/>
    <s v="-1.15383 , 36.92272"/>
    <s v="-1.15408 , 36.9235"/>
    <n v="9.4E-2"/>
    <n v="1"/>
  </r>
  <r>
    <x v="0"/>
    <x v="65"/>
    <x v="68"/>
    <x v="1"/>
    <d v="2025-04-04T04:00:50"/>
    <s v="Fri"/>
    <n v="2025"/>
    <x v="7"/>
    <x v="34"/>
    <d v="2025-04-04T04:00:52"/>
    <n v="43"/>
    <s v="km/h"/>
    <s v="00:00:02"/>
    <n v="3.3333333333333333E-2"/>
    <s v="Baringo"/>
    <s v="Baringo"/>
    <s v="Nakuru - Eldoret Road, Equator, Eldama Ravine, Baringo, Rift Valley, Kenya"/>
    <s v="Nakuru - Eldoret Road, Equator, Eldama Ravine, Baringo, Rift Valley, Kenya"/>
    <s v="-0.00778 , 35.57033"/>
    <s v="-0.00767 , 35.57006"/>
    <n v="0.10199999999999999"/>
    <n v="1"/>
  </r>
  <r>
    <x v="3"/>
    <x v="206"/>
    <x v="150"/>
    <x v="1"/>
    <d v="2025-04-03T18:15:42"/>
    <s v="Thu"/>
    <n v="2025"/>
    <x v="7"/>
    <x v="34"/>
    <d v="2025-04-03T18:16:33"/>
    <n v="73"/>
    <s v="km/h"/>
    <s v="00:00:51"/>
    <n v="0.85"/>
    <s v="Kiambu"/>
    <s v="Kiambu"/>
    <s v="Limuru-Maimahiu Road, Mai Mahiu sublocation, Lari/Kirenya ward, Lari, Kiambu, Central Kenya, 00221, Kenya"/>
    <s v="Limuru-Maimahiu Road, Mai Mahiu sublocation, Lari/Kirenya ward, Lari, Kiambu, Central Kenya, 00221, Kenya"/>
    <s v="-1.04203 , 36.60323"/>
    <s v="-1.03469 , 36.60127"/>
    <n v="0.90600000000000003"/>
    <n v="1"/>
  </r>
  <r>
    <x v="1"/>
    <x v="185"/>
    <x v="132"/>
    <x v="2"/>
    <d v="2025-04-02T15:48:23"/>
    <s v="Wed"/>
    <n v="2025"/>
    <x v="7"/>
    <x v="34"/>
    <d v="2025-04-02T15:48:31"/>
    <n v="83"/>
    <s v="km/h"/>
    <s v="00:00:08"/>
    <n v="0.13333333333333333"/>
    <s v="Nairobi"/>
    <s v="Nairobi"/>
    <s v="Thika Road, Muthaiga sublocation, Highridge location, Garden sublocation, Westlands, Nairobi, Kasarani, Nairobi, 00620, Kenya"/>
    <s v="Thika Road, Survey, Garden sublocation, Nairobi, Kasarani, Nairobi, 00620, Kenya"/>
    <s v="-1.25803 , 36.84994"/>
    <s v="-1.258 , 36.85147"/>
    <n v="0.188"/>
    <n v="1"/>
  </r>
  <r>
    <x v="1"/>
    <x v="185"/>
    <x v="132"/>
    <x v="2"/>
    <d v="2025-04-02T15:00:45"/>
    <s v="Wed"/>
    <n v="2025"/>
    <x v="7"/>
    <x v="34"/>
    <d v="2025-04-02T15:01:01"/>
    <n v="82"/>
    <s v="km/h"/>
    <s v="00:00:16"/>
    <n v="0.26666666666666666"/>
    <s v="Nairobi"/>
    <s v="Nairobi"/>
    <s v="Southern Bypass, Karen C, Mugumo-ini ward, Lang'ata, Nairobi, 00517, Kenya"/>
    <s v="Southern Bypass, Karen C, Mugumo-ini ward, Lang'ata, Nairobi, 00517, Kenya"/>
    <s v="-1.31817 , 36.77122"/>
    <s v="-1.31719 , 36.77425"/>
    <n v="0.40600000000000003"/>
    <n v="1"/>
  </r>
  <r>
    <x v="2"/>
    <x v="4"/>
    <x v="4"/>
    <x v="2"/>
    <d v="2025-04-02T11:24:27"/>
    <s v="Wed"/>
    <n v="2025"/>
    <x v="7"/>
    <x v="34"/>
    <d v="2025-04-02T11:24:49"/>
    <n v="96"/>
    <s v="km/h"/>
    <s v="00:00:21"/>
    <n v="0.35"/>
    <m/>
    <m/>
    <s v="Embu-Nairobi Highway, Kambiti Town, Murang`a South, Murang'a County, KE"/>
    <s v="Sunny Processing, Embu-Nairobi Highway, Kambiti Town, Murang`a South, Murang'a County, KE"/>
    <s v="-0.8217, 37.2391"/>
    <s v="-0.8176, 37.2440"/>
    <n v="0.7"/>
    <n v="1"/>
  </r>
  <r>
    <x v="3"/>
    <x v="69"/>
    <x v="158"/>
    <x v="1"/>
    <d v="2025-03-30T17:51:10"/>
    <s v="Sun"/>
    <n v="2025"/>
    <x v="8"/>
    <x v="34"/>
    <d v="2025-03-30T17:51:28"/>
    <n v="57"/>
    <s v="km/h"/>
    <s v="00:00:18"/>
    <n v="0.3"/>
    <s v="Narok"/>
    <s v="Narok"/>
    <s v="Kaplong-Narok-Maai Road, Ntulele, Mosiro ward, Narok East, Narok, Rift Valley, Kenya"/>
    <s v="Kaplong-Narok-Maai Road, Ntulele, Mosiro ward, Narok East, Narok, Rift Valley, Kenya"/>
    <s v="-1.11403 , 36.04751"/>
    <s v="-1.11336 , 36.04515"/>
    <n v="0.312"/>
    <n v="1"/>
  </r>
  <r>
    <x v="1"/>
    <x v="207"/>
    <x v="242"/>
    <x v="2"/>
    <d v="2025-03-29T20:20:31"/>
    <s v="Sat"/>
    <n v="2025"/>
    <x v="8"/>
    <x v="35"/>
    <d v="2025-03-29T20:20:32"/>
    <n v="85"/>
    <s v="km/h"/>
    <s v="00:00:01"/>
    <n v="1.6666666666666666E-2"/>
    <s v="Nakuru"/>
    <s v="Nakuru"/>
    <s v="Old Nairobi Road, Mbaruk sublocation, Greensteads, Gilgil ward, Gilgil, Nakuru, Rift Valley, 20116, Kenya"/>
    <s v="Old Nairobi Road, Mbaruk sublocation, Greensteads, Gilgil ward, Gilgil, Nakuru, Rift Valley, 20116, Kenya"/>
    <s v="-0.43257 , 36.26385"/>
    <s v="-0.43295 , 36.26403"/>
    <n v="0.125"/>
    <n v="1"/>
  </r>
  <r>
    <x v="1"/>
    <x v="194"/>
    <x v="229"/>
    <x v="2"/>
    <d v="2025-03-29T20:07:10"/>
    <s v="Sat"/>
    <n v="2025"/>
    <x v="8"/>
    <x v="35"/>
    <d v="2025-03-29T20:07:35"/>
    <n v="92"/>
    <s v="km/h"/>
    <s v="00:00:25"/>
    <n v="0.41666666666666669"/>
    <s v="Kiambu"/>
    <s v="Kiambu"/>
    <s v="Thika Road, Ruiru, Juja, Kiambu, Central Kenya, 01001, Kenya"/>
    <s v="Thika Road, Gatongora ward, Ruiru, Kiambu, Central Kenya, 01001, Kenya"/>
    <s v="-1.14314 , 36.96642"/>
    <s v="-1.14772 , 36.96283"/>
    <n v="0.56200000000000006"/>
    <n v="1"/>
  </r>
  <r>
    <x v="2"/>
    <x v="49"/>
    <x v="51"/>
    <x v="2"/>
    <d v="2025-03-29T18:08:26"/>
    <s v="Sat"/>
    <n v="2025"/>
    <x v="8"/>
    <x v="35"/>
    <d v="2025-03-29T18:09:11"/>
    <n v="91"/>
    <s v="km/h"/>
    <s v="00:00:44"/>
    <n v="0.73333333333333328"/>
    <m/>
    <m/>
    <s v="Kakamega Road, Konya sublocation, West Kajulu location, Kajulu ward, Kisumu, City of Kisumu, Kisumu County, Nyanza, 40100, KE"/>
    <s v="Kakamega Road, Salina, Migosi, Migosi ward, Kisumu, City of Kisumu, Kisumu County, Nyanza, 40103, KE"/>
    <s v="-0.0656, 34.7759"/>
    <s v="-0.0759, 34.7753"/>
    <n v="1.1000000000000001"/>
    <n v="1"/>
  </r>
  <r>
    <x v="0"/>
    <x v="208"/>
    <x v="243"/>
    <x v="1"/>
    <d v="2025-03-29T06:01:24"/>
    <s v="Sat"/>
    <n v="2025"/>
    <x v="8"/>
    <x v="35"/>
    <d v="2025-03-29T06:01:24"/>
    <n v="31"/>
    <s v="km/h"/>
    <s v="00:00:00"/>
    <n v="0"/>
    <s v="Nairobi"/>
    <s v="Nairobi"/>
    <s v="Thika Road, Nairobi, Kasarani, Nairobi, 00609, Kenya"/>
    <s v="Thika Road, Nairobi, Kasarani, Nairobi, 00609, Kenya"/>
    <s v="-1.19444 , 36.92542"/>
    <s v="-1.19444 , 36.92542"/>
    <n v="0"/>
    <n v="1"/>
  </r>
  <r>
    <x v="1"/>
    <x v="67"/>
    <x v="136"/>
    <x v="2"/>
    <d v="2025-03-28T16:23:01"/>
    <s v="Fri"/>
    <n v="2025"/>
    <x v="8"/>
    <x v="35"/>
    <d v="2025-03-28T16:23:05"/>
    <n v="82"/>
    <s v="km/h"/>
    <s v="00:00:04"/>
    <n v="6.6666666666666666E-2"/>
    <s v="Makueni"/>
    <s v="Makueni"/>
    <s v="Mombasa Road, Salama, Kilome, Makueni, Eastern, Kenya"/>
    <s v="Mombasa Road, Salama, Kilome, Makueni, Eastern, Kenya"/>
    <s v="-1.82525 , 37.24078"/>
    <s v="-1.826 , 37.24111"/>
    <n v="9.4E-2"/>
    <n v="1"/>
  </r>
  <r>
    <x v="2"/>
    <x v="41"/>
    <x v="42"/>
    <x v="2"/>
    <d v="2025-03-28T00:30:53"/>
    <s v="Fri"/>
    <n v="2025"/>
    <x v="8"/>
    <x v="35"/>
    <d v="2025-03-28T00:31:09"/>
    <n v="84"/>
    <s v="km/h"/>
    <s v="00:00:15"/>
    <n v="0.25"/>
    <m/>
    <m/>
    <s v="Kericho-Kisumu Highway, Kochogo North sublocation, Awasi, Awasi/Onjiko ward, Nyando, Kisumu County, Nyanza, KE"/>
    <s v="Kericho-Kisumu Highway, Kochogo North sublocation, Awasi, Awasi/Onjiko ward, Nyando, Kisumu County, Nyanza, KE"/>
    <s v="-0.2146, 35.1531"/>
    <s v="-0.2105, 35.1525"/>
    <n v="0.5"/>
    <n v="1"/>
  </r>
  <r>
    <x v="0"/>
    <x v="59"/>
    <x v="217"/>
    <x v="1"/>
    <d v="2025-03-27T15:24:11"/>
    <s v="Thu"/>
    <n v="2025"/>
    <x v="8"/>
    <x v="35"/>
    <d v="2025-03-27T15:24:12"/>
    <n v="41"/>
    <s v="km/h"/>
    <s v="00:00:01"/>
    <n v="1.6666666666666666E-2"/>
    <s v="Kirinyaga"/>
    <s v="Kirinyaga"/>
    <s v="Kirinyaga Central, Kirinyaga, Central Kenya, 10300, Kenya"/>
    <s v="Kirinyaga Central, Kirinyaga, Central Kenya, 10300, Kenya"/>
    <s v="-0.5273 , 37.26356"/>
    <s v="-0.5274 , 37.26357"/>
    <n v="0"/>
    <n v="1"/>
  </r>
  <r>
    <x v="2"/>
    <x v="134"/>
    <x v="154"/>
    <x v="2"/>
    <d v="2025-03-26T09:42:40"/>
    <s v="Wed"/>
    <n v="2025"/>
    <x v="8"/>
    <x v="35"/>
    <d v="2025-03-26T09:44:59"/>
    <n v="103"/>
    <s v="km/h"/>
    <s v="00:02:18"/>
    <n v="2.2999999999999998"/>
    <m/>
    <m/>
    <s v="Mulberry Court Apartments, Limuru Road, Nairobi, Kiambaa, Kiambu, 11403, KE"/>
    <s v="Jowac Sports Bar, Limuru Road, Kaigu, Rwenu, Ndenderu, Ndenderu ward, Kiambaa, Kiambu, 11403, KE"/>
    <s v="-1.2042, 36.7736"/>
    <s v="-1.1927, 36.7468"/>
    <n v="3.2"/>
    <n v="1"/>
  </r>
  <r>
    <x v="2"/>
    <x v="73"/>
    <x v="74"/>
    <x v="2"/>
    <d v="2025-03-25T05:57:02"/>
    <s v="Tue"/>
    <n v="2025"/>
    <x v="8"/>
    <x v="35"/>
    <d v="2025-03-25T05:59:01"/>
    <n v="92"/>
    <s v="km/h"/>
    <s v="00:01:58"/>
    <n v="1.9666666666666668"/>
    <m/>
    <m/>
    <s v="Nairobi Road, Tegat, Sobea Highway, Mosop ward, Rongai, Nakuru, Rift Valley, KE"/>
    <s v="Nairobi Road, Tegat, Sobea Highway, Mosop ward, Rongai, Nakuru, Rift Valley, KE"/>
    <s v="-0.2408, 35.9194"/>
    <s v="-0.2291, 35.8958"/>
    <n v="2.9"/>
    <n v="1"/>
  </r>
  <r>
    <x v="1"/>
    <x v="209"/>
    <x v="229"/>
    <x v="2"/>
    <d v="2025-03-24T20:06:05"/>
    <s v="Mon"/>
    <n v="2025"/>
    <x v="8"/>
    <x v="35"/>
    <d v="2025-03-24T20:06:13"/>
    <n v="86"/>
    <s v="km/h"/>
    <s v="00:00:08"/>
    <n v="0.13333333333333333"/>
    <s v="Murang'a"/>
    <s v="Murang'a"/>
    <s v="Meru-Nairobi Highway, Kenol, Murang`a South, Murang`a, Central Kenya, Kenya"/>
    <s v="Meru-Nairobi Highway, Kenol, Gatanga, Murang`a, Central Kenya, Kenya"/>
    <s v="-0.96092 , 37.10672"/>
    <s v="-0.96178 , 37.10469"/>
    <n v="0.312"/>
    <n v="1"/>
  </r>
  <r>
    <x v="2"/>
    <x v="210"/>
    <x v="244"/>
    <x v="2"/>
    <d v="2025-03-24T14:40:58"/>
    <s v="Mon"/>
    <n v="2025"/>
    <x v="8"/>
    <x v="35"/>
    <d v="2025-03-24T14:42:17"/>
    <n v="90"/>
    <s v="km/h"/>
    <s v="00:01:18"/>
    <n v="1.3"/>
    <m/>
    <m/>
    <s v="Naivasha-Mai Mahiu-Limuru Rd., Longonot sublocation, Astu, Hells Gate ward, Naivasha, Nakuru, Rift Valley, KE"/>
    <s v="Naivasha-Mai Mahiu-Limuru Rd., Longonot sublocation, Astu, Hells Gate ward, Naivasha, Nakuru, Rift Valley, KE"/>
    <s v="-0.7884, 36.4577"/>
    <s v="-0.7724, 36.4510"/>
    <n v="1.9"/>
    <n v="1"/>
  </r>
  <r>
    <x v="1"/>
    <x v="209"/>
    <x v="229"/>
    <x v="2"/>
    <d v="2025-03-24T11:56:32"/>
    <s v="Mon"/>
    <n v="2025"/>
    <x v="8"/>
    <x v="35"/>
    <d v="2025-03-24T11:56:36"/>
    <n v="83"/>
    <s v="km/h"/>
    <s v="00:00:04"/>
    <n v="6.6666666666666666E-2"/>
    <s v="Murang'a"/>
    <s v="Murang'a"/>
    <s v="Embu-Nairobi Highway, Kambiti Town, Murang`a South, Murang`a, Central Kenya, Kenya"/>
    <s v="Embu-Nairobi Highway, Kambiti Town, Murang`a South, Murang`a, Central Kenya, Kenya"/>
    <s v="-0.82086 , 37.24003"/>
    <s v="-0.82033 , 37.24069"/>
    <n v="0.125"/>
    <n v="1"/>
  </r>
  <r>
    <x v="1"/>
    <x v="209"/>
    <x v="229"/>
    <x v="2"/>
    <d v="2025-03-24T11:53:05"/>
    <s v="Mon"/>
    <n v="2025"/>
    <x v="8"/>
    <x v="35"/>
    <d v="2025-03-24T11:53:19"/>
    <n v="90"/>
    <s v="km/h"/>
    <s v="00:00:14"/>
    <n v="0.23333333333333334"/>
    <s v="Machakos"/>
    <s v="Machakos"/>
    <s v="Embu-Nairobi Highway, Manaja ward, Masinga, Machakos, Eastern, Kenya"/>
    <s v="Kambiti Town, Murang`a South, Murang`a, Central Kenya, Kenya"/>
    <s v="-0.84575 , 37.23244"/>
    <s v="-0.84258 , 37.23203"/>
    <n v="0.438"/>
    <n v="1"/>
  </r>
  <r>
    <x v="1"/>
    <x v="209"/>
    <x v="229"/>
    <x v="2"/>
    <d v="2025-03-24T10:14:54"/>
    <s v="Mon"/>
    <n v="2025"/>
    <x v="8"/>
    <x v="35"/>
    <d v="2025-03-24T10:15:08"/>
    <n v="87"/>
    <s v="km/h"/>
    <s v="00:00:14"/>
    <n v="0.23333333333333334"/>
    <s v="Nairobi"/>
    <s v="Nairobi"/>
    <s v="Thika Road, Zimmerman, Nairobi, Kasarani, Nairobi, 00608, Kenya"/>
    <s v="Thika Road, Zimmerman, Nairobi, Kasarani, Nairobi, 00608, Kenya"/>
    <s v="-1.21217 , 36.9035"/>
    <s v="-1.21106 , 36.90683"/>
    <n v="0.438"/>
    <n v="1"/>
  </r>
  <r>
    <x v="1"/>
    <x v="211"/>
    <x v="245"/>
    <x v="2"/>
    <d v="2025-03-24T09:22:09"/>
    <s v="Mon"/>
    <n v="2025"/>
    <x v="8"/>
    <x v="35"/>
    <d v="2025-03-24T09:22:14"/>
    <n v="81"/>
    <s v="km/h"/>
    <s v="00:00:05"/>
    <n v="8.3333333333333329E-2"/>
    <s v="Machakos"/>
    <s v="Machakos"/>
    <s v="Embu-Nairobi Highway, Manaja ward, Masinga, Machakos, Eastern, Kenya"/>
    <s v="Embu-Nairobi Highway, Manaja ward, Masinga, Machakos, Eastern, Kenya"/>
    <s v="-0.84538 , 37.23249"/>
    <s v="-0.84411 , 37.23235"/>
    <n v="0.125"/>
    <n v="1"/>
  </r>
  <r>
    <x v="1"/>
    <x v="211"/>
    <x v="245"/>
    <x v="2"/>
    <d v="2025-03-24T07:58:14"/>
    <s v="Mon"/>
    <n v="2025"/>
    <x v="8"/>
    <x v="35"/>
    <d v="2025-03-24T07:58:16"/>
    <n v="81"/>
    <s v="km/h"/>
    <s v="00:00:02"/>
    <n v="3.3333333333333333E-2"/>
    <s v="Nairobi"/>
    <s v="Nairobi"/>
    <s v="Thika Road, Zimmerman, Nairobi, Kasarani, Nairobi, 00608, Kenya"/>
    <s v="Thika Road, Zimmerman, Nairobi, Kasarani, Nairobi, 00608, Kenya"/>
    <s v="-1.21151 , 36.90543"/>
    <s v="-1.21131 , 36.90602"/>
    <n v="0.125"/>
    <n v="1"/>
  </r>
  <r>
    <x v="2"/>
    <x v="27"/>
    <x v="28"/>
    <x v="2"/>
    <d v="2025-03-23T12:59:28"/>
    <s v="Sun"/>
    <n v="2025"/>
    <x v="8"/>
    <x v="35"/>
    <d v="2025-03-23T13:00:15"/>
    <n v="85"/>
    <s v="km/h"/>
    <s v="00:00:47"/>
    <n v="0.78333333333333333"/>
    <m/>
    <m/>
    <s v="Naivasha-Mai Mahiu-Limuru Road, Mai Mahiu sublocation, Jikaze, Mai Mahiu ward, Naivasha, Nakuru, Rift Valley, 00221, KE"/>
    <s v="Naivasha-Mai Mahiu-Limuru Road, Mai Mahiu sublocation, Jikaze, Mai Mahiu ward, Naivasha, Nakuru, Rift Valley, 00221, KE"/>
    <s v="-0.9179, 36.5230"/>
    <s v="-0.9261, 36.5296"/>
    <n v="1.2"/>
    <n v="1"/>
  </r>
  <r>
    <x v="0"/>
    <x v="164"/>
    <x v="187"/>
    <x v="3"/>
    <d v="2025-03-23T05:53:46"/>
    <s v="Sun"/>
    <n v="2025"/>
    <x v="8"/>
    <x v="35"/>
    <d v="2025-03-23T05:53:47"/>
    <n v="16"/>
    <s v="km/h/s"/>
    <s v="00:00:01"/>
    <n v="1.6666666666666666E-2"/>
    <s v="Kilifi"/>
    <m/>
    <s v="Mombasa Road, Mariakani ward, Kaloleni, Kilifi, Coast, Kenya"/>
    <m/>
    <s v="-3.84244 , 39.44704"/>
    <m/>
    <n v="0"/>
    <n v="1"/>
  </r>
  <r>
    <x v="1"/>
    <x v="209"/>
    <x v="229"/>
    <x v="2"/>
    <d v="2025-03-22T18:08:52"/>
    <s v="Sat"/>
    <n v="2025"/>
    <x v="8"/>
    <x v="36"/>
    <d v="2025-03-22T18:08:56"/>
    <n v="87"/>
    <s v="km/h"/>
    <s v="00:00:04"/>
    <n v="6.6666666666666666E-2"/>
    <s v="Makueni"/>
    <s v="Makueni"/>
    <s v="Mombasa Road, Salama, Kilome, Makueni, Eastern, Kenya"/>
    <s v="Mombasa Road, Salama, Kilome, Makueni, Eastern, Kenya"/>
    <s v="-1.82483 , 37.24053"/>
    <s v="-1.826 , 37.24111"/>
    <n v="6.2E-2"/>
    <n v="1"/>
  </r>
  <r>
    <x v="2"/>
    <x v="212"/>
    <x v="246"/>
    <x v="2"/>
    <d v="2025-03-22T11:01:02"/>
    <s v="Sat"/>
    <n v="2025"/>
    <x v="8"/>
    <x v="36"/>
    <d v="2025-03-22T11:01:37"/>
    <n v="88"/>
    <s v="km/h"/>
    <s v="00:00:35"/>
    <n v="0.58333333333333337"/>
    <m/>
    <m/>
    <s v="A12, Londiani Junction, Kedowa/Kimugul ward, Kipkelion East, Kericho County, Rift Valley, KE"/>
    <s v="A12, Londiani Junction, Kedowa/Kimugul ward, Kipkelion East, Kericho County, Rift Valley, KE"/>
    <s v="-0.1680, 35.6650"/>
    <s v="-0.1688, 35.6567"/>
    <n v="0.9"/>
    <n v="1"/>
  </r>
  <r>
    <x v="2"/>
    <x v="213"/>
    <x v="247"/>
    <x v="2"/>
    <d v="2025-03-22T09:30:01"/>
    <s v="Sat"/>
    <n v="2025"/>
    <x v="8"/>
    <x v="36"/>
    <d v="2025-03-22T09:31:21"/>
    <n v="92"/>
    <s v="km/h"/>
    <s v="00:01:19"/>
    <n v="1.3166666666666667"/>
    <m/>
    <m/>
    <s v="Embu-Nairobi Highway, Kambiti Town, Murang`a South, Murang'a County, KE"/>
    <s v="Kambiti Town, Murang`a South, Murang'a County, KE"/>
    <s v="-0.8589, 37.2354"/>
    <s v="-0.8419, 37.2320"/>
    <n v="1.9"/>
    <n v="1"/>
  </r>
  <r>
    <x v="1"/>
    <x v="207"/>
    <x v="242"/>
    <x v="2"/>
    <d v="2025-03-19T11:44:27"/>
    <s v="Wed"/>
    <n v="2025"/>
    <x v="8"/>
    <x v="36"/>
    <d v="2025-03-19T11:44:33"/>
    <n v="84"/>
    <s v="km/h"/>
    <s v="00:00:06"/>
    <n v="0.1"/>
    <s v="Makueni"/>
    <s v="Makueni"/>
    <s v="Mombasa Road, Kiboko, Kibwezi West, Makueni, Eastern, Kenya"/>
    <s v="Kibwezi West, Makueni, Eastern, Kenya"/>
    <s v="-2.26277 , 37.80203"/>
    <s v="-2.26176 , 37.80088"/>
    <n v="0.125"/>
    <n v="1"/>
  </r>
  <r>
    <x v="0"/>
    <x v="44"/>
    <x v="45"/>
    <x v="2"/>
    <d v="2025-03-18T12:22:26"/>
    <s v="Tue"/>
    <n v="2025"/>
    <x v="8"/>
    <x v="36"/>
    <d v="2025-03-18T12:22:35"/>
    <n v="85"/>
    <s v="km/h"/>
    <s v="00:00:09"/>
    <n v="0.15"/>
    <s v="Murang'a"/>
    <s v="Murang'a"/>
    <s v="Meru-Nairobi Highway, Kenol, Gatanga, Murang`a, Central Kenya, Kenya"/>
    <s v="Meru-Nairobi Highway, Kenol, Gatanga, Murang`a, Central Kenya, Kenya"/>
    <s v="-0.99792 , 37.08304"/>
    <s v="-0.99972 , 37.08197"/>
    <n v="0.219"/>
    <n v="1"/>
  </r>
  <r>
    <x v="2"/>
    <x v="90"/>
    <x v="93"/>
    <x v="2"/>
    <d v="2025-03-18T08:42:49"/>
    <s v="Tue"/>
    <n v="2025"/>
    <x v="8"/>
    <x v="36"/>
    <d v="2025-03-18T08:43:09"/>
    <n v="85"/>
    <s v="km/h"/>
    <s v="00:00:19"/>
    <n v="0.31666666666666665"/>
    <m/>
    <m/>
    <s v="Thika Road, Kahawa ward, Kasarani, Nairobi, Nairobi County, 00609, KE"/>
    <s v="Thika Road, Kahawa West ward, Kasarani, Nairobi, Nairobi County, 00609, KE"/>
    <s v="-1.1999, 36.9202"/>
    <s v="-1.1962, 36.9239"/>
    <n v="0.6"/>
    <n v="1"/>
  </r>
  <r>
    <x v="0"/>
    <x v="95"/>
    <x v="99"/>
    <x v="1"/>
    <d v="2025-03-17T14:11:42"/>
    <s v="Mon"/>
    <n v="2025"/>
    <x v="8"/>
    <x v="36"/>
    <d v="2025-03-17T14:11:43"/>
    <n v="50"/>
    <s v="km/h"/>
    <s v="00:00:01"/>
    <n v="1.6666666666666666E-2"/>
    <s v="Nairobi"/>
    <s v="Nairobi"/>
    <s v="Enterprise Road, Viwandani, Viwandani ward, Makadara subcounty, Nairobi, 00507, Kenya"/>
    <s v="Enterprise Road, Viwandani, Viwandani ward, Makadara subcounty, Nairobi, 00507, Kenya"/>
    <s v="-1.3142 , 36.8577"/>
    <s v="-1.31424 , 36.85781"/>
    <n v="0"/>
    <n v="1"/>
  </r>
  <r>
    <x v="1"/>
    <x v="67"/>
    <x v="248"/>
    <x v="3"/>
    <d v="2025-03-17T10:38:13"/>
    <s v="Mon"/>
    <n v="2025"/>
    <x v="8"/>
    <x v="36"/>
    <d v="2025-03-17T10:38:13"/>
    <n v="18"/>
    <s v="km/h/s"/>
    <s v="00:00:00"/>
    <n v="0"/>
    <s v="Nairobi"/>
    <s v="Nairobi"/>
    <s v="Landhies Road, Shauri Moyo sublocation, Pumwani ward, Kamukunji, Nairobi, CBD division, Starehe, Nairobi, 00101, Kenya"/>
    <m/>
    <s v="-1.29108 , 36.84117"/>
    <m/>
    <n v="0"/>
    <n v="1"/>
  </r>
  <r>
    <x v="2"/>
    <x v="184"/>
    <x v="214"/>
    <x v="2"/>
    <d v="2025-03-17T09:38:37"/>
    <s v="Mon"/>
    <n v="2025"/>
    <x v="8"/>
    <x v="36"/>
    <d v="2025-03-17T09:40:27"/>
    <n v="87"/>
    <s v="km/h"/>
    <s v="00:01:50"/>
    <n v="1.8333333333333335"/>
    <m/>
    <m/>
    <s v="Naivasha-Mai Mahiu-Limuru Road, Mai Mahiu sublocation, Jikaze, Mai Mahiu ward, Naivasha, Nakuru, Rift Valley, 00221, KE"/>
    <s v="Naivasha-Mai Mahiu-Limuru Road, Mai Mahiu sublocation, Jikaze, Mai Mahiu ward, Naivasha, Nakuru, Rift Valley, 00221, KE"/>
    <s v="-0.9253,36.5290"/>
    <s v="-0.9430,36.5438"/>
    <n v="2.6"/>
    <n v="1"/>
  </r>
  <r>
    <x v="0"/>
    <x v="111"/>
    <x v="121"/>
    <x v="3"/>
    <d v="2025-03-17T02:29:22"/>
    <s v="Mon"/>
    <n v="2025"/>
    <x v="8"/>
    <x v="36"/>
    <d v="2025-03-17T02:29:23"/>
    <n v="22"/>
    <s v="km/h/s"/>
    <s v="00:00:01"/>
    <n v="1.6666666666666666E-2"/>
    <s v="Nakuru"/>
    <m/>
    <s v="Old Nairobi Road, Mbaruk sublocation, Greensteads, Mbaruk/Eburu ward, Gilgil, Nakuru, Rift Valley, 20116, Kenya"/>
    <m/>
    <s v="-0.35972 , 36.20491"/>
    <m/>
    <n v="0"/>
    <n v="1"/>
  </r>
  <r>
    <x v="2"/>
    <x v="131"/>
    <x v="151"/>
    <x v="2"/>
    <d v="2025-03-16T14:41:35"/>
    <s v="Sun"/>
    <n v="2025"/>
    <x v="8"/>
    <x v="36"/>
    <d v="2025-03-16T14:42:00"/>
    <n v="85"/>
    <s v="km/h"/>
    <s v="00:00:24"/>
    <n v="0.4"/>
    <m/>
    <m/>
    <s v="Thika Road, Zimmerman, Kasarani, Nairobi, Nairobi County, 00608, KE"/>
    <s v="Thika Road, Zimmerman, Kasarani, Nairobi, Nairobi County, 00608, KE"/>
    <s v="-1.2127,36.9020"/>
    <s v="-1.2108,36.9076"/>
    <n v="0.7"/>
    <n v="1"/>
  </r>
  <r>
    <x v="0"/>
    <x v="111"/>
    <x v="121"/>
    <x v="3"/>
    <d v="2025-03-15T18:14:15"/>
    <s v="Sat"/>
    <n v="2025"/>
    <x v="8"/>
    <x v="37"/>
    <d v="2025-03-15T18:14:16"/>
    <n v="23"/>
    <s v="km/h/s"/>
    <s v="00:00:01"/>
    <n v="1.6666666666666666E-2"/>
    <s v="Kiambu"/>
    <m/>
    <s v="Thika Road, Juja ward, Juja, Kiambu, Central Kenya, 01001, Kenya"/>
    <m/>
    <s v="-1.10911 , 37.01365"/>
    <m/>
    <n v="0"/>
    <n v="1"/>
  </r>
  <r>
    <x v="0"/>
    <x v="34"/>
    <x v="35"/>
    <x v="1"/>
    <d v="2025-03-15T12:41:42"/>
    <s v="Sat"/>
    <n v="2025"/>
    <x v="8"/>
    <x v="37"/>
    <d v="2025-03-15T12:41:47"/>
    <n v="52"/>
    <s v="km/h"/>
    <s v="00:00:05"/>
    <n v="8.3333333333333329E-2"/>
    <s v="Narok"/>
    <s v="Narok"/>
    <s v="Kaplong-Narok-Maai Road, Narok Town ward, Narok North, Narok, Rift Valley, Kenya"/>
    <s v="Kaplong-Narok-Maai Road, Narok Town ward, Narok North, Narok, Rift Valley, Kenya"/>
    <s v="-1.07888 , 35.79818"/>
    <s v="-1.07896 , 35.79895"/>
    <n v="0"/>
    <n v="1"/>
  </r>
  <r>
    <x v="3"/>
    <x v="6"/>
    <x v="6"/>
    <x v="1"/>
    <d v="2025-03-14T17:40:36"/>
    <s v="Fri"/>
    <n v="2025"/>
    <x v="8"/>
    <x v="37"/>
    <d v="2025-03-14T17:40:37"/>
    <n v="34"/>
    <s v="km/h"/>
    <s v="00:00:01"/>
    <n v="1.6666666666666666E-2"/>
    <s v="Embu"/>
    <s v="Embu"/>
    <s v="C92, Kanywambora, Runyenjes, Embu, Eastern, Kenya"/>
    <s v="C92, Kanywambora, Runyenjes, Embu, Eastern, Kenya"/>
    <s v="-0.47692 , 37.58392"/>
    <s v="-0.4768 , 37.58379"/>
    <n v="0"/>
    <n v="1"/>
  </r>
  <r>
    <x v="2"/>
    <x v="214"/>
    <x v="249"/>
    <x v="2"/>
    <d v="2025-03-14T06:51:28"/>
    <s v="Fri"/>
    <n v="2025"/>
    <x v="8"/>
    <x v="37"/>
    <d v="2025-03-14T06:52:18"/>
    <n v="99"/>
    <s v="km/h"/>
    <s v="00:00:49"/>
    <n v="0.81666666666666665"/>
    <m/>
    <m/>
    <s v="Eldoret Bypass, Kapsaret, Simat/, Kapseret, Uasin Gishu County, Rift Valley, KE"/>
    <s v="Eldoret Bypass, Simat/, Kapseret, Uasin Gishu County, Rift Valley, KE"/>
    <s v="0.4982,35.1944"/>
    <s v="0.5084,35.1882"/>
    <n v="1.3"/>
    <n v="1"/>
  </r>
  <r>
    <x v="1"/>
    <x v="215"/>
    <x v="250"/>
    <x v="2"/>
    <d v="2025-03-14T06:47:47"/>
    <s v="Fri"/>
    <n v="2025"/>
    <x v="8"/>
    <x v="37"/>
    <d v="2025-03-14T06:47:48"/>
    <n v="81"/>
    <s v="km/h"/>
    <s v="00:00:01"/>
    <n v="1.6666666666666666E-2"/>
    <s v="Machakos"/>
    <s v="Machakos"/>
    <s v="Embu-Nairobi Highway, Manaja ward, Masinga, Machakos, Eastern, Kenya"/>
    <m/>
    <s v="-0.84435 , 37.23238"/>
    <m/>
    <n v="0.125"/>
    <n v="1"/>
  </r>
  <r>
    <x v="3"/>
    <x v="69"/>
    <x v="158"/>
    <x v="1"/>
    <d v="2025-03-13T15:19:42"/>
    <s v="Thu"/>
    <n v="2025"/>
    <x v="8"/>
    <x v="37"/>
    <d v="2025-03-13T15:19:51"/>
    <n v="46"/>
    <s v="km/h"/>
    <s v="00:00:09"/>
    <n v="0.15"/>
    <s v="Nairobi"/>
    <s v="Nairobi"/>
    <s v="Airport North Road, Embakasi, Imara Daima ward, Embakasi, Nairobi, 00501, Kenya"/>
    <s v="Airport North Road, Embakasi, Imara Daima ward, Embakasi, Nairobi, 00501, Kenya"/>
    <s v="-1.32995 , 36.89039"/>
    <s v="-1.32931 , 36.89127"/>
    <n v="9.4E-2"/>
    <n v="1"/>
  </r>
  <r>
    <x v="3"/>
    <x v="17"/>
    <x v="18"/>
    <x v="3"/>
    <d v="2025-03-12T16:19:38"/>
    <s v="Wed"/>
    <n v="2025"/>
    <x v="8"/>
    <x v="37"/>
    <d v="2025-03-12T16:19:39"/>
    <n v="39"/>
    <s v="km/h/s"/>
    <s v="00:00:01"/>
    <n v="1.6666666666666666E-2"/>
    <s v="Nairobi"/>
    <m/>
    <s v="Site Entrance Queue; KBL FACTORY"/>
    <m/>
    <s v="-1.23619 , 36.87879"/>
    <m/>
    <n v="0"/>
    <n v="1"/>
  </r>
  <r>
    <x v="2"/>
    <x v="11"/>
    <x v="11"/>
    <x v="2"/>
    <d v="2025-03-12T12:08:20"/>
    <s v="Wed"/>
    <n v="2025"/>
    <x v="8"/>
    <x v="37"/>
    <d v="2025-03-12T12:09:40"/>
    <n v="91"/>
    <s v="km/h"/>
    <s v="00:01:20"/>
    <n v="1.3333333333333333"/>
    <m/>
    <m/>
    <s v="A8, Kinanie ward, Mavoko, Machakos County, KE"/>
    <s v="A8, Kinanie ward, Mavoko, Machakos County, KE"/>
    <s v="-1.5223,37.1165"/>
    <s v="-1.5130,37.1021"/>
    <n v="1.9"/>
    <n v="1"/>
  </r>
  <r>
    <x v="2"/>
    <x v="216"/>
    <x v="251"/>
    <x v="2"/>
    <d v="2025-03-11T15:26:55"/>
    <s v="Tue"/>
    <n v="2025"/>
    <x v="8"/>
    <x v="37"/>
    <d v="2025-03-11T15:27:09"/>
    <n v="83"/>
    <s v="km/h"/>
    <s v="00:00:14"/>
    <n v="0.23333333333333334"/>
    <m/>
    <m/>
    <s v="Kericho-Kisumu Highway, Kapsoit, Kapsoit ward, Ainamoi, Kericho County, Rift Valley, 20205, KE"/>
    <s v="Kericho-Kisumu Highway, Kapsoit, Kapsoit ward, Ainamoi, Kericho County, Rift Valley, 20205, KE"/>
    <s v="-0.3077,35.1726"/>
    <s v="-0.3083,35.1687"/>
    <n v="0.4"/>
    <n v="1"/>
  </r>
  <r>
    <x v="3"/>
    <x v="17"/>
    <x v="18"/>
    <x v="1"/>
    <d v="2025-03-11T09:31:49"/>
    <s v="Tue"/>
    <n v="2025"/>
    <x v="8"/>
    <x v="37"/>
    <d v="2025-03-11T09:31:53"/>
    <n v="58"/>
    <s v="km/h"/>
    <s v="00:00:04"/>
    <n v="6.6666666666666666E-2"/>
    <s v="Kisumu"/>
    <s v="Kisumu"/>
    <s v="Kericho-Kisumu Highway, Kochogo North sublocation, Awasi, Awasi/Onjiko ward, Nyando, Kisumu, Nyanza, Kenya"/>
    <s v="Kericho-Kisumu Highway, Kochogo North sublocation, Awasi, Awasi/Onjiko ward, Nyando, Kisumu, Nyanza, Kenya"/>
    <s v="-0.16745 , 35.08027"/>
    <s v="-0.16686 , 35.07991"/>
    <n v="0"/>
    <n v="1"/>
  </r>
  <r>
    <x v="1"/>
    <x v="211"/>
    <x v="245"/>
    <x v="2"/>
    <d v="2025-03-10T15:49:28"/>
    <s v="Mon"/>
    <n v="2025"/>
    <x v="8"/>
    <x v="37"/>
    <d v="2025-03-10T15:49:32"/>
    <n v="82"/>
    <s v="km/h"/>
    <s v="00:00:04"/>
    <n v="6.6666666666666666E-2"/>
    <s v="Makueni"/>
    <s v="Makueni"/>
    <s v="Mombasa Road, Thange, Kibwezi East, Makueni, Eastern, Kenya"/>
    <s v="Mombasa Road, Thange, Kibwezi East, Makueni, Eastern, Kenya"/>
    <s v="-2.45701 , 37.98098"/>
    <s v="-2.45774 , 37.98174"/>
    <n v="6.2E-2"/>
    <n v="1"/>
  </r>
  <r>
    <x v="3"/>
    <x v="39"/>
    <x v="40"/>
    <x v="1"/>
    <d v="2025-03-10T15:19:32"/>
    <s v="Mon"/>
    <n v="2025"/>
    <x v="8"/>
    <x v="37"/>
    <d v="2025-03-10T15:19:33"/>
    <n v="55"/>
    <s v="km/h"/>
    <s v="00:00:01"/>
    <n v="1.6666666666666666E-2"/>
    <s v="Nakuru"/>
    <s v="Nakuru"/>
    <s v="Naivasha-Mai Mahiu-Limuru Rd., Longonot sublocation, Astu, Mai Mahiu ward, Naivasha, Nakuru, Rift Valley, Kenya"/>
    <s v="Naivasha-Mai Mahiu-Limuru Rd., Longonot sublocation, Astu, Mai Mahiu ward, Naivasha, Nakuru, Rift Valley, Kenya"/>
    <s v="-0.86491 , 36.48208"/>
    <s v="-0.86465 , 36.482"/>
    <n v="0"/>
    <n v="1"/>
  </r>
  <r>
    <x v="2"/>
    <x v="4"/>
    <x v="4"/>
    <x v="2"/>
    <d v="2025-03-10T14:22:32"/>
    <s v="Mon"/>
    <n v="2025"/>
    <x v="8"/>
    <x v="37"/>
    <d v="2025-03-10T14:23:16"/>
    <s v="89.0"/>
    <s v="km/h"/>
    <s v="00:00:44"/>
    <n v="0.73333333333333328"/>
    <m/>
    <m/>
    <s v="Thika Road, Witeithie ward, Juja, Kiambu, 01000, KE"/>
    <s v="Thika Road, Witeithie ward, Juja, Kiambu, 01001, KE"/>
    <s v="-1.0808, 37.0430"/>
    <s v="-1.0887, 37.0360"/>
    <s v="1.2"/>
    <n v="1"/>
  </r>
  <r>
    <x v="0"/>
    <x v="95"/>
    <x v="99"/>
    <x v="1"/>
    <d v="2025-03-10T14:07:00"/>
    <s v="Mon"/>
    <n v="2025"/>
    <x v="8"/>
    <x v="37"/>
    <d v="2025-03-10T14:07:01"/>
    <n v="64"/>
    <s v="km/h"/>
    <s v="00:00:01"/>
    <n v="1.6666666666666666E-2"/>
    <s v="Kirinyaga"/>
    <s v="Kirinyaga"/>
    <s v="A2, Sagana, Mathira West, Nyeri, Central Kenya, 10101, Kenya"/>
    <s v="A2, Sagana, Mathira West, Nyeri, Central Kenya, 10101, Kenya"/>
    <s v="-0.51646 , 37.16645"/>
    <s v="-0.51655 , 37.16658"/>
    <n v="0"/>
    <n v="1"/>
  </r>
  <r>
    <x v="0"/>
    <x v="8"/>
    <x v="8"/>
    <x v="3"/>
    <d v="2025-03-10T13:16:20"/>
    <s v="Mon"/>
    <n v="2025"/>
    <x v="8"/>
    <x v="37"/>
    <d v="2025-03-10T13:16:21"/>
    <n v="16"/>
    <s v="km/h/s"/>
    <s v="00:00:01"/>
    <n v="1.6666666666666666E-2"/>
    <s v="Kiambu"/>
    <m/>
    <s v="Limuru-Maimahiu Rd., Kamirithu sublocation, Limuru, Limuru Central ward, Limuru, Kiambu, Central Kenya, 00217, Kenya"/>
    <m/>
    <s v="-1.10706 , 36.61232"/>
    <m/>
    <n v="0"/>
    <n v="1"/>
  </r>
  <r>
    <x v="2"/>
    <x v="11"/>
    <x v="11"/>
    <x v="2"/>
    <d v="2025-03-10T12:07:58"/>
    <s v="Mon"/>
    <n v="2025"/>
    <x v="8"/>
    <x v="37"/>
    <d v="2025-03-10T12:11:28"/>
    <s v="99.0"/>
    <s v="km/h"/>
    <s v="00:03:29"/>
    <n v="3.4833333333333334"/>
    <m/>
    <m/>
    <s v="Mombasa Road, Ngokomi, Kilome, Makueni, KE"/>
    <s v="Mombasa Road, Ngokomi, Kilome, Makueni, KE"/>
    <s v="-1.9616, 37.3147"/>
    <s v="-1.9905, 37.3505"/>
    <s v="5.1"/>
    <n v="1"/>
  </r>
  <r>
    <x v="0"/>
    <x v="8"/>
    <x v="8"/>
    <x v="2"/>
    <d v="2025-03-10T11:06:23"/>
    <s v="Mon"/>
    <n v="2025"/>
    <x v="8"/>
    <x v="37"/>
    <d v="2025-03-10T11:06:25"/>
    <n v="85"/>
    <s v="km/h"/>
    <s v="00:00:02"/>
    <n v="3.3333333333333333E-2"/>
    <s v="Nakuru"/>
    <s v="Nakuru"/>
    <s v="Old Nairobi Road, Mbaruk sublocation, Greensteads, Mbaruk/Eburu ward, Gilgil, Nakuru, Rift Valley, 20116, Kenya"/>
    <s v="Old Nairobi Road, Mbaruk sublocation, Greensteads, Mbaruk/Eburu ward, Gilgil, Nakuru, Rift Valley, 20116, Kenya"/>
    <s v="-0.35357 , 36.18987"/>
    <s v="-0.35373 , 36.19045"/>
    <n v="9.8000000000000004E-2"/>
    <n v="1"/>
  </r>
  <r>
    <x v="0"/>
    <x v="217"/>
    <x v="252"/>
    <x v="2"/>
    <d v="2025-03-09T16:16:40"/>
    <s v="Sun"/>
    <n v="2025"/>
    <x v="8"/>
    <x v="37"/>
    <d v="2025-03-09T16:16:45"/>
    <n v="83"/>
    <s v="km/h"/>
    <s v="00:00:05"/>
    <n v="8.3333333333333329E-2"/>
    <s v="Murang'a"/>
    <s v="Murang'a"/>
    <s v="Meru-Nairobi Highway, Kenol, Gatanga, Murang`a, Central Kenya, Kenya"/>
    <s v="Meru-Nairobi Highway, Kenol, Murang`a South, Murang`a, Central Kenya, Kenya"/>
    <s v="-0.96175 , 37.10469"/>
    <s v="-0.96117 , 37.106"/>
    <n v="9.4E-2"/>
    <n v="1"/>
  </r>
  <r>
    <x v="2"/>
    <x v="117"/>
    <x v="127"/>
    <x v="2"/>
    <d v="2025-03-09T12:52:41"/>
    <s v="Sun"/>
    <n v="2025"/>
    <x v="8"/>
    <x v="37"/>
    <d v="2025-03-09T12:53:15"/>
    <s v="83.0"/>
    <s v="km/h"/>
    <s v="00:00:33"/>
    <n v="0.55000000000000004"/>
    <m/>
    <m/>
    <s v="Limuru Road, Redhill, Kabuku, Ngecha Tigoni ward, Limuru, Kiambu, 00217, KE"/>
    <s v="Limuru Road, Redhill, Kabuku, Ngecha Tigoni ward, Limuru, Kiambu, 00217, KE"/>
    <s v="-1.1746, 36.7141"/>
    <s v="-1.1774, 36.7215"/>
    <s v="0.9"/>
    <n v="1"/>
  </r>
  <r>
    <x v="3"/>
    <x v="69"/>
    <x v="158"/>
    <x v="3"/>
    <d v="2025-03-09T08:17:45"/>
    <s v="Sun"/>
    <n v="2025"/>
    <x v="8"/>
    <x v="37"/>
    <d v="2025-03-09T08:17:46"/>
    <n v="26"/>
    <s v="km/h/s"/>
    <s v="00:00:01"/>
    <n v="1.6666666666666666E-2"/>
    <s v="Kiambu"/>
    <m/>
    <s v="Limuru Road, Redhill, Kabuku, Ngecha Tigoni ward, Limuru, Kiambu, Central Kenya, 00217, Kenya"/>
    <m/>
    <s v="-1.17592 , 36.7168"/>
    <m/>
    <n v="0"/>
    <n v="1"/>
  </r>
  <r>
    <x v="3"/>
    <x v="69"/>
    <x v="158"/>
    <x v="1"/>
    <d v="2025-03-08T18:34:30"/>
    <s v="Sat"/>
    <n v="2025"/>
    <x v="8"/>
    <x v="38"/>
    <d v="2025-03-08T18:34:50"/>
    <n v="59"/>
    <s v="km/h"/>
    <s v="00:00:20"/>
    <n v="0.33333333333333331"/>
    <s v="Kericho"/>
    <s v="Kericho"/>
    <s v="Muhoroni-Fort Ternan-Londiani Rd., Martamat, Kipkelion ward, Kipkelion West, Kericho, Rift Valley, Kenya"/>
    <s v="Muhoroni-Fort Ternan-Londiani Rd., Martamat, Kipkelion ward, Kipkelion West, Kericho, Rift Valley, Kenya"/>
    <s v="-0.15676 , 35.48787"/>
    <s v="-0.15384 , 35.48836"/>
    <n v="0.312"/>
    <n v="1"/>
  </r>
  <r>
    <x v="0"/>
    <x v="217"/>
    <x v="252"/>
    <x v="2"/>
    <d v="2025-03-08T17:19:22"/>
    <s v="Sat"/>
    <n v="2025"/>
    <x v="8"/>
    <x v="38"/>
    <d v="2025-03-08T17:19:27"/>
    <n v="82"/>
    <s v="km/h"/>
    <s v="00:00:05"/>
    <n v="8.3333333333333329E-2"/>
    <s v="Tharaka-Nithi"/>
    <s v="Tharaka-Nithi"/>
    <s v="C92, Tunyai, Tharaka South, Tharaka-Nithi, Eastern, Kenya"/>
    <s v="C92, Tunyai, Tharaka South, Tharaka-Nithi, Eastern, Kenya"/>
    <s v="-0.30228 , 37.87767"/>
    <s v="-0.303 , 37.87667"/>
    <n v="0.109"/>
    <n v="1"/>
  </r>
  <r>
    <x v="0"/>
    <x v="217"/>
    <x v="252"/>
    <x v="2"/>
    <d v="2025-03-08T17:00:00"/>
    <s v="Sat"/>
    <n v="2025"/>
    <x v="8"/>
    <x v="38"/>
    <d v="2025-03-08T17:00:05"/>
    <n v="84"/>
    <s v="km/h"/>
    <s v="00:00:05"/>
    <n v="8.3333333333333329E-2"/>
    <s v="Tharaka-Nithi"/>
    <s v="Tharaka-Nithi"/>
    <s v="Tharaka South, Tharaka-Nithi, Eastern, Kenya"/>
    <s v="Tharaka South, Tharaka-Nithi, Eastern, Kenya"/>
    <s v="-0.23506 , 37.92419"/>
    <s v="-0.23558 , 37.92308"/>
    <n v="9.4E-2"/>
    <n v="1"/>
  </r>
  <r>
    <x v="2"/>
    <x v="218"/>
    <x v="253"/>
    <x v="2"/>
    <d v="2025-03-08T10:44:02"/>
    <s v="Sat"/>
    <n v="2025"/>
    <x v="8"/>
    <x v="38"/>
    <d v="2025-03-08T10:44:52"/>
    <s v="100.0"/>
    <s v="km/h"/>
    <s v="00:00:49"/>
    <n v="0.81666666666666665"/>
    <m/>
    <m/>
    <s v="Embu-Nairobi Highway, Kambiti Town, Murang`a South, Murang'a County, KE"/>
    <s v="Embu-Nairobi Highway, Kambiti Town, Murang`a South, Murang'a County, KE"/>
    <s v="-0.8522, 37.2333"/>
    <s v="-0.8407, 37.2318"/>
    <s v="1.3"/>
    <n v="1"/>
  </r>
  <r>
    <x v="0"/>
    <x v="217"/>
    <x v="252"/>
    <x v="2"/>
    <d v="2025-03-08T08:40:51"/>
    <s v="Sat"/>
    <n v="2025"/>
    <x v="8"/>
    <x v="38"/>
    <d v="2025-03-08T08:40:53"/>
    <n v="81"/>
    <s v="km/h"/>
    <s v="00:00:02"/>
    <n v="3.3333333333333333E-2"/>
    <s v="Embu"/>
    <s v="Embu"/>
    <s v="C92, Kanywambora, Runyenjes, Embu, Eastern, Kenya"/>
    <s v="C92, Kanywambora, Runyenjes, Embu, Eastern, Kenya"/>
    <s v="-0.46978 , 37.66183"/>
    <s v="-0.46961 , 37.66242"/>
    <n v="0"/>
    <n v="1"/>
  </r>
  <r>
    <x v="0"/>
    <x v="217"/>
    <x v="252"/>
    <x v="2"/>
    <d v="2025-03-08T07:17:21"/>
    <s v="Sat"/>
    <n v="2025"/>
    <x v="8"/>
    <x v="38"/>
    <d v="2025-03-08T07:17:21"/>
    <n v="81"/>
    <s v="km/h"/>
    <s v="00:00:00"/>
    <n v="0"/>
    <s v="Kirinyaga"/>
    <s v="Kirinyaga"/>
    <s v="B6, Kirinyaga East, Kirinyaga, Central Kenya, 60100, Kenya"/>
    <s v="B6, Kirinyaga East, Kirinyaga, Central Kenya, 60100, Kenya"/>
    <s v="-0.55336 , 37.41469"/>
    <s v="-0.55336 , 37.41469"/>
    <n v="0"/>
    <n v="1"/>
  </r>
  <r>
    <x v="2"/>
    <x v="216"/>
    <x v="251"/>
    <x v="2"/>
    <d v="2025-03-08T06:45:36"/>
    <s v="Sat"/>
    <n v="2025"/>
    <x v="8"/>
    <x v="38"/>
    <d v="2025-03-08T06:45:51"/>
    <s v="85.0"/>
    <s v="km/h"/>
    <s v="00:00:14"/>
    <n v="0.23333333333333334"/>
    <m/>
    <m/>
    <s v="Kakamega Road, Konya sublocation, West Kajulu location, Kajulu ward, Kisumu, City of Kisumu, Kisumu County, Nyanza, 40100, KE"/>
    <s v="Kapenesa, Lolwe, Migosi ward, Kisumu, City of Kisumu, Kisumu County, Nyanza, 40103, KE"/>
    <s v="-0.0659, 34.7759"/>
    <s v="-0.0700, 34.7757"/>
    <s v="0.5"/>
    <n v="1"/>
  </r>
  <r>
    <x v="0"/>
    <x v="217"/>
    <x v="252"/>
    <x v="2"/>
    <d v="2025-03-08T05:25:10"/>
    <s v="Sat"/>
    <n v="2025"/>
    <x v="8"/>
    <x v="38"/>
    <d v="2025-03-08T05:25:14"/>
    <n v="84"/>
    <s v="km/h"/>
    <s v="00:00:04"/>
    <n v="6.6666666666666666E-2"/>
    <s v="Machakos"/>
    <s v="Machakos"/>
    <s v="Embu-Nairobi Highway, Manaja ward, Masinga, Machakos, Eastern, Kenya"/>
    <s v="Embu-Nairobi Highway, Manaja ward, Masinga, Machakos, Eastern, Kenya"/>
    <s v="-0.84569 , 37.23244"/>
    <s v="-0.84467 , 37.23242"/>
    <n v="0.20300000000000001"/>
    <n v="1"/>
  </r>
  <r>
    <x v="0"/>
    <x v="65"/>
    <x v="68"/>
    <x v="2"/>
    <d v="2025-03-07T21:13:23"/>
    <s v="Fri"/>
    <n v="2025"/>
    <x v="8"/>
    <x v="38"/>
    <d v="2025-03-07T21:13:23"/>
    <n v="81"/>
    <s v="km/h"/>
    <s v="00:00:00"/>
    <n v="0"/>
    <s v="Uasin Gishu"/>
    <s v="Uasin Gishu"/>
    <s v="Eldoret-Nakuru Road, Tarakwa ward, Kesses, Uasin Gishu, Rift Valley, Kenya"/>
    <s v="Eldoret-Nakuru Road, Tarakwa ward, Kesses, Uasin Gishu, Rift Valley, Kenya"/>
    <s v="0.09011 , 35.5105"/>
    <s v="0.09011 , 35.5105"/>
    <n v="0"/>
    <n v="1"/>
  </r>
  <r>
    <x v="2"/>
    <x v="35"/>
    <x v="36"/>
    <x v="2"/>
    <d v="2025-03-07T18:57:01"/>
    <s v="Fri"/>
    <n v="2025"/>
    <x v="8"/>
    <x v="38"/>
    <d v="2025-03-07T18:58:00"/>
    <s v="93.0"/>
    <s v="km/h"/>
    <s v="00:00:59"/>
    <n v="0.98333333333333328"/>
    <m/>
    <m/>
    <s v="A8, Kinanie ward, Mavoko, Machakos County, KE"/>
    <s v="A8, Kinanie ward, Mavoko, Machakos County, KE"/>
    <s v="-1.5220, 37.1160"/>
    <s v="-1.5147, 37.1047"/>
    <s v="1.5"/>
    <n v="1"/>
  </r>
  <r>
    <x v="0"/>
    <x v="2"/>
    <x v="31"/>
    <x v="1"/>
    <d v="2025-03-05T14:34:12"/>
    <s v="Wed"/>
    <n v="2025"/>
    <x v="8"/>
    <x v="38"/>
    <d v="2025-03-05T14:34:14"/>
    <n v="62"/>
    <s v="km/h"/>
    <s v="00:00:02"/>
    <n v="3.3333333333333333E-2"/>
    <s v="Nyeri"/>
    <s v="Nyeri"/>
    <s v="C74, Kerugoya, Mathira West, Nyeri, Central Kenya, 10300, Kenya"/>
    <s v="C74, Kerugoya, Mathira West, Nyeri, Central Kenya, 10300, Kenya"/>
    <s v="-0.48019 , 37.17194"/>
    <s v="-0.48052 , 37.17163"/>
    <n v="9.4E-2"/>
    <n v="1"/>
  </r>
  <r>
    <x v="0"/>
    <x v="65"/>
    <x v="68"/>
    <x v="2"/>
    <d v="2025-03-04T18:22:36"/>
    <s v="Tue"/>
    <n v="2025"/>
    <x v="8"/>
    <x v="38"/>
    <d v="2025-03-04T18:22:41"/>
    <n v="88"/>
    <s v="km/h"/>
    <s v="00:00:05"/>
    <n v="8.3333333333333329E-2"/>
    <s v="Nakuru"/>
    <s v="Nakuru"/>
    <s v="Nakuru - Eldoret Road, Total Centre, Kamara ward, Kuresoi North, Nakuru, Rift Valley, Kenya"/>
    <s v="Nakuru - Eldoret Road, Kamara, Kamara ward, Kuresoi North, Nakuru, Rift Valley, Kenya"/>
    <s v="-0.13767 , 35.67761"/>
    <s v="-0.13644 , 35.67786"/>
    <n v="0.19500000000000001"/>
    <n v="1"/>
  </r>
  <r>
    <x v="3"/>
    <x v="206"/>
    <x v="150"/>
    <x v="3"/>
    <d v="2025-03-04T16:35:32"/>
    <s v="Tue"/>
    <n v="2025"/>
    <x v="8"/>
    <x v="38"/>
    <d v="2025-03-04T16:35:33"/>
    <n v="32"/>
    <s v="km/h/s"/>
    <s v="00:00:01"/>
    <n v="1.6666666666666666E-2"/>
    <s v="Kericho"/>
    <m/>
    <s v="A12, Londiani Junction, Kedowa/Kimugul ward, Kipkelion East, Kericho, Rift Valley, Kenya"/>
    <m/>
    <s v="-0.16807 , 35.62966"/>
    <m/>
    <n v="0"/>
    <n v="1"/>
  </r>
  <r>
    <x v="0"/>
    <x v="59"/>
    <x v="217"/>
    <x v="1"/>
    <d v="2025-03-03T17:04:34"/>
    <s v="Mon"/>
    <n v="2025"/>
    <x v="8"/>
    <x v="38"/>
    <d v="2025-03-03T17:04:35"/>
    <n v="32"/>
    <s v="km/h"/>
    <s v="00:00:01"/>
    <n v="1.6666666666666666E-2"/>
    <s v="Kiambu"/>
    <s v="Kiambu"/>
    <s v="Thika Road, Ruiru, Kiambu, Central Kenya, Kenya"/>
    <s v="Thika Road, Ruiru, Kiambu, Central Kenya, Kenya"/>
    <s v="-1.15783 , 36.95918"/>
    <s v="-1.15768 , 36.95922"/>
    <n v="0"/>
    <n v="1"/>
  </r>
  <r>
    <x v="0"/>
    <x v="217"/>
    <x v="252"/>
    <x v="2"/>
    <d v="2025-03-02T07:30:33"/>
    <s v="Sun"/>
    <n v="2025"/>
    <x v="8"/>
    <x v="38"/>
    <d v="2025-03-02T07:30:39"/>
    <n v="84"/>
    <s v="km/h"/>
    <s v="00:00:06"/>
    <n v="0.1"/>
    <s v="Tharaka-Nithi"/>
    <s v="Tharaka-Nithi"/>
    <s v="Meru-Nairobi Highway, Chuka, Tharaka-Nithi, Eastern, Kenya"/>
    <s v="Meru-Nairobi Highway, Chuka, Tharaka-Nithi, Eastern, Kenya"/>
    <s v="-0.32625 , 37.65569"/>
    <s v="-0.32556 , 37.65672"/>
    <n v="9.4E-2"/>
    <n v="1"/>
  </r>
  <r>
    <x v="0"/>
    <x v="217"/>
    <x v="252"/>
    <x v="2"/>
    <d v="2025-03-02T07:30:22"/>
    <s v="Sun"/>
    <n v="2025"/>
    <x v="8"/>
    <x v="38"/>
    <d v="2025-03-02T07:30:22"/>
    <n v="81"/>
    <s v="km/h"/>
    <s v="00:00:00"/>
    <n v="0"/>
    <s v="Tharaka-Nithi"/>
    <s v="Tharaka-Nithi"/>
    <s v="Meru-Nairobi Highway, Chuka, Tharaka-Nithi, Eastern, Kenya"/>
    <s v="Meru-Nairobi Highway, Chuka, Tharaka-Nithi, Eastern, Kenya"/>
    <s v="-0.32758 , 37.65397"/>
    <s v="-0.32758 , 37.65397"/>
    <n v="9.4E-2"/>
    <n v="1"/>
  </r>
  <r>
    <x v="2"/>
    <x v="4"/>
    <x v="4"/>
    <x v="2"/>
    <d v="2025-03-01T14:12:57"/>
    <s v="Sat"/>
    <n v="2025"/>
    <x v="8"/>
    <x v="39"/>
    <d v="2025-03-01T14:13:20"/>
    <n v="87"/>
    <s v="km/h"/>
    <s v="00:00:23"/>
    <n v="0.38333333333333336"/>
    <m/>
    <m/>
    <s v="Mombasa Road, Changamwe ward, Mombasa, Changamwe, Mikindani ward, Changamwe, Mombasa County, Coast, 80102, KE"/>
    <s v="Mombasa Road, Changamwe ward, Mombasa, Changamwe, Mikindani ward, Changamwe, Mombasa County, Coast, 80102, KE"/>
    <s v="-4.0116, 39.6291"/>
    <s v="-4.0100, 39.6232"/>
    <n v="0.7"/>
    <n v="1"/>
  </r>
  <r>
    <x v="3"/>
    <x v="206"/>
    <x v="150"/>
    <x v="1"/>
    <d v="2025-03-01T11:26:28"/>
    <s v="Sat"/>
    <n v="2025"/>
    <x v="8"/>
    <x v="39"/>
    <d v="2025-03-01T11:26:29"/>
    <n v="53"/>
    <s v="km/h"/>
    <s v="00:00:01"/>
    <n v="1.6666666666666666E-2"/>
    <s v="Kiambu"/>
    <s v="Kiambu"/>
    <s v="Limuru-Maimahiu Road, Mai Mahiu sublocation, Lari/Kirenya ward, Lari, Kiambu, Central Kenya, 00221, Kenya"/>
    <s v="Limuru-Maimahiu Road, Mai Mahiu sublocation, Lari/Kirenya ward, Lari, Kiambu, Central Kenya, 00221, Kenya"/>
    <s v="-0.99294 , 36.59983"/>
    <s v="-0.99293 , 36.59961"/>
    <n v="0"/>
    <n v="1"/>
  </r>
  <r>
    <x v="1"/>
    <x v="7"/>
    <x v="189"/>
    <x v="2"/>
    <d v="2025-02-28T08:54:16"/>
    <s v="Fri"/>
    <n v="2025"/>
    <x v="9"/>
    <x v="39"/>
    <s v="29-02-2025  8:54:22 PM"/>
    <n v="83"/>
    <s v="km/h"/>
    <s v="00:00:06"/>
    <n v="0.1"/>
    <s v="Kiambu"/>
    <s v="Kiambu"/>
    <s v="Eldoret-Malaba Road, Gatimu sublocation, Sigona ward, Kikuyu, Kiambu, Central Kenya, 00217, Kenya"/>
    <s v="Eldoret-Malaba Road, Gatimu sublocation, Sigona ward, Kikuyu, Kiambu, Central Kenya, 00217, Kenya"/>
    <s v="-1.18211 , 36.64517"/>
    <s v="-1.18342 , 36.64581"/>
    <n v="0.19500000000000001"/>
    <n v="1"/>
  </r>
  <r>
    <x v="2"/>
    <x v="4"/>
    <x v="4"/>
    <x v="2"/>
    <d v="2025-02-27T07:51:34"/>
    <s v="Thu"/>
    <n v="2025"/>
    <x v="9"/>
    <x v="39"/>
    <d v="2025-02-27T07:52:24"/>
    <n v="104"/>
    <s v="km/h"/>
    <s v="00:00:50"/>
    <n v="0.83333333333333337"/>
    <m/>
    <m/>
    <s v="Embu-Nairobi Highway, Kambiti Town, Murang`a South, Murang'a County, KE"/>
    <s v="Sunny Processing, Embu-Nairobi Highway, Kambiti Town, Murang`a South, Murang'a County, KE"/>
    <s v="-0.8251, 37.2349"/>
    <s v="-0.8176, 37.2441"/>
    <n v="1.3"/>
    <n v="1"/>
  </r>
  <r>
    <x v="3"/>
    <x v="99"/>
    <x v="254"/>
    <x v="1"/>
    <d v="2025-02-25T21:17:56"/>
    <s v="Tue"/>
    <n v="2025"/>
    <x v="9"/>
    <x v="39"/>
    <d v="2025-02-25T21:18:00"/>
    <n v="59"/>
    <s v="km/h"/>
    <s v="00:00:04"/>
    <n v="6.6666666666666666E-2"/>
    <s v="Nakuru"/>
    <s v="Nakuru"/>
    <s v="Naivasha-Mai Mahiu-Limuru Rd., Longonot sublocation, Astu, Lake View ward, Naivasha, Nakuru, Rift Valley, Kenya"/>
    <s v="Naivasha-Mai Mahiu-Limuru Rd., Longonot sublocation, Astu, Lake View ward, Naivasha, Nakuru, Rift Valley, Kenya"/>
    <s v="-0.7775 , 36.45279"/>
    <s v="-0.77687 , 36.45257"/>
    <n v="9.4E-2"/>
    <n v="1"/>
  </r>
  <r>
    <x v="2"/>
    <x v="73"/>
    <x v="74"/>
    <x v="2"/>
    <d v="2025-02-25T17:56:34"/>
    <s v="Tue"/>
    <n v="2025"/>
    <x v="9"/>
    <x v="39"/>
    <d v="2025-02-25T17:57:31"/>
    <n v="93"/>
    <s v="km/h"/>
    <s v="00:00:56"/>
    <n v="0.93333333333333335"/>
    <m/>
    <m/>
    <s v="Thika Road, Witeithie ward, Juja, Kiambu, 01000, KE"/>
    <s v="Thika Road, Witeithie ward, Juja, Kiambu, 01001, KE"/>
    <s v="-1.0788, 37.0444"/>
    <s v="-1.0889, 37.0359"/>
    <n v="1.5"/>
    <n v="1"/>
  </r>
  <r>
    <x v="3"/>
    <x v="54"/>
    <x v="57"/>
    <x v="1"/>
    <d v="2025-02-25T07:01:12"/>
    <s v="Tue"/>
    <n v="2025"/>
    <x v="9"/>
    <x v="39"/>
    <d v="2025-02-25T07:01:14"/>
    <n v="36"/>
    <s v="km/h"/>
    <s v="00:00:02"/>
    <n v="3.3333333333333333E-2"/>
    <s v="Kisumu"/>
    <s v="Kisumu"/>
    <s v="Bypass Highway, Kamakowa, Nyawita sublocation, Kisumu Central, Kisumu, City of Kisumu, Kisumu, Nyanza, 40100, Kenya"/>
    <s v="Bypass Highway, Kamakowa, Nyawita sublocation, Kisumu Central, Kisumu, City of Kisumu, Kisumu, Nyanza, 40100, Kenya"/>
    <s v="-0.08222 , 34.76665"/>
    <s v="-0.08217 , 34.76643"/>
    <n v="0"/>
    <n v="1"/>
  </r>
  <r>
    <x v="2"/>
    <x v="219"/>
    <x v="255"/>
    <x v="2"/>
    <d v="2025-02-24T16:11:16"/>
    <s v="Mon"/>
    <n v="2025"/>
    <x v="9"/>
    <x v="39"/>
    <d v="2025-02-24T16:13:08"/>
    <n v="85"/>
    <s v="km/h"/>
    <s v="00:01:52"/>
    <n v="1.8666666666666667"/>
    <m/>
    <m/>
    <s v="Meru-Nairobi Highway, Kenol, Gatanga, Murang'a County, 01000, KE"/>
    <s v="Meru-Nairobi Highway, Kenol, Gatanga, Murang'a County, 01000, KE"/>
    <s v="-0.9802, 37.0941"/>
    <s v="-1.0011, 37.0812"/>
    <n v="2.7"/>
    <n v="1"/>
  </r>
  <r>
    <x v="0"/>
    <x v="59"/>
    <x v="217"/>
    <x v="1"/>
    <d v="2025-02-23T13:17:14"/>
    <s v="Sun"/>
    <n v="2025"/>
    <x v="9"/>
    <x v="39"/>
    <d v="2025-02-23T13:17:15"/>
    <n v="31"/>
    <s v="km/h"/>
    <s v="00:00:01"/>
    <n v="1.6666666666666666E-2"/>
    <s v="Kiambu"/>
    <s v="Kiambu"/>
    <s v="Thika Road, Ruiru, Kiambu, Central Kenya, Kenya"/>
    <s v="Thika Road, Ruiru, Kiambu, Central Kenya, Kenya"/>
    <s v="-1.16327 , 36.95766"/>
    <s v="-1.16312 , 36.95771"/>
    <n v="0"/>
    <n v="1"/>
  </r>
  <r>
    <x v="1"/>
    <x v="211"/>
    <x v="245"/>
    <x v="2"/>
    <d v="2025-02-23T12:03:26"/>
    <s v="Sun"/>
    <n v="2025"/>
    <x v="9"/>
    <x v="39"/>
    <d v="2025-02-23T12:03:32"/>
    <n v="88"/>
    <s v="km/h"/>
    <s v="00:00:06"/>
    <n v="0.1"/>
    <s v="Nakuru"/>
    <s v="Nakuru"/>
    <s v="Old Nairobi Road, Eburu sublocation, Greensteads, Mbaruk/Eburu ward, Gilgil, Nakuru, Rift Valley, 20116, Kenya"/>
    <s v="Old Nairobi Road, Eburu sublocation, Greensteads, Mbaruk/Eburu ward, Gilgil, Nakuru, Rift Valley, 20116, Kenya"/>
    <s v="-0.48716 , 36.30362"/>
    <s v="-0.48589 , 36.30279"/>
    <n v="0.125"/>
    <n v="1"/>
  </r>
  <r>
    <x v="0"/>
    <x v="0"/>
    <x v="0"/>
    <x v="2"/>
    <d v="2025-02-21T12:23:39"/>
    <s v="Fri"/>
    <n v="2025"/>
    <x v="9"/>
    <x v="40"/>
    <d v="2025-02-21T12:23:40"/>
    <n v="81"/>
    <s v="km/h"/>
    <s v="00:00:01"/>
    <n v="1.6666666666666666E-2"/>
    <s v="Tharaka-Nithi"/>
    <s v="Tharaka-Nithi"/>
    <s v="Meru-Nairobi Highway, Chuka, Tharaka-Nithi, Eastern, Kenya"/>
    <s v="Meru-Nairobi Highway, Chuka, Tharaka-Nithi, Eastern, Kenya"/>
    <s v="-0.34923 , 37.62123"/>
    <s v="-0.34959 , 37.62106"/>
    <n v="0.125"/>
    <n v="1"/>
  </r>
  <r>
    <x v="0"/>
    <x v="34"/>
    <x v="35"/>
    <x v="1"/>
    <d v="2025-02-20T09:35:37"/>
    <s v="Thu"/>
    <n v="2025"/>
    <x v="9"/>
    <x v="40"/>
    <d v="2025-02-20T09:35:38"/>
    <n v="55"/>
    <s v="km/h"/>
    <s v="00:00:01"/>
    <n v="1.6666666666666666E-2"/>
    <s v="Nairobi"/>
    <s v="Nairobi"/>
    <s v="Thika Road, Survey, Garden sublocation, Nairobi, Kasarani, Nairobi, 00620, Kenya"/>
    <s v="Thika Road, Survey, Garden sublocation, Nairobi, Kasarani, Nairobi, 00620, Kenya"/>
    <s v="-1.25765 , 36.85377"/>
    <s v="-1.25771 , 36.85365"/>
    <n v="0"/>
    <n v="1"/>
  </r>
  <r>
    <x v="3"/>
    <x v="39"/>
    <x v="40"/>
    <x v="1"/>
    <d v="2025-02-20T06:50:17"/>
    <s v="Thu"/>
    <n v="2025"/>
    <x v="9"/>
    <x v="40"/>
    <d v="2025-02-20T06:50:18"/>
    <n v="34"/>
    <s v="km/h"/>
    <s v="00:00:01"/>
    <n v="1.6666666666666666E-2"/>
    <s v="Kiambu"/>
    <s v="Kiambu"/>
    <s v="Limuru-Maimahiu Rd., Kamirithu sublocation, Limuru, Bibirioni ward, Limuru, Kiambu, Central Kenya, 00217, Kenya"/>
    <s v="Limuru-Maimahiu Rd., Kamirithu sublocation, Limuru, Bibirioni ward, Limuru, Kiambu, Central Kenya, 00217, Kenya"/>
    <s v="-1.08975 , 36.60566"/>
    <s v="-1.08983 , 36.60568"/>
    <n v="0"/>
    <n v="1"/>
  </r>
  <r>
    <x v="0"/>
    <x v="44"/>
    <x v="45"/>
    <x v="1"/>
    <d v="2025-02-19T11:24:25"/>
    <s v="Wed"/>
    <n v="2025"/>
    <x v="9"/>
    <x v="40"/>
    <d v="2025-02-19T11:24:28"/>
    <n v="34"/>
    <s v="km/h"/>
    <s v="00:00:03"/>
    <n v="0.05"/>
    <s v="Machakos"/>
    <s v="Machakos"/>
    <s v="Namanga Road, Athi River ward, Mavoko, Machakos, Eastern, Kenya"/>
    <s v="Namanga Road, Athi River ward, Mavoko, Machakos, Eastern, Kenya"/>
    <s v="-1.44333 , 36.96844"/>
    <s v="-1.44299 , 36.96848"/>
    <n v="0.125"/>
    <n v="1"/>
  </r>
  <r>
    <x v="0"/>
    <x v="34"/>
    <x v="35"/>
    <x v="3"/>
    <d v="2025-02-17T21:50:55"/>
    <s v="Mon"/>
    <n v="2025"/>
    <x v="9"/>
    <x v="40"/>
    <d v="2025-02-17T21:50:56"/>
    <n v="27"/>
    <s v="km/h/s"/>
    <s v="00:00:01"/>
    <n v="1.6666666666666666E-2"/>
    <s v="Makueni"/>
    <m/>
    <s v="Mombasa Road, Ngokomi, Kilome, Makueni, Eastern, Kenya"/>
    <m/>
    <s v="-1.99003 , 37.34981"/>
    <m/>
    <n v="0"/>
    <n v="1"/>
  </r>
  <r>
    <x v="3"/>
    <x v="97"/>
    <x v="101"/>
    <x v="0"/>
    <d v="2025-02-16T23:00:00"/>
    <s v="Sun"/>
    <n v="2025"/>
    <x v="9"/>
    <x v="40"/>
    <d v="2025-02-16T23:04:29"/>
    <n v="132.5"/>
    <s v="km"/>
    <s v="00:04:29"/>
    <n v="4.4833333333333334"/>
    <s v="Nakuru"/>
    <s v="Nakuru"/>
    <s v="Old Nairobi Road, Mbaruk sublocation, Greensteads, Gilgil ward, Gilgil, Nakuru, Rift Valley, 20116, Kenya"/>
    <s v="Old Nairobi Road, Mbaruk sublocation, Greensteads, Gilgil ward, Gilgil, Nakuru, Rift Valley, 20116, Kenya"/>
    <s v="-0.46068 , 36.27995"/>
    <s v="-0.43867 , 36.26725"/>
    <n v="2.8980000000000001"/>
    <n v="1"/>
  </r>
  <r>
    <x v="0"/>
    <x v="8"/>
    <x v="8"/>
    <x v="0"/>
    <d v="2025-02-16T23:00:00"/>
    <s v="Sun"/>
    <n v="2025"/>
    <x v="9"/>
    <x v="40"/>
    <d v="2025-02-17T00:36:48"/>
    <n v="174.2"/>
    <s v="km"/>
    <s v="01:36:48"/>
    <n v="96.8"/>
    <s v="Makueni"/>
    <s v="Makueni"/>
    <s v="Kambu, Kibwezi East, Makueni, Eastern, Kenya"/>
    <s v="Hunter's Lodge, Mombasa Road, Kiboko, Kibwezi West, Makueni, Eastern, Kenya"/>
    <s v="-2.61586 , 38.10025"/>
    <s v="-2.21124 , 37.71471"/>
    <n v="66"/>
    <n v="1"/>
  </r>
  <r>
    <x v="2"/>
    <x v="57"/>
    <x v="59"/>
    <x v="2"/>
    <d v="2025-02-16T06:27:04"/>
    <s v="Sun"/>
    <n v="2025"/>
    <x v="9"/>
    <x v="40"/>
    <d v="2025-02-16T06:28:04"/>
    <n v="96"/>
    <s v="km/h"/>
    <s v="00:01:00"/>
    <n v="1"/>
    <m/>
    <m/>
    <s v="Kericho-Kisumu Highway, Kapsoit, Kapsoit ward, Ainamoi, Kericho County, Rift Valley, 20205, KE"/>
    <s v="Kericho-Kisumu Highway, Kaitui, Soliat ward, Sigowet/Soin, Kericho County, Rift Valley, KE"/>
    <s v="-0.3015, 35.1634"/>
    <s v="-0.2883, 35.1632"/>
    <n v="1.5"/>
    <n v="1"/>
  </r>
  <r>
    <x v="2"/>
    <x v="214"/>
    <x v="249"/>
    <x v="2"/>
    <d v="2025-02-16T03:04:35"/>
    <s v="Sun"/>
    <n v="2025"/>
    <x v="9"/>
    <x v="40"/>
    <d v="2025-02-16T03:05:09"/>
    <n v="101"/>
    <s v="km/h"/>
    <s v="00:00:34"/>
    <n v="0.56666666666666665"/>
    <m/>
    <m/>
    <s v="Eldoret-Malaba Road, Gatimu sublocation, Sigona ward, Kikuyu, Kiambu, 00217, KE"/>
    <s v="Eldoret-Malaba Road, Kiambaa, Muguga ward, Kabete, Kiambu, KE"/>
    <s v="-1.1801, 36.6442"/>
    <s v="-1.1885, 36.6483"/>
    <n v="1"/>
    <n v="1"/>
  </r>
  <r>
    <x v="0"/>
    <x v="0"/>
    <x v="0"/>
    <x v="0"/>
    <d v="2025-02-15T23:00:00"/>
    <s v="Sat"/>
    <n v="2025"/>
    <x v="9"/>
    <x v="41"/>
    <d v="2025-02-15T23:15:32"/>
    <n v="88.9"/>
    <s v="km"/>
    <s v="00:15:32"/>
    <n v="15.533333333333333"/>
    <s v="Kiambu"/>
    <s v="Nairobi"/>
    <s v="Thika Road, Theta ward, Juja, Kiambu, Central Kenya, 01001, Kenya"/>
    <s v="DHL-Kasarani"/>
    <s v="-1.13024 , 36.984"/>
    <s v="-1.21902 , 36.89216"/>
    <n v="14.811999999999999"/>
    <n v="1"/>
  </r>
  <r>
    <x v="1"/>
    <x v="185"/>
    <x v="53"/>
    <x v="2"/>
    <d v="2025-02-15T17:22:26"/>
    <s v="Sat"/>
    <n v="2025"/>
    <x v="9"/>
    <x v="41"/>
    <d v="2025-02-15T17:22:27"/>
    <n v="81"/>
    <s v="km/h"/>
    <s v="00:00:01"/>
    <n v="1.6666666666666666E-2"/>
    <s v="Makueni"/>
    <s v="Makueni"/>
    <s v="Mombasa Road, Kibwezi East, Makueni, Eastern, Kenya"/>
    <s v="Mombasa Road, Kibwezi East, Makueni, Eastern, Kenya"/>
    <s v="-2.54992 , 38.03889"/>
    <s v="-2.55008 , 38.03919"/>
    <n v="0.125"/>
    <n v="1"/>
  </r>
  <r>
    <x v="1"/>
    <x v="185"/>
    <x v="53"/>
    <x v="2"/>
    <d v="2025-02-15T17:08:23"/>
    <s v="Sat"/>
    <n v="2025"/>
    <x v="9"/>
    <x v="41"/>
    <d v="2025-02-15T17:08:25"/>
    <n v="81"/>
    <s v="km/h"/>
    <s v="00:00:02"/>
    <n v="3.3333333333333333E-2"/>
    <s v="Makueni"/>
    <s v="Makueni"/>
    <s v="Mombasa Road, Thange, Kibwezi East, Makueni, Eastern, Kenya"/>
    <s v="Mombasa Road, Thange, Kibwezi East, Makueni, Eastern, Kenya"/>
    <s v="-2.45694 , 37.98094"/>
    <s v="-2.45733 , 37.98136"/>
    <n v="9.4E-2"/>
    <n v="1"/>
  </r>
  <r>
    <x v="1"/>
    <x v="185"/>
    <x v="53"/>
    <x v="2"/>
    <d v="2025-02-15T13:29:06"/>
    <s v="Sat"/>
    <n v="2025"/>
    <x v="9"/>
    <x v="41"/>
    <d v="2025-02-15T13:29:12"/>
    <n v="81"/>
    <s v="km/h"/>
    <s v="00:00:06"/>
    <n v="0.1"/>
    <s v="Machakos"/>
    <s v="Machakos"/>
    <s v="Mombasa Road, South C ward, Mlolongo, Matathani ward, Mavoko, Machakos, Eastern, 00603, Kenya"/>
    <s v="Mombasa Road, South C ward, Mlolongo, Matathani ward, Mavoko, Machakos, Eastern, 00603, Kenya"/>
    <s v="-1.41883 , 36.95339"/>
    <s v="-1.42017 , 36.95411"/>
    <n v="9.4E-2"/>
    <n v="1"/>
  </r>
  <r>
    <x v="0"/>
    <x v="105"/>
    <x v="112"/>
    <x v="0"/>
    <d v="2025-02-15T00:32:40"/>
    <s v="Sat"/>
    <n v="2025"/>
    <x v="9"/>
    <x v="41"/>
    <d v="2025-02-15T00:43:43"/>
    <n v="3.8"/>
    <s v="km"/>
    <s v="00:11:03"/>
    <n v="11.05"/>
    <s v="Busia"/>
    <s v="Busia"/>
    <s v="Kisumu-Busia Road, Ang'orom ward, Teso South, Busia, Western, Kenya"/>
    <s v="Busia Airport, Kisumu - Busia Road, Lwero, Ang'orom ward, Teso South, Busia, Western, Kenya"/>
    <s v="0.46406 , 34.10365"/>
    <s v="0.45164 , 34.13439"/>
    <n v="3.5939999999999999"/>
    <n v="1"/>
  </r>
  <r>
    <x v="2"/>
    <x v="4"/>
    <x v="4"/>
    <x v="2"/>
    <d v="2025-02-14T16:02:39"/>
    <s v="Fri"/>
    <n v="2025"/>
    <x v="9"/>
    <x v="41"/>
    <d v="2025-02-14T16:03:16"/>
    <n v="90"/>
    <s v="km/h"/>
    <s v="00:00:37"/>
    <n v="0.6166666666666667"/>
    <m/>
    <m/>
    <s v="Nakuru - Eldoret Road, Twin Peak, Kamara ward, Kuresoi North, Nakuru, Rift Valley, KE"/>
    <s v="Nakuru - Eldoret Road, Twin Peak, Kamara ward, Kuresoi North, Nakuru, Rift Valley, KE"/>
    <s v="-0.2050, 35.7241"/>
    <s v="-0.2128, 35.7276"/>
    <n v="1"/>
    <n v="1"/>
  </r>
  <r>
    <x v="2"/>
    <x v="220"/>
    <x v="256"/>
    <x v="2"/>
    <d v="2025-02-14T12:55:07"/>
    <s v="Fri"/>
    <n v="2025"/>
    <x v="9"/>
    <x v="41"/>
    <d v="2025-02-14T12:55:31"/>
    <n v="98"/>
    <s v="km/h"/>
    <s v="00:00:23"/>
    <n v="0.38333333333333336"/>
    <m/>
    <m/>
    <s v="Kakamega-Kitale Road, Kiminini, Trans-Nzoia County, Rift Valley, KE"/>
    <s v="Kakamega-Kitale Road, Kiminini, Trans-Nzoia County, Rift Valley, KE"/>
    <s v="0.8712, 34.8859"/>
    <s v="0.8682, 34.8801"/>
    <n v="0.7"/>
    <n v="1"/>
  </r>
  <r>
    <x v="0"/>
    <x v="8"/>
    <x v="8"/>
    <x v="0"/>
    <d v="2025-02-13T23:52:14"/>
    <s v="Thu"/>
    <n v="2025"/>
    <x v="9"/>
    <x v="41"/>
    <d v="2025-02-14T01:27:29"/>
    <n v="45.3"/>
    <s v="km"/>
    <s v="01:35:15"/>
    <n v="95.25"/>
    <s v="Kiambu"/>
    <s v="Nakuru"/>
    <s v="Limuru-Maimahiu Road, Mai Mahiu sublocation, Lari/Kirenya ward, Lari, Kiambu, Central Kenya, 00221, Kenya"/>
    <s v="Naivasha-Mai Mahiu-Limuru Rd., Town Shipmosque, Viwandani ward, Naivasha, Nakuru, Rift Valley, Kenya"/>
    <s v="-1.05608 , 36.60308"/>
    <s v="-0.71348 , 36.43018"/>
    <n v="45.1"/>
    <n v="1"/>
  </r>
  <r>
    <x v="1"/>
    <x v="215"/>
    <x v="257"/>
    <x v="2"/>
    <d v="2025-02-13T17:29:31"/>
    <s v="Thu"/>
    <n v="2025"/>
    <x v="9"/>
    <x v="41"/>
    <d v="2025-02-13T17:29:32"/>
    <n v="81"/>
    <s v="km/h"/>
    <s v="00:00:01"/>
    <n v="1.6666666666666666E-2"/>
    <s v="Makueni"/>
    <s v="Makueni"/>
    <s v="Mombasa Road, Salama, Kilome, Makueni, Eastern, Kenya"/>
    <s v="Mombasa Road, Salama, Kilome, Makueni, Eastern, Kenya"/>
    <s v="-1.80986 , 37.22351"/>
    <s v="-1.8097 , 37.22338"/>
    <n v="0.125"/>
    <n v="1"/>
  </r>
  <r>
    <x v="2"/>
    <x v="35"/>
    <x v="36"/>
    <x v="2"/>
    <d v="2025-02-13T12:59:40"/>
    <s v="Thu"/>
    <n v="2025"/>
    <x v="9"/>
    <x v="41"/>
    <d v="2025-02-13T13:01:00"/>
    <n v="89"/>
    <s v="km/h"/>
    <s v="00:01:20"/>
    <n v="1.3333333333333333"/>
    <m/>
    <m/>
    <s v="A8, Kinanie ward, Mavoko, Machakos County, KE"/>
    <s v="A8, Kinanie ward, Mavoko, Machakos County, KE"/>
    <s v="-1.5221, 37.1162"/>
    <s v="-1.5128, 37.1018"/>
    <n v="1.9"/>
    <n v="1"/>
  </r>
  <r>
    <x v="2"/>
    <x v="221"/>
    <x v="258"/>
    <x v="2"/>
    <d v="2025-02-13T11:04:53"/>
    <s v="Thu"/>
    <n v="2025"/>
    <x v="9"/>
    <x v="41"/>
    <d v="2025-02-13T11:05:43"/>
    <n v="97"/>
    <s v="km/h"/>
    <s v="00:00:49"/>
    <n v="0.81666666666666665"/>
    <m/>
    <m/>
    <s v="Eldoret-Malaba Road, Gatimu sublocation, Sigona ward, Kikuyu, Kiambu, 00217, KE"/>
    <s v="Eldoret-Malaba Road, Kiambaa, Muguga ward, Kabete, Kiambu, KE"/>
    <s v="-1.1782, 36.6432"/>
    <s v="-1.1883, 36.6481"/>
    <n v="1.2"/>
    <n v="1"/>
  </r>
  <r>
    <x v="3"/>
    <x v="42"/>
    <x v="43"/>
    <x v="1"/>
    <d v="2025-02-13T09:56:31"/>
    <s v="Thu"/>
    <n v="2025"/>
    <x v="9"/>
    <x v="41"/>
    <d v="2025-02-13T09:56:34"/>
    <n v="71"/>
    <s v="km/h"/>
    <s v="00:00:03"/>
    <n v="0.05"/>
    <s v="Machakos"/>
    <s v="Machakos"/>
    <s v="Mombasa Road, Kinanie ward, Mavoko, Machakos, Eastern, Kenya"/>
    <s v="Mombasa Road, Kinanie ward, Mavoko, Machakos, Eastern, Kenya"/>
    <s v="-1.48028 , 37.04378"/>
    <s v="-1.47996 , 37.04319"/>
    <n v="9.4E-2"/>
    <n v="1"/>
  </r>
  <r>
    <x v="2"/>
    <x v="222"/>
    <x v="259"/>
    <x v="2"/>
    <d v="2025-02-13T06:24:56"/>
    <s v="Thu"/>
    <n v="2025"/>
    <x v="9"/>
    <x v="41"/>
    <d v="2025-02-13T06:27:31"/>
    <n v="86"/>
    <s v="km/h"/>
    <s v="00:02:34"/>
    <n v="2.5666666666666664"/>
    <m/>
    <m/>
    <s v="Naivasha-Mai Mahiu-Limuru Road, Mai Mahiu sublocation, Jikaze, Mai Mahiu ward, Naivasha, Nakuru, Rift Valley, 00221, KE"/>
    <s v="Naivasha-Mai Mahiu-Limuru Road, Mai Mahiu sublocation, Jikaze, Mai Mahiu ward, Naivasha, Nakuru, Rift Valley, 00221, KE"/>
    <s v="-0.9215, 36.5259"/>
    <s v="-0.9470, 36.5472"/>
    <n v="3.7"/>
    <n v="1"/>
  </r>
  <r>
    <x v="2"/>
    <x v="182"/>
    <x v="212"/>
    <x v="2"/>
    <d v="2025-02-12T00:53:56"/>
    <s v="Wed"/>
    <n v="2025"/>
    <x v="9"/>
    <x v="41"/>
    <d v="2025-02-12T00:54:56"/>
    <n v="99"/>
    <s v="km/h"/>
    <s v="00:00:59"/>
    <n v="0.98333333333333328"/>
    <m/>
    <m/>
    <s v="Mombasa Road, Maji ya Chumvi, Mwavumbo ward, Kinango, Kwale, Coast, KE"/>
    <s v="Mombasa Road, Mariakani, Kaloleni, Kilifi County, Coast, KE"/>
    <s v="-3.7880, 39.3724"/>
    <s v="-3.7935, 39.3851"/>
    <n v="1.5"/>
    <n v="1"/>
  </r>
  <r>
    <x v="1"/>
    <x v="187"/>
    <x v="216"/>
    <x v="2"/>
    <d v="2025-02-11T10:12:50"/>
    <s v="Tue"/>
    <n v="2025"/>
    <x v="9"/>
    <x v="41"/>
    <d v="2025-02-11T10:12:51"/>
    <n v="81"/>
    <s v="km/h"/>
    <s v="00:00:01"/>
    <n v="1.6666666666666666E-2"/>
    <s v="Nakuru"/>
    <s v="Nakuru"/>
    <s v="Nyeri-Nyahururu Road, Lasit, Subukia ward, Subukia, Nakuru, Rift Valley, Kenya"/>
    <s v="Nyeri-Nyahururu Road, Lasit, Subukia ward, Subukia, Nakuru, Rift Valley, Kenya"/>
    <s v="-0.01283 , 36.21944"/>
    <s v="-0.01273 , 36.21962"/>
    <n v="0"/>
    <n v="1"/>
  </r>
  <r>
    <x v="1"/>
    <x v="187"/>
    <x v="216"/>
    <x v="2"/>
    <d v="2025-02-11T10:07:44"/>
    <s v="Tue"/>
    <n v="2025"/>
    <x v="9"/>
    <x v="41"/>
    <d v="2025-02-11T10:07:51"/>
    <n v="82"/>
    <s v="km/h"/>
    <s v="00:00:07"/>
    <n v="0.11666666666666667"/>
    <s v="Nakuru"/>
    <s v="Nakuru"/>
    <s v="Nyeri-Nyahururu Road, Lasit, Subukia ward, Subukia, Nakuru, Rift Valley, Kenya"/>
    <s v="Nyeri-Nyahururu Road, Lasit, Subukia ward, Subukia, Nakuru, Rift Valley, Kenya"/>
    <s v="-0.03862 , 36.19274"/>
    <s v="-0.03767 , 36.19411"/>
    <n v="0.25"/>
    <n v="1"/>
  </r>
  <r>
    <x v="2"/>
    <x v="41"/>
    <x v="42"/>
    <x v="2"/>
    <d v="2025-02-11T06:23:05"/>
    <s v="Tue"/>
    <n v="2025"/>
    <x v="9"/>
    <x v="41"/>
    <d v="2025-02-11T06:24:15"/>
    <n v="110"/>
    <s v="km/h"/>
    <s v="00:01:09"/>
    <n v="1.1499999999999999"/>
    <m/>
    <m/>
    <s v="Kaplong-Narok-Maai Road, Ololulung'a ward, Narok South, Narok, Rift Valley, KE"/>
    <s v="Kaplong-Narok-Maai Road, Ololulung'a ward, Narok South, Narok, Rift Valley, KE"/>
    <s v="-1.0235, 35.6827"/>
    <s v="-1.0273, 35.6992"/>
    <n v="1.9"/>
    <n v="1"/>
  </r>
  <r>
    <x v="0"/>
    <x v="2"/>
    <x v="2"/>
    <x v="2"/>
    <d v="2025-02-10T17:38:12"/>
    <s v="Mon"/>
    <n v="2025"/>
    <x v="9"/>
    <x v="41"/>
    <d v="2025-02-10T17:38:13"/>
    <n v="83"/>
    <s v="km/h"/>
    <s v="00:00:01"/>
    <n v="1.6666666666666666E-2"/>
    <s v="Kiambu"/>
    <s v="Kiambu"/>
    <s v="Thika Road, Theta ward, Juja, Kiambu, Central Kenya, 01001, Kenya"/>
    <s v="Thika Road, Theta ward, Juja, Kiambu, Central Kenya, 01001, Kenya"/>
    <s v="-1.13568 , 36.97161"/>
    <s v="-1.13602 , 36.97141"/>
    <n v="9.4E-2"/>
    <n v="1"/>
  </r>
  <r>
    <x v="2"/>
    <x v="223"/>
    <x v="260"/>
    <x v="2"/>
    <d v="2025-02-08T18:08:32"/>
    <s v="Sat"/>
    <n v="2025"/>
    <x v="9"/>
    <x v="42"/>
    <d v="2025-02-08T18:09:40"/>
    <n v="102"/>
    <s v="km/h"/>
    <s v="00:01:07"/>
    <n v="1.1166666666666667"/>
    <m/>
    <m/>
    <s v="Gilgil-Nyahururu Road, Ol Kalou, Ol Kalou, Nyandarua, 20116, KE"/>
    <s v="Gilgil-Nyahururu Road, Ol Kalou, Ol Kalou, Nyandarua, 20116, KE"/>
    <s v="-0.3570, 36.3702"/>
    <s v="-0.3733, 36.3678"/>
    <n v="1.8"/>
    <n v="1"/>
  </r>
  <r>
    <x v="0"/>
    <x v="107"/>
    <x v="261"/>
    <x v="1"/>
    <d v="2025-02-07T14:46:01"/>
    <s v="Fri"/>
    <n v="2025"/>
    <x v="9"/>
    <x v="42"/>
    <d v="2025-02-07T14:46:16"/>
    <n v="44"/>
    <s v="km/h"/>
    <s v="00:00:15"/>
    <n v="0.25"/>
    <s v="Nairobi"/>
    <s v="Nairobi"/>
    <s v="Thika Road, Zimmerman, Nairobi, Kasarani, Nairobi, 00608, Kenya"/>
    <s v="Thika Road, Zimmerman, Nairobi, Kasarani, Nairobi, 00608, Kenya"/>
    <s v="-1.21532 , 36.89582"/>
    <s v="-1.2144 , 36.89708"/>
    <n v="0.188"/>
    <n v="1"/>
  </r>
  <r>
    <x v="0"/>
    <x v="74"/>
    <x v="75"/>
    <x v="1"/>
    <d v="2025-02-07T12:48:00"/>
    <s v="Fri"/>
    <n v="2025"/>
    <x v="9"/>
    <x v="42"/>
    <d v="2025-02-07T12:48:08"/>
    <n v="51"/>
    <s v="km/h"/>
    <s v="00:00:08"/>
    <n v="0.13333333333333333"/>
    <s v="Kirinyaga"/>
    <s v="Kirinyaga"/>
    <s v="C73, Kiaga, Kirinyaga Central, Kirinyaga, Central Kenya, Kenya"/>
    <s v="C73, Kiaga, Kirinyaga Central, Kirinyaga, Central Kenya, Kenya"/>
    <s v="-0.58946 , 37.28069"/>
    <s v="-0.58914 , 37.28143"/>
    <n v="9.4E-2"/>
    <n v="1"/>
  </r>
  <r>
    <x v="0"/>
    <x v="208"/>
    <x v="243"/>
    <x v="1"/>
    <d v="2025-02-07T07:57:34"/>
    <s v="Fri"/>
    <n v="2025"/>
    <x v="9"/>
    <x v="42"/>
    <d v="2025-02-07T07:57:36"/>
    <n v="34"/>
    <s v="km/h"/>
    <s v="00:00:02"/>
    <n v="3.3333333333333333E-2"/>
    <s v="Murang'a"/>
    <s v="Murang'a"/>
    <s v="D421, Murang`a South, Murang`a, Central Kenya, Kenya"/>
    <s v="D421, Murang`a South, Murang`a, Central Kenya, Kenya"/>
    <s v="-0.77775 , 37.1105"/>
    <s v="-0.77778 , 37.11025"/>
    <n v="0"/>
    <n v="1"/>
  </r>
  <r>
    <x v="1"/>
    <x v="187"/>
    <x v="216"/>
    <x v="0"/>
    <d v="2025-02-06T23:00:00"/>
    <s v="Thu"/>
    <n v="2025"/>
    <x v="9"/>
    <x v="42"/>
    <d v="2025-02-06T23:35:44"/>
    <n v="14.8"/>
    <s v="km"/>
    <s v="00:35:44"/>
    <n v="35.733333333333334"/>
    <s v="Kericho"/>
    <s v="Kericho"/>
    <s v="Kericho-Kisumu Highway, Kaitui, Soliat ward, Sigowet/Soin, Kericho, Rift Valley, Kenya"/>
    <s v="Kericho-Kisumu Highway, Kapsoit, Kapsoit ward, Belgut, Kericho, Rift Valley, 20205, Kenya"/>
    <s v="-0.2911 , 35.16381"/>
    <s v="-0.34744 , 35.2422"/>
    <n v="14.5"/>
    <n v="1"/>
  </r>
  <r>
    <x v="0"/>
    <x v="44"/>
    <x v="45"/>
    <x v="4"/>
    <d v="2025-02-06T20:54:35"/>
    <s v="Thu"/>
    <n v="2025"/>
    <x v="9"/>
    <x v="42"/>
    <d v="2025-02-06T20:54:36"/>
    <n v="12"/>
    <s v="km/h/s"/>
    <s v="00:00:01"/>
    <n v="1.6666666666666666E-2"/>
    <s v="Nairobi"/>
    <m/>
    <s v="Waiyaki Way, Highridge sublocation, Highridge location, Highridge division, Westlands, Nairobi, 00400, Kenya"/>
    <m/>
    <s v="-1.27165 , 36.80861"/>
    <m/>
    <n v="0"/>
    <n v="1"/>
  </r>
  <r>
    <x v="0"/>
    <x v="2"/>
    <x v="2"/>
    <x v="1"/>
    <d v="2025-02-06T12:02:00"/>
    <s v="Thu"/>
    <n v="2025"/>
    <x v="9"/>
    <x v="42"/>
    <d v="2025-02-06T12:02:01"/>
    <n v="64"/>
    <s v="km/h"/>
    <s v="00:00:01"/>
    <n v="1.6666666666666666E-2"/>
    <s v="Bungoma"/>
    <s v="Bungoma"/>
    <s v="Kakamega-Kitale Road, Kamukuywa ward, Kimilili, Bungoma, Western, Kenya"/>
    <s v="Kakamega-Kitale Road, Kamukuywa ward, Kimilili, Bungoma, Western, Kenya"/>
    <s v="0.78145 , 34.79659"/>
    <s v="0.7815 , 34.79675"/>
    <n v="0"/>
    <n v="1"/>
  </r>
  <r>
    <x v="3"/>
    <x v="45"/>
    <x v="46"/>
    <x v="1"/>
    <d v="2025-02-06T06:19:42"/>
    <s v="Thu"/>
    <n v="2025"/>
    <x v="9"/>
    <x v="42"/>
    <d v="2025-02-06T06:19:43"/>
    <n v="55"/>
    <s v="km/h"/>
    <s v="00:00:01"/>
    <n v="1.6666666666666666E-2"/>
    <s v="Nakuru"/>
    <s v="Nakuru"/>
    <s v="Old Nairobi Road, Mbaruk sublocation, Greensteads, Mbaruk/Eburu ward, Gilgil, Nakuru, Rift Valley, 20116, Kenya"/>
    <s v="Old Nairobi Road, Mbaruk sublocation, Greensteads, Mbaruk/Eburu ward, Gilgil, Nakuru, Rift Valley, 20116, Kenya"/>
    <s v="-0.36322 , 36.20902"/>
    <s v="-0.36331 , 36.20912"/>
    <n v="9.4E-2"/>
    <n v="1"/>
  </r>
  <r>
    <x v="3"/>
    <x v="45"/>
    <x v="46"/>
    <x v="1"/>
    <d v="2025-02-06T06:13:46"/>
    <s v="Thu"/>
    <n v="2025"/>
    <x v="9"/>
    <x v="42"/>
    <d v="2025-02-06T06:13:47"/>
    <n v="43"/>
    <s v="km/h"/>
    <s v="00:00:01"/>
    <n v="1.6666666666666666E-2"/>
    <s v="Nakuru"/>
    <s v="Nakuru"/>
    <s v="Old Nairobi Road, Mbaruk sublocation, Greensteads, Mbaruk/Eburu ward, Gilgil, Nakuru, Rift Valley, 20116, Kenya"/>
    <s v="Old Nairobi Road, Mbaruk sublocation, Greensteads, Mbaruk/Eburu ward, Gilgil, Nakuru, Rift Valley, 20116, Kenya"/>
    <s v="-0.34157 , 36.1687"/>
    <s v="-0.34164 , 36.16878"/>
    <n v="0"/>
    <n v="1"/>
  </r>
  <r>
    <x v="1"/>
    <x v="207"/>
    <x v="242"/>
    <x v="0"/>
    <d v="2025-02-05T23:14:38"/>
    <s v="Wed"/>
    <n v="2025"/>
    <x v="9"/>
    <x v="42"/>
    <d v="2025-02-05T23:34:36"/>
    <n v="4.5"/>
    <s v="km"/>
    <s v="00:19:58"/>
    <n v="19.966666666666665"/>
    <s v="Kiambu"/>
    <s v="Kiambu"/>
    <s v="Limuru-Maimahiu Rd., Kamirithu sublocation, Limuru, Bibirioni ward, Limuru, Kiambu, Central Kenya, 00217, Kenya"/>
    <s v="Limuru-Maimahiu Rd., Kamirithu sublocation, Limuru, Limuru Central ward, Limuru, Kiambu, Central Kenya, 00217, Kenya"/>
    <s v="-1.07166 , 36.60208"/>
    <s v="-1.11037 , 36.61359"/>
    <n v="4.3120000000000003"/>
    <n v="1"/>
  </r>
  <r>
    <x v="1"/>
    <x v="187"/>
    <x v="216"/>
    <x v="2"/>
    <d v="2025-02-05T13:02:14"/>
    <s v="Wed"/>
    <n v="2025"/>
    <x v="9"/>
    <x v="42"/>
    <d v="2025-02-05T13:02:16"/>
    <n v="84"/>
    <s v="km/h"/>
    <s v="00:00:02"/>
    <n v="3.3333333333333333E-2"/>
    <s v="Kericho"/>
    <s v="Kericho"/>
    <s v="Kericho-Kisumu Highway, Kaitui, Soliat ward, Sigowet/Soin, Kericho, Rift Valley, Kenya"/>
    <s v="Kericho-Kisumu Highway, Kaitui, Soliat ward, Sigowet/Soin, Kericho, Rift Valley, Kenya"/>
    <s v="-0.29324 , 35.164"/>
    <s v="-0.29261 , 35.16394"/>
    <n v="0"/>
    <n v="1"/>
  </r>
  <r>
    <x v="0"/>
    <x v="59"/>
    <x v="217"/>
    <x v="1"/>
    <d v="2025-02-04T08:36:40"/>
    <s v="Tue"/>
    <n v="2025"/>
    <x v="9"/>
    <x v="42"/>
    <d v="2025-02-04T08:36:46"/>
    <n v="39"/>
    <s v="km/h"/>
    <s v="00:00:06"/>
    <n v="0.1"/>
    <s v="Nairobi"/>
    <s v="Nairobi"/>
    <s v="DHL-Kasarani"/>
    <s v="DHL-Kasarani"/>
    <s v="-1.22039 , 36.89052"/>
    <s v="-1.22 , 36.89092"/>
    <n v="0.10199999999999999"/>
    <n v="1"/>
  </r>
  <r>
    <x v="1"/>
    <x v="67"/>
    <x v="248"/>
    <x v="3"/>
    <d v="2025-02-04T08:23:21"/>
    <s v="Tue"/>
    <n v="2025"/>
    <x v="9"/>
    <x v="42"/>
    <d v="2025-02-04T08:23:22"/>
    <n v="17"/>
    <s v="km/h/s"/>
    <s v="00:00:01"/>
    <n v="1.6666666666666666E-2"/>
    <s v="Nairobi"/>
    <m/>
    <s v="Waiyaki Way, Uthiru ward, Kabete, Kiambu, Central Kenya, 00505, Kenya"/>
    <m/>
    <s v="-1.26022 , 36.71997"/>
    <m/>
    <n v="0"/>
    <n v="1"/>
  </r>
  <r>
    <x v="1"/>
    <x v="224"/>
    <x v="262"/>
    <x v="2"/>
    <d v="2025-02-04T07:17:23"/>
    <s v="Tue"/>
    <n v="2025"/>
    <x v="9"/>
    <x v="42"/>
    <d v="2025-02-04T07:17:24"/>
    <n v="81"/>
    <s v="km/h"/>
    <s v="00:00:01"/>
    <n v="1.6666666666666666E-2"/>
    <s v="Kericho"/>
    <s v="Kericho"/>
    <s v="Kericho-Kisumu Highway, Kaitui, Soliat ward, Sigowet/Soin, Kericho, Rift Valley, Kenya"/>
    <s v="Kericho-Kisumu Highway, Soliat ward, Sigowet/Soin, Kericho, Rift Valley, Kenya"/>
    <s v="-0.27699 , 35.16159"/>
    <s v="-0.27659 , 35.16174"/>
    <n v="0"/>
    <n v="1"/>
  </r>
  <r>
    <x v="3"/>
    <x v="17"/>
    <x v="18"/>
    <x v="0"/>
    <d v="2025-02-03T23:00:00"/>
    <s v="Mon"/>
    <n v="2025"/>
    <x v="9"/>
    <x v="42"/>
    <d v="2025-02-03T23:12:11"/>
    <n v="20"/>
    <s v="km"/>
    <s v="00:12:11"/>
    <n v="12.183333333333334"/>
    <s v="Kiambu"/>
    <s v="Nairobi"/>
    <s v="Thika Road, Kiwanja, Gatongora ward, Ruiru, Kiambu, Central Kenya, 00608, Kenya"/>
    <s v="DHL-Kasarani"/>
    <s v="-1.17127 , 36.94881"/>
    <s v="-1.21906 , 36.89222"/>
    <n v="8.5980000000000008"/>
    <n v="1"/>
  </r>
  <r>
    <x v="1"/>
    <x v="207"/>
    <x v="242"/>
    <x v="2"/>
    <d v="2025-02-03T19:33:30"/>
    <s v="Mon"/>
    <n v="2025"/>
    <x v="9"/>
    <x v="42"/>
    <d v="2025-02-03T19:33:33"/>
    <n v="87"/>
    <s v="km/h"/>
    <s v="00:00:03"/>
    <n v="0.05"/>
    <s v="Kericho"/>
    <s v="Kericho"/>
    <s v="Kericho-Kisumu Highway, Londiani Junction, Chepseon, Chepseon ward, Kipkelion East, Kericho, Rift Valley, 20200, Kenya"/>
    <s v="Kericho-Kisumu Highway, Londiani Junction, Chepseon, Chepseon ward, Kipkelion East, Kericho, Rift Valley, 20200, Kenya"/>
    <s v="-0.30105 , 35.40883"/>
    <s v="-0.3016 , 35.40811"/>
    <n v="6.2E-2"/>
    <n v="1"/>
  </r>
  <r>
    <x v="1"/>
    <x v="224"/>
    <x v="262"/>
    <x v="2"/>
    <d v="2025-02-03T18:31:20"/>
    <s v="Mon"/>
    <n v="2025"/>
    <x v="9"/>
    <x v="42"/>
    <d v="2025-02-03T18:31:24"/>
    <n v="83"/>
    <s v="km/h"/>
    <s v="00:00:04"/>
    <n v="6.6666666666666666E-2"/>
    <s v="Kericho"/>
    <s v="Kericho"/>
    <s v="A12, Londiani Junction, Kedowa/Kimugul ward, Kipkelion East, Kericho, Rift Valley, Kenya"/>
    <s v="A12, Londiani Junction, Kedowa/Kimugul ward, Kipkelion East, Kericho, Rift Valley, Kenya"/>
    <s v="-0.16569 , 35.64873"/>
    <s v="-0.16543 , 35.64766"/>
    <n v="0.125"/>
    <n v="1"/>
  </r>
  <r>
    <x v="1"/>
    <x v="187"/>
    <x v="216"/>
    <x v="2"/>
    <d v="2025-02-03T17:49:09"/>
    <s v="Mon"/>
    <n v="2025"/>
    <x v="9"/>
    <x v="42"/>
    <d v="2025-02-03T17:49:10"/>
    <n v="83"/>
    <s v="km/h"/>
    <s v="00:00:01"/>
    <n v="1.6666666666666666E-2"/>
    <s v="Kericho"/>
    <s v="Kericho"/>
    <s v="Kericho-Kisumu Highway, Londiani Junction, Chepseon, Chepseon ward, Kipkelion East, Kericho, Rift Valley, 20200, Kenya"/>
    <s v="Kericho-Kisumu Highway, Londiani Junction, Chepseon, Chepseon ward, Kipkelion East, Kericho, Rift Valley, 20200, Kenya"/>
    <s v="-0.26639 , 35.44806"/>
    <s v="-0.26636 , 35.44848"/>
    <n v="0"/>
    <n v="1"/>
  </r>
  <r>
    <x v="2"/>
    <x v="35"/>
    <x v="36"/>
    <x v="2"/>
    <d v="2025-02-03T14:01:04"/>
    <s v="Mon"/>
    <n v="2025"/>
    <x v="9"/>
    <x v="42"/>
    <d v="2025-02-03T14:03:14"/>
    <n v="98"/>
    <s v="km/h"/>
    <s v="00:02:10"/>
    <n v="2.1666666666666665"/>
    <m/>
    <m/>
    <s v="Mombasa Road, Ngokomi, Kilome, Makueni, KE"/>
    <s v="Mombasa Road, Ngokomi, Kilome, Makueni, KE"/>
    <s v="-1.9626, 37.3155"/>
    <s v="-1.9806, 37.3367"/>
    <n v="3.1"/>
    <n v="1"/>
  </r>
  <r>
    <x v="0"/>
    <x v="70"/>
    <x v="72"/>
    <x v="2"/>
    <d v="2025-02-02T18:45:35"/>
    <s v="Sun"/>
    <n v="2025"/>
    <x v="9"/>
    <x v="42"/>
    <d v="2025-02-02T18:45:43"/>
    <n v="82"/>
    <s v="km/h"/>
    <s v="00:00:08"/>
    <n v="0.13333333333333333"/>
    <s v="Uasin Gishu"/>
    <s v="Uasin Gishu"/>
    <s v="Eldoret-Nakuru Road, Ainabkoi/Olare ward, Ainabkoi, Uasin Gishu, Rift Valley, Kenya"/>
    <s v="A8, Ainabkoi/Olare ward, Ainabkoi, Uasin Gishu, Rift Valley, Kenya"/>
    <s v="0.13864 , 35.46709"/>
    <s v="0.14033 , 35.4678"/>
    <n v="0.188"/>
    <n v="1"/>
  </r>
  <r>
    <x v="1"/>
    <x v="209"/>
    <x v="229"/>
    <x v="2"/>
    <d v="2025-02-02T15:07:31"/>
    <s v="Sun"/>
    <n v="2025"/>
    <x v="9"/>
    <x v="42"/>
    <d v="2025-02-02T15:07:35"/>
    <n v="88"/>
    <s v="km/h"/>
    <s v="00:00:04"/>
    <n v="6.6666666666666666E-2"/>
    <s v="Machakos"/>
    <s v="Machakos"/>
    <s v="Mombasa Road, South C ward, Mlolongo, Matathani ward, Mavoko, Machakos, Eastern, 00603, Kenya"/>
    <s v="Mombasa Road, South C ward, Mlolongo, Matathani ward, Mavoko, Machakos, Eastern, 00603, Kenya"/>
    <s v="-1.42725 , 36.95933"/>
    <s v="-1.42644 , 36.95856"/>
    <n v="0.125"/>
    <n v="1"/>
  </r>
  <r>
    <x v="1"/>
    <x v="209"/>
    <x v="229"/>
    <x v="2"/>
    <d v="2025-02-02T14:41:44"/>
    <s v="Sun"/>
    <n v="2025"/>
    <x v="9"/>
    <x v="42"/>
    <d v="2025-02-02T14:42:01"/>
    <n v="85"/>
    <s v="km/h"/>
    <s v="00:00:17"/>
    <n v="0.28333333333333333"/>
    <s v="Machakos"/>
    <s v="Machakos"/>
    <s v="A8, Kinanie ward, Mavoko, Machakos, Eastern, Kenya"/>
    <s v="A8, Kinanie ward, Mavoko, Machakos, Eastern, Kenya"/>
    <s v="-1.47978 , 37.04367"/>
    <s v="-1.48194 , 37.047"/>
    <n v="0.375"/>
    <n v="1"/>
  </r>
  <r>
    <x v="1"/>
    <x v="209"/>
    <x v="229"/>
    <x v="2"/>
    <d v="2025-02-02T14:39:52"/>
    <s v="Sun"/>
    <n v="2025"/>
    <x v="9"/>
    <x v="42"/>
    <d v="2025-02-02T14:40:51"/>
    <n v="89"/>
    <s v="km/h"/>
    <s v="00:00:59"/>
    <n v="0.98333333333333328"/>
    <s v="Machakos"/>
    <s v="Machakos"/>
    <s v="A8, Kinanie ward, Mavoko, Machakos, Eastern, Kenya"/>
    <s v="A8, Kinanie ward, Mavoko, Machakos, Eastern, Kenya"/>
    <s v="-1.46897 , 37.02372"/>
    <s v="-1.47564 , 37.03597"/>
    <n v="1.5"/>
    <n v="1"/>
  </r>
  <r>
    <x v="1"/>
    <x v="209"/>
    <x v="229"/>
    <x v="2"/>
    <d v="2025-02-02T14:36:24"/>
    <s v="Sun"/>
    <n v="2025"/>
    <x v="9"/>
    <x v="42"/>
    <d v="2025-02-02T14:37:00"/>
    <n v="90"/>
    <s v="km/h"/>
    <s v="00:00:36"/>
    <n v="0.6"/>
    <s v="Machakos"/>
    <s v="Machakos"/>
    <s v="Mombasa Road, Athi River ward, Mavoko, Machakos, Eastern, Kenya"/>
    <s v="Mombasa Road, Athi River ward, Mavoko, Machakos, Eastern, Kenya"/>
    <s v="-1.44925 , 36.99892"/>
    <s v="-1.45606 , 37.00403"/>
    <n v="0.93799999999999994"/>
    <n v="1"/>
  </r>
  <r>
    <x v="1"/>
    <x v="209"/>
    <x v="229"/>
    <x v="2"/>
    <d v="2025-02-02T14:33:10"/>
    <s v="Sun"/>
    <n v="2025"/>
    <x v="9"/>
    <x v="42"/>
    <d v="2025-02-02T14:34:04"/>
    <n v="90"/>
    <s v="km/h"/>
    <s v="00:00:54"/>
    <n v="0.9"/>
    <s v="Machakos"/>
    <s v="Machakos"/>
    <s v="Mombasa Road, Matathani ward, Mavoko, Machakos, Eastern, Kenya"/>
    <s v="Athi River ward, Mavoko, Machakos, Eastern, Kenya"/>
    <s v="-1.43517 , 36.97144"/>
    <s v="-1.44072 , 36.98267"/>
    <n v="1.3120000000000001"/>
    <n v="1"/>
  </r>
  <r>
    <x v="1"/>
    <x v="209"/>
    <x v="229"/>
    <x v="2"/>
    <d v="2025-02-02T14:24:53"/>
    <s v="Sun"/>
    <n v="2025"/>
    <x v="9"/>
    <x v="42"/>
    <d v="2025-02-02T14:24:55"/>
    <n v="87"/>
    <s v="km/h"/>
    <s v="00:00:02"/>
    <n v="3.3333333333333333E-2"/>
    <s v="Machakos"/>
    <s v="Machakos"/>
    <s v="Mombasa Road, South C ward, Mlolongo, Syokimau-Mulolongo ward, Mavoko, Machakos, Eastern, 00603, Kenya"/>
    <s v="Mombasa Road, South C ward, Mlolongo, Syokimau-Mulolongo ward, Mavoko, Machakos, Eastern, 00603, Kenya"/>
    <s v="-1.4095 , 36.94836"/>
    <s v="-1.41006 , 36.94867"/>
    <n v="0"/>
    <n v="1"/>
  </r>
  <r>
    <x v="1"/>
    <x v="185"/>
    <x v="53"/>
    <x v="2"/>
    <d v="2025-02-02T13:23:47"/>
    <s v="Sun"/>
    <n v="2025"/>
    <x v="9"/>
    <x v="42"/>
    <d v="2025-02-02T13:23:47"/>
    <n v="81"/>
    <s v="km/h"/>
    <s v="00:00:00"/>
    <n v="0"/>
    <s v="Nairobi"/>
    <s v="Nairobi"/>
    <s v="Thika Road, Muthaiga sublocation, Highridge location, Garden sublocation, Westlands, Nairobi, Kasarani, Nairobi, 00620, Kenya"/>
    <s v="Thika Road, Muthaiga sublocation, Highridge location, Garden sublocation, Westlands, Nairobi, Kasarani, Nairobi, 00620, Kenya"/>
    <s v="-1.25803 , 36.84953"/>
    <s v="-1.25803 , 36.84953"/>
    <n v="9.4E-2"/>
    <n v="1"/>
  </r>
  <r>
    <x v="0"/>
    <x v="208"/>
    <x v="243"/>
    <x v="1"/>
    <d v="2025-02-01T19:20:15"/>
    <s v="Sat"/>
    <n v="2025"/>
    <x v="9"/>
    <x v="43"/>
    <d v="2025-02-01T19:20:16"/>
    <n v="31"/>
    <s v="km/h"/>
    <s v="00:00:01"/>
    <n v="1.6666666666666666E-2"/>
    <s v="Nyeri"/>
    <s v="Nyeri"/>
    <s v="A2, Sagana, Mathira West, Nyeri, Central Kenya, 10101, Kenya"/>
    <s v="A2, Sagana, Mathira West, Nyeri, Central Kenya, 10101, Kenya"/>
    <s v="-0.48353 , 37.13039"/>
    <s v="-0.48356 , 37.13056"/>
    <n v="0"/>
    <n v="1"/>
  </r>
  <r>
    <x v="2"/>
    <x v="13"/>
    <x v="13"/>
    <x v="2"/>
    <d v="2025-02-01T02:25:40"/>
    <s v="Sat"/>
    <n v="2025"/>
    <x v="9"/>
    <x v="43"/>
    <d v="2025-02-01T02:27:00"/>
    <n v="90"/>
    <s v="km/h"/>
    <s v="00:01:20"/>
    <n v="1.3333333333333333"/>
    <m/>
    <m/>
    <s v="A8, Kinanie ward, Mavoko, Machakos County, KE"/>
    <s v="A8, Kinanie ward, Mavoko, Machakos County, KE"/>
    <s v="-1.5041, 37.0882"/>
    <s v="-1.4968, 37.0726"/>
    <n v="1.9"/>
    <n v="1"/>
  </r>
  <r>
    <x v="0"/>
    <x v="135"/>
    <x v="155"/>
    <x v="3"/>
    <d v="2025-01-31T20:24:02"/>
    <s v="Fri"/>
    <n v="2025"/>
    <x v="10"/>
    <x v="43"/>
    <d v="2025-01-31T20:24:03"/>
    <n v="16"/>
    <s v="km/h/s"/>
    <s v="00:00:01"/>
    <n v="1.6666666666666666E-2"/>
    <s v="Kiambu"/>
    <m/>
    <s v="Garissa Road, Maguguni, Ngoliba ward, Thika Town, Kiambu, Central Kenya, 01000, Kenya"/>
    <m/>
    <s v="-1.07133 , 37.30492"/>
    <m/>
    <n v="0"/>
    <n v="1"/>
  </r>
  <r>
    <x v="3"/>
    <x v="206"/>
    <x v="150"/>
    <x v="3"/>
    <d v="2025-01-31T19:02:08"/>
    <s v="Fri"/>
    <n v="2025"/>
    <x v="10"/>
    <x v="43"/>
    <d v="2025-01-31T19:02:09"/>
    <n v="16"/>
    <s v="km/h/s"/>
    <s v="00:00:01"/>
    <n v="1.6666666666666666E-2"/>
    <s v="Kiambu"/>
    <m/>
    <s v="Limuru Road, Redhill, Kabuku, Ngecha Tigoni ward, Limuru, Kiambu, Central Kenya, 00217, Kenya"/>
    <m/>
    <s v="-1.15471 , 36.67396"/>
    <m/>
    <n v="0"/>
    <n v="1"/>
  </r>
  <r>
    <x v="1"/>
    <x v="48"/>
    <x v="50"/>
    <x v="3"/>
    <d v="2025-01-31T18:39:28"/>
    <s v="Fri"/>
    <n v="2025"/>
    <x v="10"/>
    <x v="43"/>
    <d v="2025-01-31T18:39:28"/>
    <n v="16"/>
    <s v="km/h/s"/>
    <s v="00:00:00"/>
    <n v="0"/>
    <s v="Nairobi"/>
    <s v="Nairobi"/>
    <s v="Nairobi-Nakuru Road, Loresho sublocation, Kitisuru location, Kitisuru ward, Kangemi division, Westlands, Nairobi, Kabete, Nairobi, 00505, Kenya"/>
    <s v="Nairobi-Nakuru Road, Loresho sublocation, Kitisuru location, Kitisuru ward, Kangemi division, Westlands, Nairobi, Kabete, Nairobi, 00505, Kenya"/>
    <s v="-1.26308 , 36.72861"/>
    <s v="-1.26308 , 36.72861"/>
    <n v="0"/>
    <n v="1"/>
  </r>
  <r>
    <x v="0"/>
    <x v="2"/>
    <x v="2"/>
    <x v="1"/>
    <d v="2025-01-31T13:41:58"/>
    <s v="Fri"/>
    <n v="2025"/>
    <x v="10"/>
    <x v="43"/>
    <d v="2025-01-31T13:41:59"/>
    <n v="31"/>
    <s v="km/h"/>
    <s v="00:00:01"/>
    <n v="1.6666666666666666E-2"/>
    <s v="Murang'a"/>
    <s v="Murang'a"/>
    <s v="C71, Kenol, Murang`a South, Murang`a, Central Kenya, Kenya"/>
    <s v="C71, Kenol, Murang`a South, Murang`a, Central Kenya, Kenya"/>
    <s v="-0.92402 , 37.12668"/>
    <s v="-0.92385 , 37.1267"/>
    <n v="0.125"/>
    <n v="1"/>
  </r>
  <r>
    <x v="1"/>
    <x v="211"/>
    <x v="245"/>
    <x v="2"/>
    <d v="2025-01-31T10:21:58"/>
    <s v="Fri"/>
    <n v="2025"/>
    <x v="10"/>
    <x v="43"/>
    <d v="2025-01-31T10:22:04"/>
    <n v="82"/>
    <s v="km/h"/>
    <s v="00:00:06"/>
    <n v="0.1"/>
    <s v="Machakos"/>
    <s v="Machakos"/>
    <s v="Embu-Nairobi Highway, Manaja ward, Masinga, Machakos, Eastern, Kenya"/>
    <s v="Manaja ward, Masinga, Machakos, Eastern, Kenya"/>
    <s v="-0.84516 , 37.23248"/>
    <s v="-0.8437 , 37.23225"/>
    <n v="0.25"/>
    <n v="1"/>
  </r>
  <r>
    <x v="0"/>
    <x v="59"/>
    <x v="217"/>
    <x v="1"/>
    <d v="2025-01-30T16:30:56"/>
    <s v="Thu"/>
    <n v="2025"/>
    <x v="10"/>
    <x v="43"/>
    <d v="2025-01-30T16:30:57"/>
    <n v="31"/>
    <s v="km/h"/>
    <s v="00:00:01"/>
    <n v="1.6666666666666666E-2"/>
    <s v="Makueni"/>
    <s v="Makueni"/>
    <s v="Mombasa Road, Emali, Kilome, Makueni, Eastern, Kenya"/>
    <s v="Mombasa Road, Emali, Kilome, Makueni, Eastern, Kenya"/>
    <s v="-2.0292 , 37.39011"/>
    <s v="-2.02915 , 37.39006"/>
    <n v="0"/>
    <n v="1"/>
  </r>
  <r>
    <x v="0"/>
    <x v="59"/>
    <x v="217"/>
    <x v="1"/>
    <d v="2025-01-30T08:10:46"/>
    <s v="Thu"/>
    <n v="2025"/>
    <x v="10"/>
    <x v="43"/>
    <d v="2025-01-30T08:10:47"/>
    <n v="37"/>
    <s v="km/h"/>
    <s v="00:00:01"/>
    <n v="1.6666666666666666E-2"/>
    <s v="Makueni"/>
    <s v="Makueni"/>
    <s v="Mombasa Road, Kilome, Makueni, Eastern, Kenya"/>
    <s v="Mombasa Road, Kilome, Makueni, Eastern, Kenya"/>
    <s v="-1.68403 , 37.19529"/>
    <s v="-1.68419 , 37.1953"/>
    <n v="0.10199999999999999"/>
    <n v="1"/>
  </r>
  <r>
    <x v="1"/>
    <x v="211"/>
    <x v="245"/>
    <x v="2"/>
    <d v="2025-01-30T06:39:25"/>
    <s v="Thu"/>
    <n v="2025"/>
    <x v="10"/>
    <x v="43"/>
    <d v="2025-01-30T06:39:29"/>
    <n v="81"/>
    <s v="km/h"/>
    <s v="00:00:04"/>
    <n v="6.6666666666666666E-2"/>
    <s v="Kiambu"/>
    <s v="Kiambu"/>
    <s v="Thika Road, Gatongora ward, Ruiru, Kiambu, Central Kenya, 01001, Kenya"/>
    <s v="Thika Road, Gatongora ward, Ruiru, Kiambu, Central Kenya, 01001, Kenya"/>
    <s v="-1.14619 , 36.96344"/>
    <s v="-1.14716 , 36.96305"/>
    <n v="0.125"/>
    <n v="1"/>
  </r>
  <r>
    <x v="2"/>
    <x v="41"/>
    <x v="42"/>
    <x v="2"/>
    <d v="2025-01-29T22:16:56"/>
    <s v="Wed"/>
    <n v="2025"/>
    <x v="10"/>
    <x v="43"/>
    <d v="2025-01-29T22:17:21"/>
    <n v="87"/>
    <s v="km/h"/>
    <s v="00:00:24"/>
    <n v="0.4"/>
    <m/>
    <m/>
    <s v="Kericho-Kisumu Highway, Kochogo North sublocation, Awasi, Awasi/Onjiko ward, Nyando, Kisumu County, Nyanza, KE"/>
    <s v="Kericho-Kisumu Highway, Kochogo North sublocation, Awasi, Awasi/Onjiko ward, Nyando, Kisumu County, Nyanza, KE"/>
    <s v="-0.2154, 35.1533"/>
    <s v="-0.2093, 35.1523"/>
    <n v="0.7"/>
    <n v="1"/>
  </r>
  <r>
    <x v="0"/>
    <x v="0"/>
    <x v="0"/>
    <x v="0"/>
    <d v="2025-01-28T23:00:00"/>
    <s v="Tue"/>
    <n v="2025"/>
    <x v="10"/>
    <x v="43"/>
    <d v="2025-01-28T23:50:44"/>
    <n v="38.799999999999997"/>
    <s v="km"/>
    <s v="00:50:44"/>
    <n v="50.733333333333334"/>
    <s v="Kiambu"/>
    <s v="Nairobi"/>
    <s v="Gitaru ward, Kabete, Kiambu, Central Kenya, 12345, Kenya"/>
    <s v="Total Energies - Opposite Garden City"/>
    <s v="-1.22384 , 36.70357"/>
    <s v="-1.23289 , 36.87349"/>
    <n v="23.687999999999999"/>
    <n v="1"/>
  </r>
  <r>
    <x v="2"/>
    <x v="4"/>
    <x v="4"/>
    <x v="2"/>
    <d v="2025-01-28T17:56:33"/>
    <s v="Tue"/>
    <n v="2025"/>
    <x v="10"/>
    <x v="43"/>
    <d v="2025-01-28T17:56:48"/>
    <n v="82"/>
    <s v="km/h"/>
    <s v="00:00:15"/>
    <n v="0.25"/>
    <m/>
    <m/>
    <s v="Nairobi-Nakuru Road, Site 1, Gilgil ward, Gilgil, Nakuru, Rift Valley, 20116, KE"/>
    <s v="Sanata Women's Group, Nairobi-Nakuru Road, Eburu sublocation, Council, Gilgil ward, Gilgil, Nakuru, Rift Valley, 20116, KE"/>
    <s v="-0.5232, 36.3290"/>
    <s v="-0.5267, 36.3312"/>
    <n v="0.5"/>
    <n v="1"/>
  </r>
  <r>
    <x v="1"/>
    <x v="53"/>
    <x v="56"/>
    <x v="1"/>
    <d v="2025-01-28T11:02:37"/>
    <s v="Tue"/>
    <n v="2025"/>
    <x v="10"/>
    <x v="43"/>
    <d v="2025-01-28T11:03:18"/>
    <n v="78"/>
    <s v="km/h"/>
    <s v="00:00:41"/>
    <n v="0.68333333333333335"/>
    <s v="Makueni"/>
    <s v="Makueni"/>
    <s v="Mombasa Road, Salama, Kilome, Makueni, Eastern, Kenya"/>
    <s v="Mombasa Road, Salama, Kilome, Makueni, Eastern, Kenya"/>
    <s v="-1.81831 , 37.23728"/>
    <s v="-1.82556 , 37.24089"/>
    <n v="0.875"/>
    <n v="1"/>
  </r>
  <r>
    <x v="2"/>
    <x v="225"/>
    <x v="263"/>
    <x v="0"/>
    <d v="2025-01-28T03:04:55"/>
    <s v="Tue"/>
    <n v="2025"/>
    <x v="10"/>
    <x v="43"/>
    <d v="2025-01-28T03:29:13"/>
    <m/>
    <m/>
    <s v="00:24:18"/>
    <n v="24.3"/>
    <m/>
    <m/>
    <s v="Bypass Highway, Salem, Bandari sublocation, Railways ward, Kisumu, City of Kisumu, Kisumu County, Nyanza, 40100, KE"/>
    <s v="Bypass Highway, Salem, Bandari sublocation, Railways ward, Kisumu, City of Kisumu, Kisumu County, Nyanza, 40100, KE"/>
    <s v="-0.0822, 34.7634"/>
    <s v="-0.0821, 34.7631"/>
    <n v="10.5"/>
    <n v="1"/>
  </r>
  <r>
    <x v="1"/>
    <x v="185"/>
    <x v="131"/>
    <x v="2"/>
    <d v="2025-01-27T21:33:38"/>
    <s v="Mon"/>
    <n v="2025"/>
    <x v="10"/>
    <x v="43"/>
    <d v="2025-01-27T21:33:45"/>
    <n v="83"/>
    <s v="km/h"/>
    <s v="00:00:07"/>
    <n v="0.11666666666666667"/>
    <s v="Machakos"/>
    <s v="Machakos"/>
    <s v="Mombasa Road, Kinanie ward, Mavoko, Machakos, Eastern, Kenya"/>
    <s v="Mombasa Road, Kinanie ward, Mavoko, Machakos, Eastern, Kenya"/>
    <s v="-1.4805 , 37.04425"/>
    <s v="-1.47978 , 37.04292"/>
    <n v="0.188"/>
    <n v="1"/>
  </r>
  <r>
    <x v="1"/>
    <x v="185"/>
    <x v="131"/>
    <x v="2"/>
    <d v="2025-01-27T21:27:52"/>
    <s v="Mon"/>
    <n v="2025"/>
    <x v="10"/>
    <x v="43"/>
    <d v="2025-01-27T21:28:20"/>
    <n v="82"/>
    <s v="km/h"/>
    <s v="00:00:28"/>
    <n v="0.46666666666666667"/>
    <s v="Machakos"/>
    <s v="Machakos"/>
    <s v="A8, Kinanie ward, Mavoko, Machakos, Eastern, Kenya"/>
    <s v="A8, Kinanie ward, Mavoko, Machakos, Eastern, Kenya"/>
    <s v="-1.50411 , 37.08817"/>
    <s v="-1.50114 , 37.08353"/>
    <n v="0.68799999999999994"/>
    <n v="1"/>
  </r>
  <r>
    <x v="1"/>
    <x v="185"/>
    <x v="131"/>
    <x v="2"/>
    <d v="2025-01-27T21:24:36"/>
    <s v="Mon"/>
    <n v="2025"/>
    <x v="10"/>
    <x v="43"/>
    <d v="2025-01-27T21:24:37"/>
    <n v="81"/>
    <s v="km/h"/>
    <s v="00:00:01"/>
    <n v="1.6666666666666666E-2"/>
    <s v="Machakos"/>
    <s v="Machakos"/>
    <s v="A8, Kinanie ward, Mavoko, Machakos, Eastern, Kenya"/>
    <s v="A8, Kinanie ward, Mavoko, Machakos, Eastern, Kenya"/>
    <s v="-1.52117 , 37.11483"/>
    <s v="-1.52094 , 37.1145"/>
    <n v="0"/>
    <n v="1"/>
  </r>
  <r>
    <x v="1"/>
    <x v="185"/>
    <x v="131"/>
    <x v="1"/>
    <d v="2025-01-27T17:44:14"/>
    <s v="Mon"/>
    <n v="2025"/>
    <x v="10"/>
    <x v="43"/>
    <d v="2025-01-27T17:45:22"/>
    <n v="68"/>
    <s v="km/h"/>
    <s v="00:01:08"/>
    <n v="1.1333333333333333"/>
    <s v="Makueni"/>
    <s v="Makueni"/>
    <s v="Mombasa Road, Kiboko, Kibwezi West, Makueni, Eastern, Kenya"/>
    <s v="Mombasa Road, Kiboko, Kibwezi West, Makueni, Eastern, Kenya"/>
    <s v="-2.21928 , 37.73586"/>
    <s v="-2.214 , 37.72708"/>
    <n v="1.1879999999999999"/>
    <n v="1"/>
  </r>
  <r>
    <x v="3"/>
    <x v="6"/>
    <x v="6"/>
    <x v="1"/>
    <d v="2025-01-27T10:42:50"/>
    <s v="Mon"/>
    <n v="2025"/>
    <x v="10"/>
    <x v="43"/>
    <d v="2025-01-27T10:42:51"/>
    <n v="38"/>
    <s v="km/h"/>
    <s v="00:00:01"/>
    <n v="1.6666666666666666E-2"/>
    <s v="Machakos"/>
    <s v="Machakos"/>
    <s v="Mlolongo, Syokimau-Mulolongo ward, Mavoko, Machakos, Eastern, 74416, Kenya"/>
    <s v="Mlolongo, Syokimau-Mulolongo ward, Mavoko, Machakos, Eastern, 74416, Kenya"/>
    <s v="-1.37171 , 36.92"/>
    <s v="-1.37179 , 36.92009"/>
    <n v="0"/>
    <n v="1"/>
  </r>
  <r>
    <x v="3"/>
    <x v="6"/>
    <x v="6"/>
    <x v="1"/>
    <d v="2025-01-27T10:40:06"/>
    <s v="Mon"/>
    <n v="2025"/>
    <x v="10"/>
    <x v="43"/>
    <d v="2025-01-27T10:40:12"/>
    <n v="39"/>
    <s v="km/h"/>
    <s v="00:00:06"/>
    <n v="0.1"/>
    <s v="Machakos"/>
    <s v="Machakos"/>
    <s v="Mlolongo, Syokimau-Mulolongo ward, Mavoko, Machakos, Eastern, 74416, Kenya"/>
    <s v="Mlolongo, Syokimau-Mulolongo ward, Mavoko, Machakos, Eastern, 74416, Kenya"/>
    <s v="-1.36364 , 36.9108"/>
    <s v="-1.364 , 36.91118"/>
    <n v="6.2E-2"/>
    <n v="1"/>
  </r>
  <r>
    <x v="3"/>
    <x v="6"/>
    <x v="6"/>
    <x v="1"/>
    <d v="2025-01-27T10:35:44"/>
    <s v="Mon"/>
    <n v="2025"/>
    <x v="10"/>
    <x v="43"/>
    <d v="2025-01-27T10:36:07"/>
    <n v="54"/>
    <s v="km/h"/>
    <s v="00:00:23"/>
    <n v="0.38333333333333336"/>
    <s v="Machakos"/>
    <s v="Machakos"/>
    <s v="SGR service Road, Mlolongo, Syokimau-Mulolongo ward, Mavoko, Machakos, Eastern, 74416, Kenya"/>
    <s v="SGR service Road, Mlolongo, Syokimau-Mulolongo ward, Mavoko, Machakos, Eastern, 74416, Kenya"/>
    <s v="-1.37313 , 36.91593"/>
    <s v="-1.37156 , 36.91802"/>
    <n v="0.312"/>
    <n v="1"/>
  </r>
  <r>
    <x v="3"/>
    <x v="6"/>
    <x v="6"/>
    <x v="1"/>
    <d v="2025-01-27T10:21:21"/>
    <s v="Mon"/>
    <n v="2025"/>
    <x v="10"/>
    <x v="43"/>
    <d v="2025-01-27T10:21:22"/>
    <n v="53"/>
    <s v="km/h"/>
    <s v="00:00:01"/>
    <n v="1.6666666666666666E-2"/>
    <s v="Nairobi"/>
    <s v="Nairobi"/>
    <s v="Old Mombasa Road, South C ward, Lang'ata, Nairobi, 00603, Kenya"/>
    <s v="Old Mombasa Road, South C ward, Lang'ata, Nairobi, 00603, Kenya"/>
    <s v="-1.34418 , 36.88398"/>
    <s v="-1.34427 , 36.88376"/>
    <n v="0.125"/>
    <n v="1"/>
  </r>
  <r>
    <x v="3"/>
    <x v="6"/>
    <x v="6"/>
    <x v="1"/>
    <d v="2025-01-27T10:09:30"/>
    <s v="Mon"/>
    <n v="2025"/>
    <x v="10"/>
    <x v="43"/>
    <d v="2025-01-27T10:09:34"/>
    <n v="38"/>
    <s v="km/h"/>
    <s v="00:00:04"/>
    <n v="6.6666666666666666E-2"/>
    <s v="Nairobi"/>
    <s v="Nairobi"/>
    <s v="Old Mombasa Road, Mombasa Road Industrial Area, South C ward, Lang'ata, Nairobi, 00501, Kenya"/>
    <s v="Old Mombasa Road, Mombasa Road Industrial Area, South C ward, Lang'ata, Nairobi, 00501, Kenya"/>
    <s v="-1.33631 , 36.88247"/>
    <s v="-1.33666 , 36.8826"/>
    <n v="0"/>
    <n v="1"/>
  </r>
  <r>
    <x v="0"/>
    <x v="0"/>
    <x v="0"/>
    <x v="2"/>
    <d v="2025-01-27T07:03:21"/>
    <s v="Mon"/>
    <n v="2025"/>
    <x v="10"/>
    <x v="43"/>
    <d v="2025-01-27T07:03:22"/>
    <n v="81"/>
    <s v="km/h"/>
    <s v="00:00:01"/>
    <n v="1.6666666666666666E-2"/>
    <s v="Nairobi"/>
    <s v="Nairobi"/>
    <s v="Thika Road, Garden sublocation, Babadogo ward, Kasarani, Nairobi, 00620, Kenya"/>
    <s v="Thika Road, Garden sublocation, Babadogo ward, Kasarani, Nairobi, 00620, Kenya"/>
    <s v="-1.23879 , 36.87052"/>
    <s v="-1.23898 , 36.87044"/>
    <n v="6.2E-2"/>
    <n v="1"/>
  </r>
  <r>
    <x v="0"/>
    <x v="34"/>
    <x v="35"/>
    <x v="1"/>
    <d v="2025-01-26T20:29:07"/>
    <s v="Sun"/>
    <n v="2025"/>
    <x v="10"/>
    <x v="43"/>
    <d v="2025-01-26T20:30:24"/>
    <n v="73"/>
    <s v="km/h"/>
    <s v="00:01:17"/>
    <n v="1.2833333333333332"/>
    <s v="Kiambu"/>
    <s v="Kiambu"/>
    <s v="Southern Bypass, Muguga, Mai A Ihii, Kikuyu, Kiambu, Central Kenya, 00109, Kenya"/>
    <s v="Thogoto, Kikuyu Township ward, Kikuyu, Kiambu, Central Kenya, 00109, Kenya"/>
    <s v="-1.25999 , 36.66153"/>
    <s v="-1.27119 , 36.66268"/>
    <n v="1.3049999999999999"/>
    <n v="1"/>
  </r>
  <r>
    <x v="0"/>
    <x v="0"/>
    <x v="0"/>
    <x v="2"/>
    <d v="2025-01-26T13:13:33"/>
    <s v="Sun"/>
    <n v="2025"/>
    <x v="10"/>
    <x v="43"/>
    <d v="2025-01-26T13:13:55"/>
    <n v="90"/>
    <s v="km/h"/>
    <s v="00:00:22"/>
    <n v="0.36666666666666664"/>
    <s v="Kiambu"/>
    <s v="Kiambu"/>
    <s v="Gitaru Road, Rwenu, Ndenderu, Ndenderu ward, Kiambaa, Kiambu, Central Kenya, 11403, Kenya"/>
    <s v="Gitaru Road, Rwenu, Ndenderu, Ndenderu ward, Kiambaa, Kiambu, Central Kenya, 11403, Kenya"/>
    <s v="-1.19436 , 36.73471"/>
    <s v="-1.19456 , 36.73968"/>
    <n v="0.5"/>
    <n v="1"/>
  </r>
  <r>
    <x v="0"/>
    <x v="0"/>
    <x v="0"/>
    <x v="2"/>
    <d v="2025-01-26T13:11:01"/>
    <s v="Sun"/>
    <n v="2025"/>
    <x v="10"/>
    <x v="43"/>
    <d v="2025-01-26T13:11:18"/>
    <n v="88"/>
    <s v="km/h"/>
    <s v="00:00:17"/>
    <n v="0.28333333333333333"/>
    <s v="Kiambu"/>
    <s v="Kiambu"/>
    <s v="Gitaru Road, Karura Kanyungu, Nyadhuna ward, Kabete, Kiambu, Central Kenya, 00604, Kenya"/>
    <s v="Gitaru Road, Karura Kanyungu, Nyadhuna ward, Kabete, Kiambu, Central Kenya, 00604, Kenya"/>
    <s v="-1.20675 , 36.71519"/>
    <s v="-1.2053 , 36.71876"/>
    <n v="0.375"/>
    <n v="1"/>
  </r>
  <r>
    <x v="0"/>
    <x v="0"/>
    <x v="0"/>
    <x v="2"/>
    <d v="2025-01-26T13:07:21"/>
    <s v="Sun"/>
    <n v="2025"/>
    <x v="10"/>
    <x v="43"/>
    <d v="2025-01-26T13:08:23"/>
    <n v="93"/>
    <s v="km/h"/>
    <s v="00:01:02"/>
    <n v="1.0333333333333334"/>
    <s v="Kiambu"/>
    <s v="Kiambu"/>
    <s v="Gitaru Road, Gitaru, Gitaru ward, Kabete, Kiambu, Central Kenya, 12345, Kenya"/>
    <s v="Gitaru Road, Gitaru, Gitaru ward, Kabete, Kiambu, Central Kenya, 12345, Kenya"/>
    <s v="-1.22915 , 36.69168"/>
    <s v="-1.22519 , 36.70485"/>
    <n v="1.625"/>
    <n v="1"/>
  </r>
  <r>
    <x v="0"/>
    <x v="2"/>
    <x v="2"/>
    <x v="2"/>
    <d v="2025-01-25T18:21:12"/>
    <s v="Sat"/>
    <n v="2025"/>
    <x v="10"/>
    <x v="44"/>
    <d v="2025-01-25T18:21:14"/>
    <n v="84"/>
    <s v="km/h"/>
    <s v="00:00:02"/>
    <n v="3.3333333333333333E-2"/>
    <s v="Murang'a"/>
    <s v="Murang'a"/>
    <s v="Meru-Nairobi Highway, Kenol, Gatanga, Murang`a, Central Kenya, 01000, Kenya"/>
    <s v="Meru-Nairobi Highway, Kenol, Gatanga, Murang`a, Central Kenya, 01000, Kenya"/>
    <s v="-0.98233 , 37.09239"/>
    <s v="-0.98284 , 37.09206"/>
    <n v="0"/>
    <n v="1"/>
  </r>
  <r>
    <x v="0"/>
    <x v="0"/>
    <x v="0"/>
    <x v="2"/>
    <d v="2025-01-25T15:38:40"/>
    <s v="Sat"/>
    <n v="2025"/>
    <x v="10"/>
    <x v="44"/>
    <d v="2025-01-25T15:38:41"/>
    <n v="81"/>
    <s v="km/h"/>
    <s v="00:00:01"/>
    <n v="1.6666666666666666E-2"/>
    <s v="Kiambu"/>
    <s v="Kiambu"/>
    <s v="Meru-Nairobi Highway, Thika Township ward, Thika Town, Kiambu, Central Kenya, 01000, Kenya"/>
    <s v="Meru-Nairobi Highway, Thika Township ward, Thika Town, Kiambu, Central Kenya, 01000, Kenya"/>
    <s v="-1.02275 , 37.06793"/>
    <s v="-1.0229 , 37.0678"/>
    <n v="0"/>
    <n v="1"/>
  </r>
  <r>
    <x v="2"/>
    <x v="35"/>
    <x v="36"/>
    <x v="2"/>
    <d v="2025-01-25T13:26:28"/>
    <s v="Sat"/>
    <n v="2025"/>
    <x v="10"/>
    <x v="44"/>
    <d v="2025-01-25T13:27:28"/>
    <n v="92"/>
    <s v="km/h"/>
    <s v="00:00:59"/>
    <n v="0.98333333333333328"/>
    <m/>
    <m/>
    <s v="Mombasa Road, Mua ward, Machakos Town, Machakos County, KE"/>
    <s v="Mombasa Road, Mua ward, Machakos Town, Machakos County, KE"/>
    <s v="-1.5814, 37.1575"/>
    <s v="-1.5933, 37.1633"/>
    <n v="1.5"/>
    <n v="1"/>
  </r>
  <r>
    <x v="1"/>
    <x v="185"/>
    <x v="131"/>
    <x v="2"/>
    <d v="2025-01-25T12:48:23"/>
    <s v="Sat"/>
    <n v="2025"/>
    <x v="10"/>
    <x v="44"/>
    <d v="2025-01-25T12:48:28"/>
    <n v="81"/>
    <s v="km/h"/>
    <s v="00:00:05"/>
    <n v="8.3333333333333329E-2"/>
    <s v="Kwale"/>
    <s v="Kwale"/>
    <s v="Mombasa Road, Samburu/Chengoni ward, Kinango, Kwale, Kenya"/>
    <s v="Mombasa Road, Samburu/Chengoni ward, Kinango, Kwale, Kenya"/>
    <s v="-3.79467 , 39.29661"/>
    <s v="-3.7945 , 39.29772"/>
    <n v="9.4E-2"/>
    <n v="1"/>
  </r>
  <r>
    <x v="1"/>
    <x v="185"/>
    <x v="131"/>
    <x v="2"/>
    <d v="2025-01-25T12:31:02"/>
    <s v="Sat"/>
    <n v="2025"/>
    <x v="10"/>
    <x v="44"/>
    <d v="2025-01-25T12:31:11"/>
    <n v="83"/>
    <s v="km/h"/>
    <s v="00:00:09"/>
    <n v="0.15"/>
    <s v="Kwale"/>
    <s v="Kwale"/>
    <s v="Mombasa Road, Mackinon Road ward, Kinango, Kwale, Kenya"/>
    <s v="Mombasa Road, Mackinon Road ward, Kinango, Kwale, Kenya"/>
    <s v="-3.76342 , 39.17244"/>
    <s v="-3.764 , 39.17428"/>
    <n v="0.188"/>
    <n v="1"/>
  </r>
  <r>
    <x v="2"/>
    <x v="226"/>
    <x v="264"/>
    <x v="2"/>
    <d v="2025-01-25T08:35:59"/>
    <s v="Sat"/>
    <n v="2025"/>
    <x v="10"/>
    <x v="44"/>
    <d v="2025-01-25T08:37:04"/>
    <n v="86"/>
    <s v="km/h"/>
    <s v="00:01:04"/>
    <n v="1.0666666666666667"/>
    <m/>
    <m/>
    <s v="Nairobi-Nakuru Road, Uplands, Lari/Kirenya ward, Lari, Kiambu, 00221, KE"/>
    <s v="Nairobi-Nakuru Road, Uplands, Lari/Kirenya ward, Lari, Kiambu, 00221, KE"/>
    <s v="-1.0429, 36.6284"/>
    <s v="-1.0288, 36.6238"/>
    <n v="1.6"/>
    <n v="1"/>
  </r>
  <r>
    <x v="2"/>
    <x v="216"/>
    <x v="251"/>
    <x v="2"/>
    <d v="2025-01-25T08:14:47"/>
    <s v="Sat"/>
    <n v="2025"/>
    <x v="10"/>
    <x v="44"/>
    <d v="2025-01-25T08:15:27"/>
    <n v="88"/>
    <s v="km/h"/>
    <s v="00:00:39"/>
    <n v="0.65"/>
    <m/>
    <m/>
    <s v="A12, Londiani Junction, Kedowa/Kimugul ward, Kipkelion East, Kericho County, Rift Valley, KE"/>
    <s v="A12, Londiani Junction, Kedowa/Kimugul ward, Kipkelion East, Kericho County, Rift Valley, KE"/>
    <s v="-0.1684, 35.6633"/>
    <s v="-0.1679, 35.6539"/>
    <n v="1"/>
    <n v="1"/>
  </r>
  <r>
    <x v="2"/>
    <x v="221"/>
    <x v="258"/>
    <x v="2"/>
    <d v="2025-01-24T21:03:48"/>
    <s v="Fri"/>
    <n v="2025"/>
    <x v="10"/>
    <x v="44"/>
    <d v="2025-01-24T21:04:36"/>
    <n v="95"/>
    <s v="km/h"/>
    <s v="00:00:47"/>
    <n v="0.78333333333333333"/>
    <m/>
    <m/>
    <s v="Eldoret-Malaba Road, Gatimu sublocation, Sigona ward, Kikuyu, Kiambu, 00217, KE"/>
    <s v="Eldoret-Malaba Road, Gatimu sublocation, Sigona ward, Kikuyu, Kiambu, 00217, KE"/>
    <s v="-1.1765, 36.6426"/>
    <s v="-1.1866, 36.6474"/>
    <n v="1.2"/>
    <n v="1"/>
  </r>
  <r>
    <x v="1"/>
    <x v="185"/>
    <x v="131"/>
    <x v="2"/>
    <d v="2025-01-24T17:40:31"/>
    <s v="Fri"/>
    <n v="2025"/>
    <x v="10"/>
    <x v="44"/>
    <d v="2025-01-24T17:40:33"/>
    <n v="81"/>
    <s v="km/h"/>
    <s v="00:00:02"/>
    <n v="3.3333333333333333E-2"/>
    <s v="Makueni"/>
    <s v="Makueni"/>
    <s v="Mombasa Road, Ngokomi, Kilome, Makueni, Eastern, Kenya"/>
    <s v="Mombasa Road, Ngokomi, Kilome, Makueni, Eastern, Kenya"/>
    <s v="-1.96183 , 37.31489"/>
    <s v="-1.96225 , 37.31528"/>
    <n v="0"/>
    <n v="1"/>
  </r>
  <r>
    <x v="1"/>
    <x v="185"/>
    <x v="131"/>
    <x v="2"/>
    <d v="2025-01-24T17:32:11"/>
    <s v="Fri"/>
    <n v="2025"/>
    <x v="10"/>
    <x v="44"/>
    <d v="2025-01-24T17:32:14"/>
    <n v="82"/>
    <s v="km/h"/>
    <s v="00:00:03"/>
    <n v="0.05"/>
    <s v="Makueni"/>
    <s v="Makueni"/>
    <s v="Mombasa Road, Salama, Kilome, Makueni, Eastern, Kenya"/>
    <s v="Mombasa Road, Salama, Kilome, Makueni, Eastern, Kenya"/>
    <s v="-1.90261 , 37.27475"/>
    <s v="-1.90325 , 37.27517"/>
    <n v="9.4E-2"/>
    <n v="1"/>
  </r>
  <r>
    <x v="1"/>
    <x v="185"/>
    <x v="131"/>
    <x v="2"/>
    <d v="2025-01-24T17:20:59"/>
    <s v="Fri"/>
    <n v="2025"/>
    <x v="10"/>
    <x v="44"/>
    <d v="2025-01-24T17:21:15"/>
    <n v="84"/>
    <s v="km/h"/>
    <s v="00:00:16"/>
    <n v="0.26666666666666666"/>
    <s v="Makueni"/>
    <s v="Makueni"/>
    <s v="Mombasa Road, Salama, Kilome, Makueni, Eastern, Kenya"/>
    <s v="Mombasa Road, Salama, Kilome, Makueni, Eastern, Kenya"/>
    <s v="-1.823 , 37.23961"/>
    <s v="-1.82592 , 37.24106"/>
    <n v="0.40600000000000003"/>
    <n v="1"/>
  </r>
  <r>
    <x v="1"/>
    <x v="185"/>
    <x v="131"/>
    <x v="2"/>
    <d v="2025-01-24T14:43:55"/>
    <s v="Fri"/>
    <n v="2025"/>
    <x v="10"/>
    <x v="44"/>
    <d v="2025-01-24T14:43:57"/>
    <n v="81"/>
    <s v="km/h"/>
    <s v="00:00:02"/>
    <n v="3.3333333333333333E-2"/>
    <s v="Machakos"/>
    <s v="Machakos"/>
    <s v="Mombasa Road, South C ward, Mlolongo, Matathani ward, Mavoko, Machakos, Eastern, 00603, Kenya"/>
    <s v="Mombasa Road, South C ward, Mlolongo, Matathani ward, Mavoko, Machakos, Eastern, 00603, Kenya"/>
    <s v="-1.41783 , 36.95283"/>
    <s v="-1.41833 , 36.95308"/>
    <n v="0"/>
    <n v="1"/>
  </r>
  <r>
    <x v="1"/>
    <x v="185"/>
    <x v="131"/>
    <x v="2"/>
    <d v="2025-01-24T14:43:31"/>
    <s v="Fri"/>
    <n v="2025"/>
    <x v="10"/>
    <x v="44"/>
    <d v="2025-01-24T14:43:31"/>
    <n v="81"/>
    <s v="km/h"/>
    <s v="00:00:00"/>
    <n v="0"/>
    <s v="Machakos"/>
    <s v="Machakos"/>
    <s v="Mombasa Road, South C ward, Mlolongo, Matathani ward, Mavoko, Machakos, Eastern, 00603, Kenya"/>
    <s v="Mombasa Road, South C ward, Mlolongo, Matathani ward, Mavoko, Machakos, Eastern, 00603, Kenya"/>
    <s v="-1.41389 , 36.95069"/>
    <s v="-1.41389 , 36.95069"/>
    <n v="9.4E-2"/>
    <n v="1"/>
  </r>
  <r>
    <x v="2"/>
    <x v="4"/>
    <x v="4"/>
    <x v="2"/>
    <d v="2025-01-24T07:58:52"/>
    <s v="Fri"/>
    <n v="2025"/>
    <x v="10"/>
    <x v="44"/>
    <d v="2025-01-24T07:59:52"/>
    <n v="92"/>
    <s v="km/h"/>
    <s v="00:01:00"/>
    <n v="1"/>
    <m/>
    <m/>
    <s v="Mombasa Road, Mua ward, Machakos Town, Machakos County, KE"/>
    <s v="Mombasa Road, Mua ward, Machakos Town, Machakos County, KE"/>
    <s v="-1.5801, 37.1569"/>
    <s v="-1.5918, 37.1626"/>
    <n v="1.4"/>
    <n v="1"/>
  </r>
  <r>
    <x v="1"/>
    <x v="53"/>
    <x v="56"/>
    <x v="1"/>
    <d v="2025-01-24T06:58:09"/>
    <s v="Fri"/>
    <n v="2025"/>
    <x v="10"/>
    <x v="44"/>
    <d v="2025-01-24T06:58:19"/>
    <n v="76"/>
    <s v="km/h"/>
    <s v="00:00:10"/>
    <n v="0.16666666666666666"/>
    <s v="Siaya"/>
    <s v="Siaya"/>
    <s v="Kisumu-Busia Road, Got Nanga, North Ugenya ward, Ugenya, Siaya, Kenya"/>
    <s v="Kisumu-Busia Road, Got Nanga, North Ugenya ward, Ugenya, Siaya, Kenya"/>
    <s v="0.23325 , 34.24214"/>
    <s v="0.23481 , 34.24108"/>
    <n v="0.25"/>
    <n v="1"/>
  </r>
  <r>
    <x v="2"/>
    <x v="41"/>
    <x v="42"/>
    <x v="2"/>
    <d v="2025-01-22T10:05:40"/>
    <s v="Wed"/>
    <n v="2025"/>
    <x v="10"/>
    <x v="44"/>
    <d v="2025-01-22T10:06:14"/>
    <n v="88"/>
    <s v="km/h"/>
    <s v="00:00:34"/>
    <n v="0.56666666666666665"/>
    <m/>
    <m/>
    <s v="Eburu sublocation, Mbaruk/Eburu ward, Gilgil, Nakuru, Rift Valley, 20116, KE"/>
    <s v="Nairobi-Nakuru Road, Eburu sublocation, Ol - Mbegi, Gilgil ward, Gilgil, Nakuru, Rift Valley, KE"/>
    <s v="-0.5432, 36.3399"/>
    <s v="-0.5487, 36.3462"/>
    <n v="0.9"/>
    <n v="1"/>
  </r>
  <r>
    <x v="1"/>
    <x v="215"/>
    <x v="257"/>
    <x v="2"/>
    <d v="2025-01-21T09:31:15"/>
    <s v="Tue"/>
    <n v="2025"/>
    <x v="10"/>
    <x v="44"/>
    <d v="2025-01-21T09:31:17"/>
    <n v="82"/>
    <s v="km/h"/>
    <s v="00:00:02"/>
    <n v="3.3333333333333333E-2"/>
    <s v="Kericho"/>
    <s v="Kericho"/>
    <s v="Kericho-Kisumu Highway, Londiani Junction, Chepseon, Chepseon ward, Kipkelion East, Kericho, Rift Valley, 20200, Kenya"/>
    <s v="Kericho-Kisumu Highway, Londiani Junction, Chepseon, Chepseon ward, Kipkelion East, Kericho, Rift Valley, 20200, Kenya"/>
    <s v="-0.26634 , 35.448"/>
    <s v="-0.2663 , 35.44863"/>
    <n v="6.2E-2"/>
    <n v="1"/>
  </r>
  <r>
    <x v="3"/>
    <x v="45"/>
    <x v="46"/>
    <x v="0"/>
    <d v="2025-01-20T23:00:00"/>
    <s v="Mon"/>
    <n v="2025"/>
    <x v="10"/>
    <x v="44"/>
    <d v="2025-01-20T23:05:59"/>
    <n v="15.6"/>
    <s v="km"/>
    <s v="00:05:59"/>
    <n v="5.9833333333333334"/>
    <s v="Nakuru"/>
    <s v="Nakuru"/>
    <s v="Longonot sublocation, Longonot, Mai Mahiu ward, Naivasha, Nakuru, Rift Valley, Kenya"/>
    <s v="Longonot sublocation, Longonot, Mai Mahiu ward, Naivasha, Nakuru, Rift Valley, Kenya"/>
    <s v="-0.88464 , 36.49782"/>
    <s v="-0.88409 , 36.49711"/>
    <n v="9.4E-2"/>
    <n v="1"/>
  </r>
  <r>
    <x v="2"/>
    <x v="201"/>
    <x v="236"/>
    <x v="2"/>
    <d v="2025-01-20T12:35:34"/>
    <s v="Mon"/>
    <n v="2025"/>
    <x v="10"/>
    <x v="44"/>
    <d v="2025-01-20T12:36:11"/>
    <n v="88"/>
    <s v="km/h"/>
    <s v="00:00:36"/>
    <n v="0.6"/>
    <m/>
    <m/>
    <s v="Mombasa Road, Kinanie ward, Mavoko, Machakos County, KE"/>
    <s v="Mombasa Road, Kinanie ward, Mavoko, Machakos County, KE"/>
    <s v="-1.4724, 37.0293"/>
    <s v="-1.4683, 37.0219"/>
    <n v="0.9"/>
    <n v="1"/>
  </r>
  <r>
    <x v="3"/>
    <x v="6"/>
    <x v="6"/>
    <x v="1"/>
    <d v="2025-01-19T20:25:39"/>
    <s v="Sun"/>
    <n v="2025"/>
    <x v="10"/>
    <x v="44"/>
    <d v="2025-01-19T20:25:59"/>
    <n v="36"/>
    <s v="km/h"/>
    <s v="00:00:20"/>
    <n v="0.33333333333333331"/>
    <s v="Nakuru"/>
    <s v="Nakuru"/>
    <s v="Naivasha-Mai Mahiu-Limuru Road, Longonot sublocation, Jikaze, Mai Mahiu ward, Naivasha, Nakuru, Rift Valley, 00221, Kenya"/>
    <s v="Naivasha-Mai Mahiu-Limuru Road, Longonot sublocation, Jikaze, Mai Mahiu ward, Naivasha, Nakuru, Rift Valley, 00221, Kenya"/>
    <s v="-0.91322 , 36.5197"/>
    <s v="-0.91461 , 36.52075"/>
    <n v="0.188"/>
    <n v="1"/>
  </r>
  <r>
    <x v="1"/>
    <x v="185"/>
    <x v="265"/>
    <x v="2"/>
    <d v="2025-01-19T19:27:42"/>
    <s v="Sun"/>
    <n v="2025"/>
    <x v="10"/>
    <x v="44"/>
    <d v="2025-01-19T19:27:43"/>
    <n v="82"/>
    <s v="km/h"/>
    <s v="00:00:01"/>
    <n v="1.6666666666666666E-2"/>
    <s v="Nairobi"/>
    <s v="Nairobi"/>
    <s v="DHL-Kasarani"/>
    <s v="DHL-Kasarani"/>
    <s v="-1.22386 , 36.88706"/>
    <s v="-1.22361 , 36.88733"/>
    <n v="0.125"/>
    <n v="1"/>
  </r>
  <r>
    <x v="3"/>
    <x v="5"/>
    <x v="5"/>
    <x v="1"/>
    <d v="2025-01-19T15:35:34"/>
    <s v="Sun"/>
    <n v="2025"/>
    <x v="10"/>
    <x v="44"/>
    <d v="2025-01-19T15:35:42"/>
    <n v="41"/>
    <s v="km/h"/>
    <s v="00:00:08"/>
    <n v="0.13333333333333333"/>
    <s v="Kiambu"/>
    <s v="Kiambu"/>
    <s v="Limuru Road, Redhill, Kabuku, Ndenderu ward, Kiambaa, Kiambu, Central Kenya, 00217, Kenya"/>
    <s v="Limuru Road, Redhill, Kabuku, Ndenderu ward, Kiambaa, Kiambu, Central Kenya, 00217, Kenya"/>
    <s v="-1.17841 , 36.72311"/>
    <s v="-1.17884 , 36.72377"/>
    <n v="9.4E-2"/>
    <n v="1"/>
  </r>
  <r>
    <x v="2"/>
    <x v="4"/>
    <x v="4"/>
    <x v="2"/>
    <d v="2025-01-19T12:07:18"/>
    <s v="Sun"/>
    <n v="2025"/>
    <x v="10"/>
    <x v="44"/>
    <d v="2025-01-19T12:07:55"/>
    <n v="94"/>
    <s v="km/h"/>
    <s v="00:00:37"/>
    <n v="0.6166666666666667"/>
    <m/>
    <m/>
    <s v="Limuru Road, Redhill, Kabuku, Ngecha Tigoni ward, Limuru, Kiambu, 00217, KE"/>
    <s v="Limuru Road, Redhill, Kabuku, Ngecha Tigoni ward, Limuru, Kiambu, 00217, KE"/>
    <s v="-1.1341, 36.6560"/>
    <s v="-1.1412, 36.6607"/>
    <n v="0.9"/>
    <n v="1"/>
  </r>
  <r>
    <x v="1"/>
    <x v="187"/>
    <x v="216"/>
    <x v="2"/>
    <d v="2025-01-19T10:02:19"/>
    <s v="Sun"/>
    <n v="2025"/>
    <x v="10"/>
    <x v="44"/>
    <d v="2025-01-19T10:02:20"/>
    <n v="81"/>
    <s v="km/h"/>
    <s v="00:00:01"/>
    <n v="1.6666666666666666E-2"/>
    <s v="Kericho"/>
    <s v="Kericho"/>
    <s v="Kericho-Kisumu Highway, Kaitui, Soliat ward, Sigowet/Soin, Kericho, Rift Valley, Kenya"/>
    <s v="Kericho-Kisumu Highway, Kaitui, Soliat ward, Sigowet/Soin, Kericho, Rift Valley, Kenya"/>
    <s v="-0.29001 , 35.16362"/>
    <s v="-0.28982 , 35.16359"/>
    <n v="0"/>
    <n v="1"/>
  </r>
  <r>
    <x v="1"/>
    <x v="187"/>
    <x v="216"/>
    <x v="2"/>
    <d v="2025-01-19T08:27:38"/>
    <s v="Sun"/>
    <n v="2025"/>
    <x v="10"/>
    <x v="44"/>
    <d v="2025-01-19T08:27:45"/>
    <n v="87"/>
    <s v="km/h"/>
    <s v="00:00:07"/>
    <n v="0.11666666666666667"/>
    <s v="Kericho"/>
    <s v="Kericho"/>
    <s v="Kericho-Kisumu Highway, Londiani Junction, Chepseon, Kedowa/Kimugul ward, Kipkelion East, Kericho, Rift Valley, 20200, Kenya"/>
    <s v="Kericho-Kisumu Highway, Londiani Junction, Chepseon, Kedowa/Kimugul ward, Kipkelion East, Kericho, Rift Valley, 20200, Kenya"/>
    <s v="-0.20604 , 35.5887"/>
    <s v="-0.2076 , 35.58796"/>
    <n v="0.125"/>
    <n v="1"/>
  </r>
  <r>
    <x v="2"/>
    <x v="4"/>
    <x v="4"/>
    <x v="2"/>
    <d v="2025-01-18T16:18:03"/>
    <s v="Sat"/>
    <n v="2025"/>
    <x v="10"/>
    <x v="45"/>
    <d v="2025-01-18T16:18:53"/>
    <n v="100"/>
    <s v="km/h"/>
    <s v="00:00:50"/>
    <n v="0.83333333333333337"/>
    <m/>
    <m/>
    <s v="Equator sign, Nakuru - Eldoret Road, Tendeno/Sorget ward, Kipkelion East, Kericho County, Rift Valley, KE"/>
    <s v="Nakuru - Eldoret Road, Equator, Eldama Ravine, Baringo, Rift Valley, KE"/>
    <s v="0.0026, 35.5324"/>
    <s v="-0.0054, 35.5404"/>
    <n v="1.3"/>
    <n v="1"/>
  </r>
  <r>
    <x v="3"/>
    <x v="6"/>
    <x v="6"/>
    <x v="1"/>
    <d v="2025-01-18T13:53:48"/>
    <s v="Sat"/>
    <n v="2025"/>
    <x v="10"/>
    <x v="45"/>
    <d v="2025-01-18T13:53:49"/>
    <n v="35"/>
    <s v="km/h"/>
    <s v="00:00:01"/>
    <n v="1.6666666666666666E-2"/>
    <s v="Nakuru"/>
    <s v="Nakuru"/>
    <s v="Naivasha-Mai Mahiu-Limuru Rd., Lower Unity, Lake View ward, Naivasha, Nakuru, Rift Valley, Kenya"/>
    <s v="Naivasha-Mai Mahiu-Limuru Rd., Lower Unity, Lake View ward, Naivasha, Nakuru, Rift Valley, Kenya"/>
    <s v="-0.76993 , 36.44941"/>
    <s v="-0.76988 , 36.44935"/>
    <n v="0.125"/>
    <n v="1"/>
  </r>
  <r>
    <x v="2"/>
    <x v="212"/>
    <x v="246"/>
    <x v="2"/>
    <d v="2025-01-17T08:29:38"/>
    <s v="Fri"/>
    <n v="2025"/>
    <x v="10"/>
    <x v="45"/>
    <d v="2025-01-17T08:30:15"/>
    <n v="103"/>
    <s v="km/h"/>
    <s v="00:00:37"/>
    <n v="0.6166666666666667"/>
    <m/>
    <m/>
    <s v="Kimachia Road, Rwenu, Ndenderu, Ndenderu ward, Kiambaa, Kiambu, 11403, KE"/>
    <s v="Gitaru Road, Rwenu, Ndenderu, Ndenderu ward, Kiambaa, Kiambu, 11403, KE"/>
    <s v="-1.1942, 36.7328"/>
    <s v="-1.1946, 36.7421"/>
    <n v="1"/>
    <n v="1"/>
  </r>
  <r>
    <x v="3"/>
    <x v="5"/>
    <x v="5"/>
    <x v="0"/>
    <d v="2025-01-16T23:00:00"/>
    <s v="Thu"/>
    <n v="2025"/>
    <x v="10"/>
    <x v="45"/>
    <d v="2025-01-16T23:07:04"/>
    <n v="63.3"/>
    <s v="km"/>
    <s v="00:07:04"/>
    <n v="7.0666666666666664"/>
    <s v="Kericho"/>
    <s v="Kericho"/>
    <s v="Muhoroni-Fort Ternan-Londiani Rd., Fort Ternan, Chilchila ward, Kipkelion West, Kericho, Rift Valley, Kenya"/>
    <s v="Muhoroni-Fort Ternan-Londiani Rd., Fort Ternan, Chilchila ward, Kipkelion West, Kericho, Rift Valley, Kenya"/>
    <s v="-0.22505 , 35.36026"/>
    <s v="-0.22471 , 35.36361"/>
    <n v="0.40600000000000003"/>
    <n v="1"/>
  </r>
  <r>
    <x v="1"/>
    <x v="215"/>
    <x v="257"/>
    <x v="2"/>
    <d v="2025-01-16T17:59:26"/>
    <s v="Thu"/>
    <n v="2025"/>
    <x v="10"/>
    <x v="45"/>
    <d v="2025-01-16T17:59:28"/>
    <n v="84"/>
    <s v="km/h"/>
    <s v="00:00:02"/>
    <n v="3.3333333333333333E-2"/>
    <s v="Kirinyaga"/>
    <s v="Kirinyaga"/>
    <s v="Embu-Nairobi Highway, Mutithi, Mwea West, Kirinyaga, Central Kenya, Kenya"/>
    <s v="Embu-Nairobi Highway, Mutithi, Mwea West, Kirinyaga, Central Kenya, Kenya"/>
    <s v="-0.74089 , 37.32594"/>
    <s v="-0.74145 , 37.3256"/>
    <n v="0.125"/>
    <n v="1"/>
  </r>
  <r>
    <x v="2"/>
    <x v="3"/>
    <x v="3"/>
    <x v="2"/>
    <d v="2025-01-16T17:01:42"/>
    <s v="Thu"/>
    <n v="2025"/>
    <x v="10"/>
    <x v="45"/>
    <d v="2025-01-16T17:02:42"/>
    <n v="93"/>
    <s v="km/h"/>
    <s v="00:01:00"/>
    <n v="1"/>
    <m/>
    <m/>
    <s v="Mombasa Road, Mua ward, Machakos Town, Machakos County, KE"/>
    <s v="Mombasa Road, Mua ward, Machakos Town, Machakos County, KE"/>
    <s v="-1.5790, 37.1563"/>
    <s v="-1.5913, 37.1623"/>
    <n v="1.5"/>
    <n v="1"/>
  </r>
  <r>
    <x v="2"/>
    <x v="227"/>
    <x v="266"/>
    <x v="2"/>
    <d v="2025-01-16T10:30:19"/>
    <s v="Thu"/>
    <n v="2025"/>
    <x v="10"/>
    <x v="45"/>
    <d v="2025-01-16T10:31:14"/>
    <n v="88"/>
    <s v="km/h"/>
    <s v="00:00:55"/>
    <n v="0.91666666666666663"/>
    <m/>
    <m/>
    <s v="Thika Road, Witeithie ward, Juja, Kiambu, 01000, KE"/>
    <s v="Thika Road, Witeithie ward, Juja, Kiambu, 01001, KE"/>
    <s v="-1.0797, 37.0438"/>
    <s v="-1.0892, 37.0357"/>
    <n v="1.4"/>
    <n v="1"/>
  </r>
  <r>
    <x v="2"/>
    <x v="228"/>
    <x v="267"/>
    <x v="2"/>
    <d v="2025-01-15T23:08:46"/>
    <s v="Wed"/>
    <n v="2025"/>
    <x v="10"/>
    <x v="45"/>
    <d v="2025-01-15T23:09:01"/>
    <n v="85"/>
    <s v="km/h"/>
    <s v="00:00:15"/>
    <n v="0.25"/>
    <m/>
    <m/>
    <s v="Limuru Road, Redhill, Kabuku, Ngecha Tigoni ward, Limuru, Kiambu, 00217, KE"/>
    <s v="Limuru Road, Redhill, Kabuku, Ngecha Tigoni ward, Limuru, Kiambu, 00217, KE"/>
    <s v="-1.1385, 36.6596"/>
    <s v="-1.1423, 36.6612"/>
    <n v="0.5"/>
    <n v="1"/>
  </r>
  <r>
    <x v="3"/>
    <x v="97"/>
    <x v="101"/>
    <x v="0"/>
    <d v="2025-01-15T23:00:00"/>
    <s v="Wed"/>
    <n v="2025"/>
    <x v="10"/>
    <x v="45"/>
    <d v="2025-01-15T23:21:53"/>
    <n v="31.5"/>
    <s v="km"/>
    <s v="00:21:53"/>
    <n v="21.883333333333333"/>
    <s v="Nairobi"/>
    <s v="Kiambu"/>
    <s v="Waiyaki Way, Loresho sublocation, Kitisuru location, Uthiru ward, Kangemi division, Kabete, Kiambu, Central Kenya, 00505, Kenya"/>
    <s v="A8;R2, Zambezi, Sigona ward, Kikuyu, Kiambu, Central Kenya, 12345, Kenya"/>
    <s v="-1.26028 , 36.72157"/>
    <s v="-1.22638 , 36.66376"/>
    <n v="8"/>
    <n v="1"/>
  </r>
  <r>
    <x v="0"/>
    <x v="105"/>
    <x v="112"/>
    <x v="3"/>
    <d v="2025-01-15T13:49:58"/>
    <s v="Wed"/>
    <n v="2025"/>
    <x v="10"/>
    <x v="45"/>
    <d v="2025-01-15T13:49:59"/>
    <n v="24"/>
    <s v="km/h/s"/>
    <s v="00:00:01"/>
    <n v="1.6666666666666666E-2"/>
    <s v="Makueni"/>
    <m/>
    <s v="Mombasa Road, Salama, Kilome, Makueni, Eastern, Kenya"/>
    <m/>
    <s v="-1.83266 , 37.25264"/>
    <m/>
    <n v="0"/>
    <n v="1"/>
  </r>
  <r>
    <x v="2"/>
    <x v="229"/>
    <x v="268"/>
    <x v="2"/>
    <d v="2025-01-15T01:34:29"/>
    <s v="Wed"/>
    <n v="2025"/>
    <x v="10"/>
    <x v="45"/>
    <d v="2025-01-15T01:35:18"/>
    <n v="95"/>
    <s v="km/h"/>
    <s v="00:00:48"/>
    <n v="0.8"/>
    <m/>
    <m/>
    <s v="Biashara ward, Ruiru, Kiambu, KE"/>
    <s v="Eastern Bypass, Biashara ward, Ruiru, Kiambu, KE"/>
    <s v="-1.1628, 36.9503"/>
    <s v="-1.1595, 36.9400"/>
    <n v="1.2"/>
    <n v="1"/>
  </r>
  <r>
    <x v="2"/>
    <x v="148"/>
    <x v="168"/>
    <x v="2"/>
    <d v="2025-01-15T01:14:51"/>
    <s v="Wed"/>
    <n v="2025"/>
    <x v="10"/>
    <x v="45"/>
    <d v="2025-01-15T01:15:06"/>
    <n v="84"/>
    <s v="km/h"/>
    <s v="00:00:15"/>
    <n v="0.25"/>
    <m/>
    <m/>
    <s v="Thika Road, Zimmerman, Zimmerman ward, Kasarani, Nairobi County, 00608, KE"/>
    <s v="Thika Road, Zimmerman, Zimmerman ward, Kasarani, Nairobi County, 00608, KE"/>
    <s v="-1.2123, 36.9032"/>
    <s v="-1.2110, 36.9072"/>
    <n v="0.5"/>
    <n v="1"/>
  </r>
  <r>
    <x v="1"/>
    <x v="116"/>
    <x v="189"/>
    <x v="0"/>
    <d v="2025-01-14T23:59:38"/>
    <s v="Tue"/>
    <n v="2025"/>
    <x v="10"/>
    <x v="45"/>
    <d v="2025-01-15T00:27:43"/>
    <n v="10.6"/>
    <s v="km"/>
    <s v="00:28:05"/>
    <n v="28.083333333333332"/>
    <s v="Nairobi"/>
    <s v="Nairobi"/>
    <s v="Nairobi, Njiru, Nairobi, 00520, Kenya"/>
    <s v="DHL KASARANI"/>
    <s v="-1.27931 , 36.96664"/>
    <s v="-1.22328 , 36.91092"/>
    <n v="10.438000000000001"/>
    <n v="1"/>
  </r>
  <r>
    <x v="1"/>
    <x v="116"/>
    <x v="189"/>
    <x v="0"/>
    <d v="2025-01-14T23:00:01"/>
    <s v="Tue"/>
    <n v="2025"/>
    <x v="10"/>
    <x v="45"/>
    <d v="2025-01-14T23:58:57"/>
    <n v="62.3"/>
    <s v="km"/>
    <s v="00:58:56"/>
    <n v="58.93333333333333"/>
    <s v="Machakos"/>
    <s v="Nairobi"/>
    <s v="Mombasa Road, Kinanie ward, Mavoko, Machakos, Eastern, Kenya"/>
    <s v="Nairobi, Njiru, Nairobi, 00520, Kenya"/>
    <s v="-1.47378 , 37.03192"/>
    <s v="-1.28022 , 36.96456"/>
    <n v="27.375"/>
    <n v="1"/>
  </r>
  <r>
    <x v="2"/>
    <x v="23"/>
    <x v="24"/>
    <x v="2"/>
    <d v="2025-01-14T12:24:32"/>
    <s v="Tue"/>
    <n v="2025"/>
    <x v="10"/>
    <x v="45"/>
    <d v="2025-01-14T12:25:39"/>
    <n v="91"/>
    <s v="km/h"/>
    <s v="00:01:06"/>
    <n v="1.1000000000000001"/>
    <m/>
    <m/>
    <s v="Mombasa Road, Mua ward, Machakos Town, Machakos County, KE"/>
    <s v="Mombasa Road, Mua ward, Machakos Town, Machakos County, KE"/>
    <s v="-1.5800, 37.1568"/>
    <s v="-1.5938, 37.1635"/>
    <n v="1.7"/>
    <n v="1"/>
  </r>
  <r>
    <x v="2"/>
    <x v="20"/>
    <x v="21"/>
    <x v="2"/>
    <d v="2025-01-14T11:07:15"/>
    <s v="Tue"/>
    <n v="2025"/>
    <x v="10"/>
    <x v="45"/>
    <d v="2025-01-14T11:08:22"/>
    <n v="95"/>
    <s v="km/h"/>
    <s v="00:01:06"/>
    <n v="1.1000000000000001"/>
    <m/>
    <m/>
    <s v="Fish Safi Restaurant, Thika Road, Zimmerman, Nairobi, Kasarani, Nairobi County, 00608, KE"/>
    <s v="Thika Road, Githurai, Kasarani, Nairobi County, 00608, KE"/>
    <s v="-1.2129, 36.9011"/>
    <s v="-1.2060, 36.9148"/>
    <n v="1.7"/>
    <n v="1"/>
  </r>
  <r>
    <x v="1"/>
    <x v="215"/>
    <x v="257"/>
    <x v="2"/>
    <d v="2025-01-14T11:00:44"/>
    <s v="Tue"/>
    <n v="2025"/>
    <x v="10"/>
    <x v="45"/>
    <d v="2025-01-14T11:00:47"/>
    <n v="81"/>
    <s v="km/h"/>
    <s v="00:00:03"/>
    <n v="0.05"/>
    <s v="Machakos"/>
    <s v="Machakos"/>
    <s v="Embu-Nairobi Highway, Manaja ward, Masinga, Machakos, Eastern, Kenya"/>
    <s v="Embu-Nairobi Highway, Manaja ward, Masinga, Machakos, Eastern, Kenya"/>
    <s v="-0.84506 , 37.2324"/>
    <s v="-0.84422 , 37.2323"/>
    <n v="0.125"/>
    <n v="1"/>
  </r>
  <r>
    <x v="1"/>
    <x v="215"/>
    <x v="257"/>
    <x v="2"/>
    <d v="2025-01-14T09:36:18"/>
    <s v="Tue"/>
    <n v="2025"/>
    <x v="10"/>
    <x v="45"/>
    <d v="2025-01-14T09:36:24"/>
    <n v="88"/>
    <s v="km/h"/>
    <s v="00:00:06"/>
    <n v="0.1"/>
    <s v="Nairobi"/>
    <s v="Nairobi"/>
    <s v="Thika Road, Zimmerman, Nairobi, Kasarani, Nairobi, 00608, Kenya"/>
    <s v="Thika Road, Zimmerman, Nairobi, Kasarani, Nairobi, 00608, Kenya"/>
    <s v="-1.21309 , 36.90051"/>
    <s v="-1.21267 , 36.90179"/>
    <n v="0.188"/>
    <n v="1"/>
  </r>
  <r>
    <x v="1"/>
    <x v="116"/>
    <x v="189"/>
    <x v="0"/>
    <d v="2025-01-13T23:22:18"/>
    <s v="Mon"/>
    <n v="2025"/>
    <x v="10"/>
    <x v="45"/>
    <d v="2025-01-14T00:28:20"/>
    <n v="18.399999999999999"/>
    <s v="km"/>
    <s v="01:06:02"/>
    <n v="66.033333333333331"/>
    <s v="Kilifi"/>
    <s v="Mombasa"/>
    <s v="Malindi Road, Mtwapa, Shimo La Tewa ward, Kilifi South, Kilifi, Coastal Kenya, Kenya"/>
    <s v="Mombasa Road, Kipevu ward, Mombasa, Mikindani ward, Jomvu, Mombasa, Coast, 80100, Kenya"/>
    <s v="-3.94092 , 39.74472"/>
    <s v="-4.02556 , 39.63375"/>
    <n v="18.187999999999999"/>
    <n v="1"/>
  </r>
  <r>
    <x v="3"/>
    <x v="15"/>
    <x v="16"/>
    <x v="3"/>
    <d v="2025-01-13T19:57:49"/>
    <s v="Mon"/>
    <n v="2025"/>
    <x v="10"/>
    <x v="45"/>
    <d v="2025-01-13T19:57:50"/>
    <n v="17"/>
    <s v="km/h/s"/>
    <s v="00:00:01"/>
    <n v="1.6666666666666666E-2"/>
    <s v="Kisumu"/>
    <m/>
    <s v="Kericho-Kisumu Highway, Kochogo North sublocation, Awasi, Awasi/Onjiko ward, Nyando, Kisumu, Nyanza, Kenya"/>
    <m/>
    <s v="-0.15638 , 35.06436"/>
    <m/>
    <n v="0"/>
    <n v="1"/>
  </r>
  <r>
    <x v="2"/>
    <x v="35"/>
    <x v="36"/>
    <x v="2"/>
    <d v="2025-01-13T17:44:43"/>
    <s v="Mon"/>
    <n v="2025"/>
    <x v="10"/>
    <x v="45"/>
    <d v="2025-01-13T17:45:42"/>
    <n v="91"/>
    <s v="km/h"/>
    <s v="00:00:59"/>
    <n v="0.98333333333333328"/>
    <m/>
    <m/>
    <s v="Maanzoni Conservancy, A8, Kinanie ward, Mavoko, Machakos County, KE"/>
    <s v="Maanzoni Conservancy, A8, Kinanie ward, Mavoko, Machakos County, KE"/>
    <s v="-1.5228, 37.1174"/>
    <s v="-1.5156, 37.1061"/>
    <n v="1.5"/>
    <n v="1"/>
  </r>
  <r>
    <x v="1"/>
    <x v="14"/>
    <x v="10"/>
    <x v="1"/>
    <d v="2025-01-13T14:20:46"/>
    <s v="Mon"/>
    <n v="2025"/>
    <x v="10"/>
    <x v="45"/>
    <d v="2025-01-13T14:20:53"/>
    <n v="41"/>
    <s v="km/h"/>
    <s v="00:00:07"/>
    <n v="0.11666666666666667"/>
    <s v="Kiambu"/>
    <s v="Kiambu"/>
    <s v="Thika Road, Biashara ward, Ruiru, Kiambu, Central Kenya, Kenya"/>
    <s v="Thika Road, Biashara ward, Ruiru, Kiambu, Central Kenya, Kenya"/>
    <s v="-1.16572 , 36.95678"/>
    <s v="-1.16642 , 36.95628"/>
    <n v="0.20300000000000001"/>
    <n v="1"/>
  </r>
  <r>
    <x v="1"/>
    <x v="14"/>
    <x v="10"/>
    <x v="1"/>
    <d v="2025-01-13T14:18:49"/>
    <s v="Mon"/>
    <n v="2025"/>
    <x v="10"/>
    <x v="45"/>
    <d v="2025-01-13T14:18:50"/>
    <n v="32"/>
    <s v="km/h"/>
    <s v="00:00:01"/>
    <n v="1.6666666666666666E-2"/>
    <s v="Kiambu"/>
    <s v="Kiambu"/>
    <s v="Thika Road, Kihunguro, Gatongora ward, Ruiru, Kiambu, Central Kenya, 01001, Kenya"/>
    <s v="Thika Road, Kihunguro, Gatongora ward, Ruiru, Kiambu, Central Kenya, 01001, Kenya"/>
    <s v="-1.15914 , 36.95911"/>
    <s v="-1.15931 , 36.95906"/>
    <n v="9.4E-2"/>
    <n v="1"/>
  </r>
  <r>
    <x v="1"/>
    <x v="67"/>
    <x v="248"/>
    <x v="3"/>
    <d v="2025-01-13T11:55:30"/>
    <s v="Mon"/>
    <n v="2025"/>
    <x v="10"/>
    <x v="45"/>
    <d v="2025-01-13T11:55:30"/>
    <n v="18"/>
    <s v="km/h/s"/>
    <s v="00:00:00"/>
    <n v="0"/>
    <s v="Murang'a"/>
    <s v="Murang'a"/>
    <s v="Embu-Nairobi Highway, Kenol, Murang`a South, Murang`a, Central Kenya, Kenya"/>
    <s v="Embu-Nairobi Highway, Kenol, Murang`a South, Murang`a, Central Kenya, Kenya"/>
    <s v="-0.937 , 37.13119"/>
    <s v="-0.937 , 37.13119"/>
    <n v="0"/>
    <n v="1"/>
  </r>
  <r>
    <x v="0"/>
    <x v="59"/>
    <x v="217"/>
    <x v="1"/>
    <d v="2025-01-13T09:55:29"/>
    <s v="Mon"/>
    <n v="2025"/>
    <x v="10"/>
    <x v="45"/>
    <d v="2025-01-13T09:55:33"/>
    <n v="45"/>
    <s v="km/h"/>
    <s v="00:00:04"/>
    <n v="6.6666666666666666E-2"/>
    <s v="Murang'a"/>
    <s v="Murang'a"/>
    <s v="C71, Kenol, Murang`a South, Murang`a, Central Kenya, Kenya"/>
    <s v="C71, Kenol, Murang`a South, Murang`a, Central Kenya, Kenya"/>
    <s v="-0.90127 , 37.12003"/>
    <s v="-0.90085 , 37.11987"/>
    <n v="0"/>
    <n v="1"/>
  </r>
  <r>
    <x v="0"/>
    <x v="59"/>
    <x v="217"/>
    <x v="1"/>
    <d v="2025-01-13T09:13:28"/>
    <s v="Mon"/>
    <n v="2025"/>
    <x v="10"/>
    <x v="45"/>
    <d v="2025-01-13T09:13:31"/>
    <n v="37"/>
    <s v="km/h"/>
    <s v="00:00:03"/>
    <n v="0.05"/>
    <s v="Kiambu"/>
    <s v="Kiambu"/>
    <s v="Thika Road, Kihunguro, Biashara ward, Ruiru, Kiambu, Central Kenya, 01001, Kenya"/>
    <s v="Thika Road, Ruiru, Kiambu, Central Kenya, Kenya"/>
    <s v="-1.16123 , 36.95828"/>
    <s v="-1.16092 , 36.95837"/>
    <n v="0"/>
    <n v="1"/>
  </r>
  <r>
    <x v="0"/>
    <x v="59"/>
    <x v="217"/>
    <x v="1"/>
    <d v="2025-01-13T09:11:25"/>
    <s v="Mon"/>
    <n v="2025"/>
    <x v="10"/>
    <x v="45"/>
    <d v="2025-01-13T09:11:28"/>
    <n v="40"/>
    <s v="km/h"/>
    <s v="00:00:03"/>
    <n v="0.05"/>
    <s v="Kiambu"/>
    <s v="Kiambu"/>
    <s v="Thika Road, Kiwanja, Gatongora ward, Ruiru, Kiambu, Central Kenya, 00608, Kenya"/>
    <s v="Thika Road, Kiwanja, Gatongora ward, Ruiru, Kiambu, Central Kenya, 00608, Kenya"/>
    <s v="-1.17154 , 36.94796"/>
    <s v="-1.17138 , 36.94823"/>
    <n v="0"/>
    <n v="1"/>
  </r>
  <r>
    <x v="2"/>
    <x v="28"/>
    <x v="30"/>
    <x v="2"/>
    <d v="2025-01-12T18:16:43"/>
    <s v="Sun"/>
    <n v="2025"/>
    <x v="10"/>
    <x v="45"/>
    <d v="2025-01-12T18:17:55"/>
    <n v="89"/>
    <s v="km/h"/>
    <s v="00:01:12"/>
    <n v="1.2"/>
    <m/>
    <m/>
    <s v="Kirinyaga West, Kirinyaga County, KE"/>
    <s v="Fruit Market, A2, Sagana, Kirinyaga West, Kirinyaga County, 10101, KE"/>
    <s v="-0.5901, 37.1932"/>
    <s v="-0.6044, 37.2011"/>
    <n v="1.8"/>
    <n v="1"/>
  </r>
  <r>
    <x v="1"/>
    <x v="215"/>
    <x v="257"/>
    <x v="2"/>
    <d v="2025-01-12T08:02:36"/>
    <s v="Sun"/>
    <n v="2025"/>
    <x v="10"/>
    <x v="45"/>
    <d v="2025-01-12T08:02:39"/>
    <n v="83"/>
    <s v="km/h"/>
    <s v="00:00:03"/>
    <n v="0.05"/>
    <s v="Makueni"/>
    <s v="Makueni"/>
    <s v="Mombasa Road, Thange, Kibwezi East, Makueni, Eastern, Kenya"/>
    <s v="Mombasa Road, Thange, Kibwezi East, Makueni, Eastern, Kenya"/>
    <s v="-2.42623 , 37.96399"/>
    <s v="-2.42541 , 37.9637"/>
    <n v="0.125"/>
    <n v="1"/>
  </r>
  <r>
    <x v="2"/>
    <x v="35"/>
    <x v="36"/>
    <x v="2"/>
    <d v="2025-01-12T01:56:26"/>
    <s v="Sun"/>
    <n v="2025"/>
    <x v="10"/>
    <x v="45"/>
    <d v="2025-01-12T01:57:16"/>
    <n v="93"/>
    <s v="km/h"/>
    <s v="00:00:50"/>
    <n v="0.83333333333333337"/>
    <m/>
    <m/>
    <s v="Mombasa Road, Maji ya Chumvi, Mwavumbo ward, Kinango, Kwale, KE"/>
    <s v="Mombasa Road, Mariakani, Kaloleni, Kilifi County, KE"/>
    <s v="-3.7883, 39.3744"/>
    <s v="-3.7933, 39.3844"/>
    <n v="1.2"/>
    <n v="1"/>
  </r>
  <r>
    <x v="1"/>
    <x v="215"/>
    <x v="257"/>
    <x v="2"/>
    <d v="2025-01-11T18:28:31"/>
    <s v="Sat"/>
    <n v="2025"/>
    <x v="10"/>
    <x v="46"/>
    <d v="2025-01-11T18:28:37"/>
    <n v="85"/>
    <s v="km/h"/>
    <s v="00:00:06"/>
    <n v="0.1"/>
    <s v="Taita-Taveta"/>
    <s v="Taita-Taveta"/>
    <s v="Mombasa Road, Mackinnon Road, Mackinon Road ward, Voi, Kwale, Coastal Kenya, Kenya"/>
    <s v="Mombasa Road, Mackinnon Road, Mackinon Road ward, Voi, Kwale, Coastal Kenya, Kenya"/>
    <s v="-3.66256 , 38.92829"/>
    <s v="-3.66179 , 38.92696"/>
    <n v="0.125"/>
    <n v="1"/>
  </r>
  <r>
    <x v="1"/>
    <x v="19"/>
    <x v="269"/>
    <x v="2"/>
    <d v="2025-01-11T11:17:15"/>
    <s v="Sat"/>
    <n v="2025"/>
    <x v="10"/>
    <x v="46"/>
    <d v="2025-01-11T11:17:16"/>
    <n v="82"/>
    <s v="km/h"/>
    <s v="00:00:01"/>
    <n v="1.6666666666666666E-2"/>
    <s v="Kiambu"/>
    <s v="Kiambu"/>
    <s v="Thika Road, Kahawa Wendani, Kahawa Wendani ward, Ruiru, Kiambu, Central Kenya, 00608, Kenya"/>
    <s v="Thika Road, Kahawa Wendani, Kahawa Wendani ward, Ruiru, Kiambu, Central Kenya, 00608, Kenya"/>
    <s v="-1.19522 , 36.92492"/>
    <s v="-1.19553 , 36.92464"/>
    <n v="0"/>
    <n v="1"/>
  </r>
  <r>
    <x v="1"/>
    <x v="19"/>
    <x v="269"/>
    <x v="2"/>
    <d v="2025-01-11T11:16:05"/>
    <s v="Sat"/>
    <n v="2025"/>
    <x v="10"/>
    <x v="46"/>
    <d v="2025-01-11T11:16:13"/>
    <n v="83"/>
    <s v="km/h"/>
    <s v="00:00:08"/>
    <n v="0.13333333333333333"/>
    <s v="Kiambu"/>
    <s v="Kiambu"/>
    <s v="Thika Road, Kiwanja, Nairobi, Kasarani, Nairobi, 00608, Kenya"/>
    <s v="Thika Road, Kiwanja, Nairobi, Kasarani, Nairobi, 00608, Kenya"/>
    <s v="-1.185 , 36.93461"/>
    <s v="-1.18608 , 36.93358"/>
    <n v="0.125"/>
    <n v="1"/>
  </r>
  <r>
    <x v="2"/>
    <x v="3"/>
    <x v="3"/>
    <x v="2"/>
    <d v="2025-01-11T08:32:29"/>
    <s v="Sat"/>
    <n v="2025"/>
    <x v="10"/>
    <x v="46"/>
    <d v="2025-01-11T08:33:29"/>
    <n v="94"/>
    <s v="km/h"/>
    <s v="00:00:59"/>
    <n v="0.98333333333333328"/>
    <m/>
    <m/>
    <s v="Mombasa Road, Mua ward, Machakos Town, Machakos County, KE"/>
    <s v="Mombasa Road, Mua ward, Machakos Town, Machakos County, KE"/>
    <s v="-1.5798, 37.1567"/>
    <s v="-1.5922, 37.1627"/>
    <n v="1.5"/>
    <n v="1"/>
  </r>
  <r>
    <x v="1"/>
    <x v="215"/>
    <x v="257"/>
    <x v="2"/>
    <d v="2025-01-10T19:58:42"/>
    <s v="Fri"/>
    <n v="2025"/>
    <x v="10"/>
    <x v="46"/>
    <d v="2025-01-10T19:58:43"/>
    <n v="81"/>
    <s v="km/h"/>
    <s v="00:00:01"/>
    <n v="1.6666666666666666E-2"/>
    <s v="Kwale"/>
    <s v="Kwale"/>
    <s v="Mombasa Road, Mackinon Road ward, Kinango, Kwale, Coastal Kenya, Kenya"/>
    <s v="Mombasa Road, Mackinon Road ward, Kinango, Kwale, Coastal Kenya, Kenya"/>
    <s v="-3.76396 , 39.17389"/>
    <s v="-3.76409 , 39.17429"/>
    <n v="0"/>
    <n v="1"/>
  </r>
  <r>
    <x v="1"/>
    <x v="215"/>
    <x v="257"/>
    <x v="2"/>
    <d v="2025-01-10T14:10:57"/>
    <s v="Fri"/>
    <n v="2025"/>
    <x v="10"/>
    <x v="46"/>
    <d v="2025-01-10T14:11:05"/>
    <n v="82"/>
    <s v="km/h"/>
    <s v="00:00:08"/>
    <n v="0.13333333333333333"/>
    <s v="Kajiado"/>
    <s v="Kajiado"/>
    <s v="Mombasa Road, Simba, Kenyawa-Poka ward, Kajiado East, Rift Valley, Kenya"/>
    <s v="Mombasa Road, Simba, Kenyawa-Poka ward, Kajiado East, Rift Valley, Kenya"/>
    <s v="-2.16451 , 37.613"/>
    <s v="-2.16477 , 37.6149"/>
    <n v="0.188"/>
    <n v="1"/>
  </r>
  <r>
    <x v="1"/>
    <x v="56"/>
    <x v="114"/>
    <x v="1"/>
    <d v="2025-01-10T13:52:35"/>
    <s v="Fri"/>
    <n v="2025"/>
    <x v="10"/>
    <x v="46"/>
    <d v="2025-01-10T13:52:36"/>
    <n v="31"/>
    <s v="km/h"/>
    <s v="00:00:01"/>
    <n v="1.6666666666666666E-2"/>
    <s v="Kiambu"/>
    <s v="Kiambu"/>
    <s v="Thika Road, Juja ward, Juja, Kiambu, Central Kenya, 01001, Kenya"/>
    <s v="Thika Road, Juja ward, Juja, Kiambu, Central Kenya, 01001, Kenya"/>
    <s v="-1.09417 , 37.03014"/>
    <s v="-1.09425 , 37.03003"/>
    <n v="0"/>
    <n v="1"/>
  </r>
  <r>
    <x v="2"/>
    <x v="41"/>
    <x v="42"/>
    <x v="2"/>
    <d v="2025-01-10T13:38:28"/>
    <s v="Fri"/>
    <n v="2025"/>
    <x v="10"/>
    <x v="46"/>
    <d v="2025-01-10T13:39:28"/>
    <n v="94"/>
    <s v="km/h"/>
    <s v="00:01:00"/>
    <n v="1"/>
    <m/>
    <m/>
    <s v="Kericho-Kisumu Highway, Kapsoit, Kapsoit ward, Ainamoi, Kericho County, Rift Valley, 20205, KE"/>
    <s v="Kericho-Kisumu Highway, Kaitui, Soliat ward, Sigowet/Soin, Kericho County, Rift Valley, KE"/>
    <s v="-0.3011, 35.1633"/>
    <s v="-0.2880, 35.1631"/>
    <n v="1.5"/>
    <n v="1"/>
  </r>
  <r>
    <x v="1"/>
    <x v="215"/>
    <x v="257"/>
    <x v="2"/>
    <d v="2025-01-10T13:12:05"/>
    <s v="Fri"/>
    <n v="2025"/>
    <x v="10"/>
    <x v="46"/>
    <d v="2025-01-10T13:12:14"/>
    <n v="84"/>
    <s v="km/h"/>
    <s v="00:00:09"/>
    <n v="0.15"/>
    <s v="Makueni"/>
    <s v="Makueni"/>
    <s v="Mombasa Road, Salama, Kilome, Makueni, Eastern, Kenya"/>
    <s v="Kiongwani Grs Access Road, Kilome, Makueni, Eastern, Kenya"/>
    <s v="-1.90308 , 37.27511"/>
    <s v="-1.90492 , 37.2763"/>
    <n v="0.188"/>
    <n v="1"/>
  </r>
  <r>
    <x v="0"/>
    <x v="59"/>
    <x v="217"/>
    <x v="1"/>
    <d v="2025-01-10T10:39:42"/>
    <s v="Fri"/>
    <n v="2025"/>
    <x v="10"/>
    <x v="46"/>
    <d v="2025-01-10T10:39:43"/>
    <n v="33"/>
    <s v="km/h"/>
    <s v="00:00:01"/>
    <n v="1.6666666666666666E-2"/>
    <s v="Nairobi"/>
    <s v="Nairobi"/>
    <s v="Total Energies - Opposite Garden City"/>
    <s v="Total Energies - Opposite Garden City"/>
    <s v="-1.23358 , 36.87497"/>
    <s v="-1.23367 , 36.87485"/>
    <n v="0"/>
    <n v="1"/>
  </r>
  <r>
    <x v="1"/>
    <x v="63"/>
    <x v="65"/>
    <x v="0"/>
    <d v="2025-01-09T23:00:01"/>
    <s v="Thu"/>
    <n v="2025"/>
    <x v="10"/>
    <x v="46"/>
    <d v="2025-01-09T23:36:25"/>
    <n v="119.3"/>
    <s v="km"/>
    <s v="00:36:24"/>
    <n v="36.4"/>
    <s v="Mombasa"/>
    <s v="Mombasa"/>
    <s v="Nyali Bridge, Tononoka ward, Mombasa, Junda ward, Kisauni, Mombasa, Coastal Kenya, 80100, Kenya"/>
    <s v="Total Changamwe Service Station, Refinery Road, Changamwe ward, Mombasa, Changamwe, Mikindani ward, Changamwe, Mombasa, Coast, Kenya"/>
    <s v="-4.04297 , 39.67153"/>
    <s v="-4.0255 , 39.63358"/>
    <n v="5.6879999999999997"/>
    <n v="1"/>
  </r>
  <r>
    <x v="0"/>
    <x v="95"/>
    <x v="99"/>
    <x v="0"/>
    <d v="2025-01-09T23:00:00"/>
    <s v="Thu"/>
    <n v="2025"/>
    <x v="10"/>
    <x v="46"/>
    <d v="2025-01-09T23:17:06"/>
    <n v="123.7"/>
    <s v="km"/>
    <s v="00:17:06"/>
    <n v="17.100000000000001"/>
    <s v="Mombasa"/>
    <s v="Mombasa"/>
    <s v="Mombasa Road, Kipevu ward, Mombasa, Mikindani ward, Jomvu, Mombasa, Coastal Kenya, 80100, Kenya"/>
    <s v="Mombasa Road, Mataa ya Ndege, Miritini, Jomvu Kuu ward, Jomvu, Mombasa, Coastal Kenya, Kenya"/>
    <s v="-4.03117 , 39.64192"/>
    <s v="-4.00834 , 39.59511"/>
    <n v="7.2969999999999997"/>
    <n v="1"/>
  </r>
  <r>
    <x v="2"/>
    <x v="148"/>
    <x v="168"/>
    <x v="2"/>
    <d v="2025-01-09T20:06:34"/>
    <s v="Thu"/>
    <n v="2025"/>
    <x v="10"/>
    <x v="46"/>
    <d v="2025-01-09T20:06:57"/>
    <n v="92"/>
    <s v="km/h"/>
    <s v="00:00:23"/>
    <n v="0.38333333333333336"/>
    <m/>
    <m/>
    <s v="Meru-Nairobi Highway, Kenol, Gatanga, Murang'a County, 01000, KE"/>
    <s v="Meru-Nairobi Highway, Kenol, Gatanga, Murang'a County, 01000, KE"/>
    <s v="-0.9600, 37.1083"/>
    <s v="-0.9628, 37.1026"/>
    <n v="0.7"/>
    <n v="1"/>
  </r>
  <r>
    <x v="2"/>
    <x v="22"/>
    <x v="23"/>
    <x v="2"/>
    <d v="2025-01-09T17:58:02"/>
    <s v="Thu"/>
    <n v="2025"/>
    <x v="10"/>
    <x v="46"/>
    <d v="2025-01-09T17:59:32"/>
    <n v="92"/>
    <s v="km/h"/>
    <s v="00:01:30"/>
    <n v="1.5"/>
    <m/>
    <m/>
    <s v="A8, Kinanie ward, Mavoko, Machakos County, KE"/>
    <s v="A8, Kinanie ward, Mavoko, Machakos County, KE"/>
    <s v="-1.5051, 37.0897"/>
    <s v="-1.4967, 37.0720"/>
    <n v="2.2000000000000002"/>
    <n v="1"/>
  </r>
  <r>
    <x v="1"/>
    <x v="191"/>
    <x v="270"/>
    <x v="2"/>
    <d v="2025-01-09T10:06:57"/>
    <s v="Thu"/>
    <n v="2025"/>
    <x v="10"/>
    <x v="46"/>
    <d v="2025-01-09T10:07:00"/>
    <n v="83"/>
    <s v="km/h"/>
    <s v="00:00:03"/>
    <n v="0.05"/>
    <s v="Makueni"/>
    <s v="Makueni"/>
    <s v="Mombasa Road, Kiboko, Kibwezi West, Makueni, Eastern, Kenya"/>
    <s v="Mombasa Road, Kiboko, Kibwezi West, Makueni, Eastern, Kenya"/>
    <s v="-2.2377 , 37.76402"/>
    <s v="-2.23715 , 37.76336"/>
    <n v="6.2E-2"/>
    <n v="1"/>
  </r>
  <r>
    <x v="1"/>
    <x v="187"/>
    <x v="216"/>
    <x v="2"/>
    <d v="2025-01-09T08:28:33"/>
    <s v="Thu"/>
    <n v="2025"/>
    <x v="10"/>
    <x v="46"/>
    <d v="2025-01-09T08:28:35"/>
    <n v="82"/>
    <s v="km/h"/>
    <s v="00:00:02"/>
    <n v="3.3333333333333333E-2"/>
    <s v="Nairobi"/>
    <s v="Nairobi"/>
    <s v="Thika Road, Zimmerman, Nairobi, Kasarani, Nairobi, 00608, Kenya"/>
    <s v="Thika Road, Zimmerman, Nairobi, Kasarani, Nairobi, 00608, Kenya"/>
    <s v="-1.20877 , 36.91212"/>
    <s v="-1.20833 , 36.91255"/>
    <n v="0.125"/>
    <n v="1"/>
  </r>
  <r>
    <x v="1"/>
    <x v="187"/>
    <x v="216"/>
    <x v="2"/>
    <d v="2025-01-09T08:27:35"/>
    <s v="Thu"/>
    <n v="2025"/>
    <x v="10"/>
    <x v="46"/>
    <d v="2025-01-09T08:28:05"/>
    <n v="97"/>
    <s v="km/h"/>
    <s v="00:00:30"/>
    <n v="0.5"/>
    <s v="Nairobi"/>
    <s v="Nairobi"/>
    <s v="Thika Road, Clay City sublocation, Clay City ward, Kasarani, Nairobi, 00608, Kenya"/>
    <s v="Thika Road, Zimmerman, Nairobi, Kasarani, Nairobi, 00608, Kenya"/>
    <s v="-1.2132 , 36.90041"/>
    <s v="-1.21098 , 36.90712"/>
    <n v="0.625"/>
    <n v="1"/>
  </r>
  <r>
    <x v="0"/>
    <x v="95"/>
    <x v="99"/>
    <x v="0"/>
    <d v="2025-01-08T23:00:00"/>
    <s v="Wed"/>
    <n v="2025"/>
    <x v="10"/>
    <x v="46"/>
    <d v="2025-01-08T23:40:30"/>
    <n v="54.7"/>
    <s v="km"/>
    <s v="00:40:30"/>
    <n v="40.5"/>
    <s v="Makueni"/>
    <s v="Kajiado"/>
    <s v="Mombasa Road, Salama, Kilome, Makueni, Eastern, Kenya"/>
    <s v="Mombasa Road, Emali, Kibwezi West, Makueni, Eastern, Kenya"/>
    <s v="-1.93203 , 37.2938"/>
    <s v="-2.07834 , 37.46537"/>
    <n v="25.5"/>
    <n v="1"/>
  </r>
  <r>
    <x v="0"/>
    <x v="135"/>
    <x v="155"/>
    <x v="1"/>
    <d v="2025-01-08T17:41:42"/>
    <s v="Wed"/>
    <n v="2025"/>
    <x v="10"/>
    <x v="46"/>
    <d v="2025-01-08T17:41:50"/>
    <n v="37"/>
    <s v="km/h"/>
    <s v="00:00:08"/>
    <n v="0.13333333333333333"/>
    <s v="Nairobi"/>
    <s v="Nairobi"/>
    <s v="Likoni Road, Diamond Park Estate, South B, Nairobi South ward, Nairobi, Starehe, Nairobi, 00507, Kenya"/>
    <s v="Likoni Road, Diamond Park Estate, South B, Nairobi South ward, Nairobi, Starehe, Nairobi, 00507, Kenya"/>
    <s v="-1.32257 , 36.84832"/>
    <s v="-1.32192 , 36.84866"/>
    <n v="9.4E-2"/>
    <n v="1"/>
  </r>
  <r>
    <x v="0"/>
    <x v="135"/>
    <x v="155"/>
    <x v="1"/>
    <d v="2025-01-08T17:39:54"/>
    <s v="Wed"/>
    <n v="2025"/>
    <x v="10"/>
    <x v="46"/>
    <d v="2025-01-08T17:39:57"/>
    <n v="33"/>
    <s v="km/h"/>
    <s v="00:00:03"/>
    <n v="0.05"/>
    <s v="Nairobi"/>
    <s v="Nairobi"/>
    <s v="Mombasa Road, South C ward, Lang'ata, Nairobi, 00507, Kenya"/>
    <s v="Mombasa Road, South C ward, Lang'ata, Nairobi, 00507, Kenya"/>
    <s v="-1.32636 , 36.8494"/>
    <s v="-1.3262 , 36.84913"/>
    <n v="0"/>
    <n v="1"/>
  </r>
  <r>
    <x v="0"/>
    <x v="111"/>
    <x v="121"/>
    <x v="3"/>
    <d v="2025-01-08T11:57:28"/>
    <s v="Wed"/>
    <n v="2025"/>
    <x v="10"/>
    <x v="46"/>
    <d v="2025-01-08T11:57:29"/>
    <n v="19"/>
    <s v="km/h/s"/>
    <s v="00:00:01"/>
    <n v="1.6666666666666666E-2"/>
    <s v="Bungoma"/>
    <m/>
    <s v="Eldoret-Malaba Road, Bokoli ward, Webuye West, Bungoma, Western, 50205, Kenya"/>
    <m/>
    <s v="0.62171 , 34.68499"/>
    <m/>
    <n v="0"/>
    <n v="1"/>
  </r>
  <r>
    <x v="2"/>
    <x v="212"/>
    <x v="246"/>
    <x v="2"/>
    <d v="2025-01-08T08:32:32"/>
    <s v="Wed"/>
    <n v="2025"/>
    <x v="10"/>
    <x v="46"/>
    <d v="2025-01-08T08:33:22"/>
    <n v="95"/>
    <s v="km/h"/>
    <s v="00:00:49"/>
    <n v="0.81666666666666665"/>
    <m/>
    <m/>
    <s v="Kericho-Kisumu Highway, Londiani Junction, Chepseon, Chepseon ward, Kipkelion East, Kericho County, Rift Valley, 20200, KE"/>
    <s v="Kericho-Kisumu Highway, Londiani Junction, Chepseon, Chepseon ward, Kipkelion East, Kericho County, Rift Valley, 20200, KE"/>
    <s v="-0.2662, 35.4575"/>
    <s v="-0.2665, 35.4465"/>
    <n v="1.2"/>
    <n v="1"/>
  </r>
  <r>
    <x v="1"/>
    <x v="191"/>
    <x v="270"/>
    <x v="2"/>
    <d v="2025-01-08T07:26:46"/>
    <s v="Wed"/>
    <n v="2025"/>
    <x v="10"/>
    <x v="46"/>
    <d v="2025-01-08T07:27:08"/>
    <n v="88"/>
    <s v="km/h"/>
    <s v="00:00:22"/>
    <n v="0.36666666666666664"/>
    <s v="Kwale"/>
    <s v="Kwale"/>
    <s v="Mombasa Road, Maji ya Chumvi, Mwavumbo ward, Kinango, Kwale, Coastal Kenya, Kenya"/>
    <s v="Mombasa Road, Maji ya Chumvi, Mariakani ward, Kaloleni, Kilifi, Coastal Kenya, Kenya"/>
    <s v="-3.78808 , 39.37274"/>
    <s v="-3.78958 , 39.3776"/>
    <n v="0.5"/>
    <n v="1"/>
  </r>
  <r>
    <x v="1"/>
    <x v="24"/>
    <x v="189"/>
    <x v="4"/>
    <d v="2025-01-08T07:21:15"/>
    <s v="Wed"/>
    <n v="2025"/>
    <x v="10"/>
    <x v="46"/>
    <d v="2025-01-08T07:21:15"/>
    <n v="11"/>
    <s v="km/h/s"/>
    <s v="00:00:00"/>
    <n v="0"/>
    <s v="Trans Nzoia"/>
    <s v="Trans Nzoia"/>
    <s v="WINAM LIMITED"/>
    <s v="WINAM LIMITED"/>
    <s v="1.01914 , 35.00444"/>
    <s v="1.01914 , 35.00444"/>
    <n v="0"/>
    <n v="1"/>
  </r>
  <r>
    <x v="2"/>
    <x v="84"/>
    <x v="86"/>
    <x v="2"/>
    <d v="2025-01-08T06:03:47"/>
    <s v="Wed"/>
    <n v="2025"/>
    <x v="10"/>
    <x v="46"/>
    <d v="2025-01-08T06:04:37"/>
    <n v="96"/>
    <s v="km/h"/>
    <s v="00:00:49"/>
    <n v="0.81666666666666665"/>
    <m/>
    <m/>
    <s v="Embu-Nairobi Highway, Kambiti Town, Murang`a South, Murang'a County, KE"/>
    <s v="Embu-Nairobi Highway, Kambiti Town, Murang`a South, Murang'a County, KE"/>
    <s v="-0.8520, 37.2334"/>
    <s v="-0.8410, 37.2319"/>
    <n v="1.2"/>
    <n v="1"/>
  </r>
  <r>
    <x v="1"/>
    <x v="215"/>
    <x v="257"/>
    <x v="2"/>
    <d v="2025-01-08T00:11:27"/>
    <s v="Wed"/>
    <n v="2025"/>
    <x v="10"/>
    <x v="46"/>
    <d v="2025-01-08T00:11:43"/>
    <n v="95"/>
    <s v="km/h"/>
    <s v="00:00:16"/>
    <n v="0.26666666666666666"/>
    <s v="Kiambu"/>
    <s v="Kiambu"/>
    <s v="Limuru Road, Redhill, Kabuku, Ngecha Tigoni ward, Limuru, Kiambu, Central Kenya, 00217, Kenya"/>
    <s v="Limuru Road, Redhill, Kabuku, Ngecha Tigoni ward, Limuru, Kiambu, Central Kenya, 00217, Kenya"/>
    <s v="-1.17599 , 36.71714"/>
    <s v="-1.17721 , 36.72102"/>
    <n v="0.375"/>
    <n v="1"/>
  </r>
  <r>
    <x v="1"/>
    <x v="215"/>
    <x v="257"/>
    <x v="2"/>
    <d v="2025-01-08T00:03:11"/>
    <s v="Wed"/>
    <n v="2025"/>
    <x v="10"/>
    <x v="46"/>
    <d v="2025-01-08T00:03:15"/>
    <n v="84"/>
    <s v="km/h"/>
    <s v="00:00:04"/>
    <n v="6.6666666666666666E-2"/>
    <s v="Kiambu"/>
    <s v="Kiambu"/>
    <s v="Limuru Road, Redhill, Kabuku, Ngecha Tigoni ward, Limuru, Kiambu, Central Kenya, 00217, Kenya"/>
    <s v="Limuru Road, Redhill, Kabuku, Ngecha Tigoni ward, Limuru, Kiambu, Central Kenya, 00217, Kenya"/>
    <s v="-1.1397 , 36.66005"/>
    <s v="-1.14072 , 36.6605"/>
    <n v="6.2E-2"/>
    <n v="1"/>
  </r>
  <r>
    <x v="2"/>
    <x v="112"/>
    <x v="122"/>
    <x v="2"/>
    <d v="2025-01-07T23:18:17"/>
    <s v="Tue"/>
    <n v="2025"/>
    <x v="10"/>
    <x v="46"/>
    <d v="2025-01-07T23:19:43"/>
    <n v="106"/>
    <s v="km/h"/>
    <s v="00:01:25"/>
    <n v="1.4166666666666667"/>
    <m/>
    <m/>
    <s v="Thika Road, Zimmerman, Zimmerman ward, Kasarani, Nairobi County, 00608, KE"/>
    <s v="Thika Road, Githurai ward, Kasarani, Nairobi County, 00608, KE"/>
    <s v="-1.2138, 36.8985"/>
    <s v="-1.2054, 36.9153"/>
    <n v="2.1"/>
    <n v="1"/>
  </r>
  <r>
    <x v="1"/>
    <x v="215"/>
    <x v="257"/>
    <x v="2"/>
    <d v="2025-01-07T23:04:55"/>
    <s v="Tue"/>
    <n v="2025"/>
    <x v="10"/>
    <x v="46"/>
    <d v="2025-01-07T23:04:56"/>
    <n v="81"/>
    <s v="km/h"/>
    <s v="00:00:01"/>
    <n v="1.6666666666666666E-2"/>
    <s v="Nakuru"/>
    <s v="Nakuru"/>
    <s v="Naivasha-Mai Mahiu-Limuru Road, Mai Mahiu sublocation, Jikaze, Mai Mahiu ward, Naivasha, Nakuru, Rift Valley, 00221, Kenya"/>
    <s v="Naivasha-Mai Mahiu-Limuru Road, Mai Mahiu sublocation, Jikaze, Mai Mahiu ward, Naivasha, Nakuru, Rift Valley, 00221, Kenya"/>
    <s v="-0.96785 , 36.5681"/>
    <s v="-0.96798 , 36.56826"/>
    <n v="0"/>
    <n v="1"/>
  </r>
  <r>
    <x v="1"/>
    <x v="215"/>
    <x v="257"/>
    <x v="0"/>
    <d v="2025-01-07T23:00:00"/>
    <s v="Tue"/>
    <n v="2025"/>
    <x v="10"/>
    <x v="46"/>
    <d v="2025-01-08T00:53:06"/>
    <n v="331"/>
    <s v="km"/>
    <s v="01:53:06"/>
    <n v="113.1"/>
    <s v="Nakuru"/>
    <s v="Nairobi"/>
    <s v="Naivasha-Mai Mahiu-Limuru Road, Mai Mahiu sublocation, Jikaze, Mai Mahiu ward, Naivasha, Nakuru, Rift Valley, 00221, Kenya"/>
    <s v="Total Energies - Opposite Garden City"/>
    <s v="-0.93505 , 36.53722"/>
    <s v="-1.2343 , 36.87319"/>
    <n v="60"/>
    <n v="1"/>
  </r>
  <r>
    <x v="1"/>
    <x v="215"/>
    <x v="257"/>
    <x v="2"/>
    <d v="2025-01-07T22:58:58"/>
    <s v="Tue"/>
    <n v="2025"/>
    <x v="10"/>
    <x v="46"/>
    <d v="2025-01-07T22:59:10"/>
    <n v="86"/>
    <s v="km/h"/>
    <s v="00:00:12"/>
    <n v="0.2"/>
    <s v="Nakuru"/>
    <s v="Nakuru"/>
    <s v="Naivasha-Mai Mahiu-Limuru Road, Longonot sublocation, Jikaze, Mai Mahiu ward, Naivasha, Nakuru, Rift Valley, 00221, Kenya"/>
    <s v="Naivasha-Mai Mahiu-Limuru Road, Mai Mahiu sublocation, Jikaze, Mai Mahiu ward, Naivasha, Nakuru, Rift Valley, 00221, Kenya"/>
    <s v="-0.92826 , 36.53155"/>
    <s v="-0.93048 , 36.53341"/>
    <n v="0.312"/>
    <n v="1"/>
  </r>
  <r>
    <x v="1"/>
    <x v="215"/>
    <x v="257"/>
    <x v="2"/>
    <d v="2025-01-07T22:58:44"/>
    <s v="Tue"/>
    <n v="2025"/>
    <x v="10"/>
    <x v="46"/>
    <d v="2025-01-07T22:58:47"/>
    <n v="83"/>
    <s v="km/h"/>
    <s v="00:00:03"/>
    <n v="0.05"/>
    <s v="Nakuru"/>
    <s v="Nakuru"/>
    <s v="Naivasha-Mai Mahiu-Limuru Road, Longonot sublocation, Jikaze, Mai Mahiu ward, Naivasha, Nakuru, Rift Valley, 00221, Kenya"/>
    <s v="Naivasha-Mai Mahiu-Limuru Road, Longonot sublocation, Jikaze, Mai Mahiu ward, Naivasha, Nakuru, Rift Valley, 00221, Kenya"/>
    <s v="-0.92596 , 36.52962"/>
    <s v="-0.92662 , 36.53018"/>
    <n v="6.2E-2"/>
    <n v="1"/>
  </r>
  <r>
    <x v="1"/>
    <x v="215"/>
    <x v="257"/>
    <x v="2"/>
    <d v="2025-01-07T22:58:27"/>
    <s v="Tue"/>
    <n v="2025"/>
    <x v="10"/>
    <x v="46"/>
    <d v="2025-01-07T22:58:29"/>
    <n v="82"/>
    <s v="km/h"/>
    <s v="00:00:02"/>
    <n v="3.3333333333333333E-2"/>
    <s v="Nakuru"/>
    <s v="Nakuru"/>
    <s v="Naivasha-Mai Mahiu-Limuru Road, Longonot sublocation, Jikaze, Mai Mahiu ward, Naivasha, Nakuru, Rift Valley, 00221, Kenya"/>
    <s v="Naivasha-Mai Mahiu-Limuru Road, Longonot sublocation, Jikaze, Mai Mahiu ward, Naivasha, Nakuru, Rift Valley, 00221, Kenya"/>
    <s v="-0.92318 , 36.5273"/>
    <s v="-0.92367 , 36.52771"/>
    <n v="0"/>
    <n v="1"/>
  </r>
  <r>
    <x v="1"/>
    <x v="215"/>
    <x v="257"/>
    <x v="2"/>
    <d v="2025-01-07T22:58:06"/>
    <s v="Tue"/>
    <n v="2025"/>
    <x v="10"/>
    <x v="46"/>
    <d v="2025-01-07T22:58:16"/>
    <n v="86"/>
    <s v="km/h"/>
    <s v="00:00:10"/>
    <n v="0.16666666666666666"/>
    <s v="Nakuru"/>
    <s v="Nakuru"/>
    <s v="Naivasha-Mai Mahiu-Limuru Road, Longonot sublocation, Jikaze, Mai Mahiu ward, Naivasha, Nakuru, Rift Valley, 00221, Kenya"/>
    <s v="Naivasha-Mai Mahiu-Limuru Road, Longonot sublocation, Jikaze, Mai Mahiu ward, Naivasha, Nakuru, Rift Valley, 00221, Kenya"/>
    <s v="-0.91961 , 36.52448"/>
    <s v="-0.92154 , 36.52594"/>
    <n v="0.312"/>
    <n v="1"/>
  </r>
  <r>
    <x v="1"/>
    <x v="215"/>
    <x v="257"/>
    <x v="2"/>
    <d v="2025-01-07T22:56:50"/>
    <s v="Tue"/>
    <n v="2025"/>
    <x v="10"/>
    <x v="46"/>
    <d v="2025-01-07T22:57:03"/>
    <n v="84"/>
    <s v="km/h"/>
    <s v="00:00:13"/>
    <n v="0.21666666666666667"/>
    <s v="Nakuru"/>
    <s v="Nakuru"/>
    <s v="Naivasha-Mai Mahiu-Limuru Road, Longonot sublocation, Jikaze, Mai Mahiu ward, Naivasha, Nakuru, Rift Valley, 00221, Kenya"/>
    <s v="Naivasha-Mai Mahiu-Limuru Road, Longonot sublocation, Jikaze, Mai Mahiu ward, Naivasha, Nakuru, Rift Valley, 00221, Kenya"/>
    <s v="-0.90673 , 36.51469"/>
    <s v="-0.90918 , 36.51655"/>
    <n v="0.312"/>
    <n v="1"/>
  </r>
  <r>
    <x v="1"/>
    <x v="215"/>
    <x v="257"/>
    <x v="2"/>
    <d v="2025-01-07T19:12:47"/>
    <s v="Tue"/>
    <n v="2025"/>
    <x v="10"/>
    <x v="46"/>
    <d v="2025-01-07T19:12:51"/>
    <n v="86"/>
    <s v="km/h"/>
    <s v="00:00:04"/>
    <n v="6.6666666666666666E-2"/>
    <s v="Nakuru"/>
    <s v="Nakuru"/>
    <s v="Nakuru - Eldoret Road, Twin Peak, Kamara ward, Kuresoi North, Nakuru, Rift Valley, Kenya"/>
    <s v="Nakuru - Eldoret Road, Twin Peak, Kamara ward, Kuresoi North, Nakuru, Rift Valley, Kenya"/>
    <s v="-0.19568 , 35.72025"/>
    <s v="-0.19643 , 35.72104"/>
    <n v="6.2E-2"/>
    <n v="1"/>
  </r>
  <r>
    <x v="1"/>
    <x v="215"/>
    <x v="257"/>
    <x v="2"/>
    <d v="2025-01-07T19:12:03"/>
    <s v="Tue"/>
    <n v="2025"/>
    <x v="10"/>
    <x v="46"/>
    <d v="2025-01-07T19:12:08"/>
    <n v="84"/>
    <s v="km/h"/>
    <s v="00:00:05"/>
    <n v="8.3333333333333329E-2"/>
    <s v="Nakuru"/>
    <s v="Nakuru"/>
    <s v="Tabain, Kamara ward, Kuresoi North, Nakuru, Rift Valley, Kenya"/>
    <s v="Tabain, Kamara ward, Kuresoi North, Nakuru, Rift Valley, Kenya"/>
    <s v="-0.19004 , 35.71449"/>
    <s v="-0.19098 , 35.71539"/>
    <n v="0.188"/>
    <n v="1"/>
  </r>
  <r>
    <x v="1"/>
    <x v="215"/>
    <x v="257"/>
    <x v="2"/>
    <d v="2025-01-07T19:10:50"/>
    <s v="Tue"/>
    <n v="2025"/>
    <x v="10"/>
    <x v="46"/>
    <d v="2025-01-07T19:11:01"/>
    <n v="89"/>
    <s v="km/h"/>
    <s v="00:00:11"/>
    <n v="0.18333333333333332"/>
    <s v="Nakuru"/>
    <s v="Nakuru"/>
    <s v="Nakuru - Eldoret Road, Twin Peak, Kamara ward, Kuresoi North, Nakuru, Rift Valley, Kenya"/>
    <s v="Nakuru - Eldoret Road, Twin Peak, Kamara ward, Kuresoi North, Nakuru, Rift Valley, Kenya"/>
    <s v="-0.17752 , 35.70992"/>
    <s v="-0.1797 , 35.71156"/>
    <n v="0.312"/>
    <n v="1"/>
  </r>
  <r>
    <x v="1"/>
    <x v="215"/>
    <x v="257"/>
    <x v="2"/>
    <d v="2025-01-07T18:25:24"/>
    <s v="Tue"/>
    <n v="2025"/>
    <x v="10"/>
    <x v="46"/>
    <d v="2025-01-07T18:25:44"/>
    <n v="86"/>
    <s v="km/h"/>
    <s v="00:00:20"/>
    <n v="0.33333333333333331"/>
    <s v="Kericho"/>
    <s v="Kericho"/>
    <s v="Kericho-Kisumu Highway, Londiani Junction, Chepseon, Kedowa/Kimugul ward, Kipkelion East, Kericho, Rift Valley, 20200, Kenya"/>
    <s v="Kericho-Kisumu Highway, Londiani Junction, Chepseon, Kedowa/Kimugul ward, Kipkelion East, Kericho, Rift Valley, 20200, Kenya"/>
    <s v="-0.23511 , 35.54016"/>
    <s v="-0.23442 , 35.54465"/>
    <n v="0.5"/>
    <n v="1"/>
  </r>
  <r>
    <x v="1"/>
    <x v="215"/>
    <x v="257"/>
    <x v="2"/>
    <d v="2025-01-07T18:24:43"/>
    <s v="Tue"/>
    <n v="2025"/>
    <x v="10"/>
    <x v="46"/>
    <d v="2025-01-07T18:24:45"/>
    <n v="82"/>
    <s v="km/h"/>
    <s v="00:00:02"/>
    <n v="3.3333333333333333E-2"/>
    <s v="Kericho"/>
    <s v="Kericho"/>
    <s v="Kericho-Kisumu Highway, Londiani Junction, Chepseon, Kedowa/Kimugul ward, Kipkelion East, Kericho, Rift Valley, 20200, Kenya"/>
    <s v="Kericho-Kisumu Highway, Londiani Junction, Chepseon, Kedowa/Kimugul ward, Kipkelion East, Kericho, Rift Valley, 20200, Kenya"/>
    <s v="-0.23357 , 35.53241"/>
    <s v="-0.23377 , 35.53302"/>
    <n v="0"/>
    <n v="1"/>
  </r>
  <r>
    <x v="1"/>
    <x v="215"/>
    <x v="257"/>
    <x v="2"/>
    <d v="2025-01-07T18:23:58"/>
    <s v="Tue"/>
    <n v="2025"/>
    <x v="10"/>
    <x v="46"/>
    <d v="2025-01-07T18:24:02"/>
    <n v="85"/>
    <s v="km/h"/>
    <s v="00:00:04"/>
    <n v="6.6666666666666666E-2"/>
    <s v="Kericho"/>
    <s v="Kericho"/>
    <s v="Kericho-Kisumu Highway, Londiani Junction, Chepseon, Kedowa/Kimugul ward, Kipkelion East, Kericho, Rift Valley, 20200, Kenya"/>
    <s v="Kericho-Kisumu Highway, Londiani Junction, Chepseon, Kedowa/Kimugul ward, Kipkelion East, Kericho, Rift Valley, 20200, Kenya"/>
    <s v="-0.23673 , 35.52517"/>
    <s v="-0.23585 , 35.52582"/>
    <n v="0.125"/>
    <n v="1"/>
  </r>
  <r>
    <x v="1"/>
    <x v="215"/>
    <x v="257"/>
    <x v="2"/>
    <d v="2025-01-07T18:23:12"/>
    <s v="Tue"/>
    <n v="2025"/>
    <x v="10"/>
    <x v="46"/>
    <d v="2025-01-07T18:23:31"/>
    <n v="88"/>
    <s v="km/h"/>
    <s v="00:00:19"/>
    <n v="0.31666666666666665"/>
    <s v="Kericho"/>
    <s v="Kericho"/>
    <s v="Kericho-Kisumu Highway, Londiani Junction, Chepseon, Kedowa/Kimugul ward, Kipkelion East, Kericho, Rift Valley, 20200, Kenya"/>
    <s v="Kericho-Kisumu Highway, Londiani Junction, Chepseon, Kedowa/Kimugul ward, Kipkelion East, Kericho, Rift Valley, 20200, Kenya"/>
    <s v="-0.24482 , 35.52019"/>
    <s v="-0.24168 , 35.52333"/>
    <n v="0.5"/>
    <n v="1"/>
  </r>
  <r>
    <x v="1"/>
    <x v="215"/>
    <x v="257"/>
    <x v="2"/>
    <d v="2025-01-07T17:58:58"/>
    <s v="Tue"/>
    <n v="2025"/>
    <x v="10"/>
    <x v="46"/>
    <d v="2025-01-07T17:59:06"/>
    <n v="87"/>
    <s v="km/h"/>
    <s v="00:00:08"/>
    <n v="0.13333333333333333"/>
    <s v="Kericho"/>
    <s v="Kericho"/>
    <s v="Kericho-Kisumu Highway, Londiani Junction, Chepseon, Chepseon ward, Kipkelion East, Kericho, Rift Valley, 20200, Kenya"/>
    <s v="Kericho-Kisumu Highway, Londiani Junction, Chepseon, Chepseon ward, Kipkelion East, Kericho, Rift Valley, 20200, Kenya"/>
    <s v="-0.26634 , 35.44771"/>
    <s v="-0.26625 , 35.44971"/>
    <n v="0.188"/>
    <n v="1"/>
  </r>
  <r>
    <x v="2"/>
    <x v="150"/>
    <x v="171"/>
    <x v="2"/>
    <d v="2025-01-07T15:42:22"/>
    <s v="Tue"/>
    <n v="2025"/>
    <x v="10"/>
    <x v="46"/>
    <d v="2025-01-07T15:44:52"/>
    <n v="97"/>
    <s v="km/h"/>
    <s v="00:02:30"/>
    <n v="2.5"/>
    <m/>
    <m/>
    <s v="Kaplong-Narok-Maai Road, Mai Mahiu sublocation, Pcea, Mai Mahiu ward, Naivasha, Nakuru, Rift Valley, 00221, KE"/>
    <s v="Suswa W/B OCS office, Kaplong-Narok-Maai Road, Sattelite sublocation, Kitet B, Mai Mahiu ward, Naivasha, Nakuru, Rift Valley, KE"/>
    <s v="-1.0049, 36.5271"/>
    <s v="-1.0121, 36.4933"/>
    <n v="3.8"/>
    <n v="1"/>
  </r>
  <r>
    <x v="3"/>
    <x v="69"/>
    <x v="158"/>
    <x v="1"/>
    <d v="2025-01-07T13:32:23"/>
    <s v="Tue"/>
    <n v="2025"/>
    <x v="10"/>
    <x v="46"/>
    <d v="2025-01-07T13:32:24"/>
    <n v="32"/>
    <s v="km/h"/>
    <s v="00:00:01"/>
    <n v="1.6666666666666666E-2"/>
    <s v="Embu"/>
    <s v="Embu"/>
    <s v="Embu-Nairobi Highway, Embu, Manyatta, Embu, Eastern, 60100, Kenya"/>
    <s v="Embu-Nairobi Highway, Embu, Manyatta, Embu, Eastern, 60100, Kenya"/>
    <s v="-0.47672 , 37.521"/>
    <s v="-0.47673 , 37.52107"/>
    <n v="0"/>
    <n v="1"/>
  </r>
  <r>
    <x v="1"/>
    <x v="26"/>
    <x v="97"/>
    <x v="1"/>
    <d v="2025-01-07T12:22:11"/>
    <s v="Tue"/>
    <n v="2025"/>
    <x v="10"/>
    <x v="46"/>
    <d v="2025-01-07T12:22:18"/>
    <n v="39"/>
    <s v="km/h"/>
    <s v="00:00:07"/>
    <n v="0.11666666666666667"/>
    <s v="Kiambu"/>
    <s v="Kiambu"/>
    <s v="Limuru-Maimahiu Rd., Kamirithu sublocation, Limuru, Bibirioni ward, Limuru, Kiambu, Central Kenya, 00217, Kenya"/>
    <s v="Limuru-Maimahiu Rd., Kamirithu sublocation, Limuru, Bibirioni ward, Limuru, Kiambu, Central Kenya, 00217, Kenya"/>
    <s v="-1.09092 , 36.60592"/>
    <s v="-1.09017 , 36.60569"/>
    <n v="0"/>
    <n v="1"/>
  </r>
  <r>
    <x v="1"/>
    <x v="48"/>
    <x v="50"/>
    <x v="3"/>
    <d v="2025-01-07T10:11:56"/>
    <s v="Tue"/>
    <n v="2025"/>
    <x v="10"/>
    <x v="46"/>
    <d v="2025-01-07T10:11:56"/>
    <n v="17"/>
    <s v="km/h/s"/>
    <s v="00:00:00"/>
    <n v="0"/>
    <s v="Kiambu"/>
    <s v="Kiambu"/>
    <s v="A8;R2, Rungiri, Gitaru, Kinoo ward, Kikuyu, Kiambu, Central Kenya, 12345, Kenya"/>
    <s v="A8;R2, Rungiri, Gitaru, Kinoo ward, Kikuyu, Kiambu, Central Kenya, 12345, Kenya"/>
    <s v="-1.24542 , 36.67917"/>
    <s v="-1.24542 , 36.67917"/>
    <n v="0"/>
    <n v="1"/>
  </r>
  <r>
    <x v="1"/>
    <x v="89"/>
    <x v="271"/>
    <x v="1"/>
    <d v="2025-01-07T09:53:59"/>
    <s v="Tue"/>
    <n v="2025"/>
    <x v="10"/>
    <x v="46"/>
    <d v="2025-01-07T09:55:39"/>
    <n v="39"/>
    <s v="km/h"/>
    <s v="00:01:40"/>
    <n v="1.6666666666666665"/>
    <s v="Makueni"/>
    <s v="Makueni"/>
    <s v="Mombasa Road, Mtito Andei, Kibwezi East, Makueni, Eastern, Kenya"/>
    <s v="Mombasa Road, Mtito Andei, Kibwezi East, Makueni, Eastern, Kenya"/>
    <s v="-2.64861 , 38.08953"/>
    <s v="-2.64158 , 38.08369"/>
    <n v="1"/>
    <n v="1"/>
  </r>
  <r>
    <x v="2"/>
    <x v="3"/>
    <x v="3"/>
    <x v="2"/>
    <d v="2025-01-06T20:35:41"/>
    <s v="Mon"/>
    <n v="2025"/>
    <x v="10"/>
    <x v="46"/>
    <d v="2025-01-06T20:36:41"/>
    <n v="106"/>
    <s v="km/h"/>
    <s v="00:01:00"/>
    <n v="1"/>
    <m/>
    <m/>
    <s v="Mombasa Road, Salama, Kilome, Makueni, KE"/>
    <s v="Mombasa Road, Salama, Kilome, Makueni, KE"/>
    <s v="-1.8181, 37.2372"/>
    <s v="-1.8301, 37.2434"/>
    <n v="1.5"/>
    <n v="1"/>
  </r>
  <r>
    <x v="0"/>
    <x v="2"/>
    <x v="2"/>
    <x v="1"/>
    <d v="2025-01-06T13:57:43"/>
    <s v="Mon"/>
    <n v="2025"/>
    <x v="10"/>
    <x v="46"/>
    <d v="2025-01-06T13:57:44"/>
    <n v="45"/>
    <s v="km/h"/>
    <s v="00:00:01"/>
    <n v="1.6666666666666666E-2"/>
    <s v="Kiambu"/>
    <s v="Kiambu"/>
    <s v="Eldoret-Malaba Road, Gatimu sublocation, Sigona ward, Kikuyu, Kiambu, Central Kenya, 00217, Kenya"/>
    <s v="Eldoret-Malaba Road, Gatimu sublocation, Sigona ward, Kikuyu, Kiambu, Central Kenya, 00217, Kenya"/>
    <s v="-1.16322 , 36.64031"/>
    <s v="-1.16345 , 36.64035"/>
    <n v="0"/>
    <n v="1"/>
  </r>
  <r>
    <x v="0"/>
    <x v="65"/>
    <x v="68"/>
    <x v="1"/>
    <d v="2025-01-06T09:43:33"/>
    <s v="Mon"/>
    <n v="2025"/>
    <x v="10"/>
    <x v="46"/>
    <d v="2025-01-06T09:43:44"/>
    <n v="39"/>
    <s v="km/h"/>
    <s v="00:00:11"/>
    <n v="0.18333333333333332"/>
    <s v="Kiambu"/>
    <s v="Kiambu"/>
    <s v="Limuru Road, Redhill, Kabuku, Ngecha Tigoni ward, Limuru, Kiambu, Central Kenya, 00217, Kenya"/>
    <s v="Limuru Road, Redhill, Kabuku, Ngecha Tigoni ward, Limuru, Kiambu, Central Kenya, 00217, Kenya"/>
    <s v="-1.17167 , 36.71075"/>
    <s v="-1.17239 , 36.71158"/>
    <n v="0.10199999999999999"/>
    <n v="1"/>
  </r>
  <r>
    <x v="0"/>
    <x v="65"/>
    <x v="68"/>
    <x v="1"/>
    <d v="2025-01-05T10:58:55"/>
    <s v="Sun"/>
    <n v="2025"/>
    <x v="10"/>
    <x v="46"/>
    <d v="2025-01-05T10:58:57"/>
    <n v="38"/>
    <s v="km/h"/>
    <s v="00:00:02"/>
    <n v="3.3333333333333333E-2"/>
    <s v="Trans Nzoia"/>
    <s v="Trans Nzoia"/>
    <s v="Mumia Highway, Kitale, Kwanza, Trans Nzoia, Rift Valley, 30200, Kenya"/>
    <s v="Mumia Highway, Kitale, Kwanza, Trans Nzoia, Rift Valley, 30200, Kenya"/>
    <s v="1.02719 , 35.00136"/>
    <s v="1.02744 , 35.00119"/>
    <n v="0"/>
    <n v="1"/>
  </r>
  <r>
    <x v="2"/>
    <x v="230"/>
    <x v="272"/>
    <x v="2"/>
    <d v="2025-01-05T07:29:35"/>
    <s v="Sun"/>
    <n v="2025"/>
    <x v="10"/>
    <x v="46"/>
    <d v="2025-01-05T07:30:45"/>
    <n v="98"/>
    <s v="km/h"/>
    <s v="00:01:09"/>
    <n v="1.1499999999999999"/>
    <m/>
    <m/>
    <s v="A8, Kinanie ward, Mavoko, Machakos County, KE"/>
    <s v="A8, Kinanie ward, Mavoko, Machakos County, KE"/>
    <s v="-1.5070, 37.0926"/>
    <s v="-1.4984, 37.0791"/>
    <n v="1.8"/>
    <n v="1"/>
  </r>
  <r>
    <x v="2"/>
    <x v="151"/>
    <x v="172"/>
    <x v="2"/>
    <d v="2025-01-05T07:07:24"/>
    <s v="Sun"/>
    <n v="2025"/>
    <x v="10"/>
    <x v="46"/>
    <d v="2025-01-05T07:12:14"/>
    <n v="83"/>
    <s v="km/h"/>
    <s v="00:04:50"/>
    <n v="4.833333333333333"/>
    <m/>
    <m/>
    <s v="Naivasha-Mai Mahiu-Limuru Rd., Longonot sublocation, Astu, Hells Gate ward, Naivasha, Nakuru, Rift Valley, KE"/>
    <s v="Naivasha-Mai Mahiu-Limuru Rd., Longonot sublocation, Astu, Hells Gate ward, Naivasha, Nakuru, Rift Valley, KE"/>
    <s v="-0.8491, 36.4774"/>
    <s v="-0.7921, 36.4601"/>
    <n v="6.6"/>
    <n v="1"/>
  </r>
  <r>
    <x v="2"/>
    <x v="22"/>
    <x v="23"/>
    <x v="2"/>
    <d v="2025-01-04T18:23:17"/>
    <s v="Sat"/>
    <n v="2025"/>
    <x v="10"/>
    <x v="47"/>
    <d v="2025-01-04T18:24:37"/>
    <n v="92"/>
    <s v="km/h"/>
    <s v="00:01:20"/>
    <n v="1.3333333333333333"/>
    <m/>
    <m/>
    <s v="Maanzoni Conservancy, A8, Kinanie ward, Mavoko, Machakos County, KE"/>
    <s v="Maanzoni Conservancy, A8, Kinanie ward, Mavoko, Machakos County, KE"/>
    <s v="-1.5226, 37.1171"/>
    <s v="-1.5132, 37.1025"/>
    <n v="1.9"/>
    <n v="1"/>
  </r>
  <r>
    <x v="2"/>
    <x v="231"/>
    <x v="273"/>
    <x v="2"/>
    <d v="2025-01-04T18:04:00"/>
    <s v="Sat"/>
    <n v="2025"/>
    <x v="10"/>
    <x v="47"/>
    <d v="2025-01-04T18:05:00"/>
    <n v="96"/>
    <s v="km/h"/>
    <s v="00:01:00"/>
    <n v="1"/>
    <m/>
    <m/>
    <s v="Kaplong-Narok-Maai Road, Ololulung'a ward, Narok South, Rift Valley, KE"/>
    <s v="Kaplong-Narok-Maai Road, Ololulung'a ward, Narok South, Rift Valley, KE"/>
    <s v="-1.0232, 35.6823"/>
    <s v="-1.0263, 35.6952"/>
    <n v="1.5"/>
    <n v="1"/>
  </r>
  <r>
    <x v="2"/>
    <x v="232"/>
    <x v="274"/>
    <x v="2"/>
    <d v="2025-01-04T17:25:38"/>
    <s v="Sat"/>
    <n v="2025"/>
    <x v="10"/>
    <x v="47"/>
    <d v="2025-01-04T17:25:53"/>
    <n v="86"/>
    <s v="km/h"/>
    <s v="00:00:15"/>
    <n v="0.25"/>
    <m/>
    <m/>
    <s v="Thika Road, Clay City, Kasarani, Clay City ward, Kasarani, Nairobi County, 00608, KE"/>
    <s v="Thika Road, Zimmerman, Zimmerman ward, Kasarani, Nairobi County, 00608, KE"/>
    <s v="-1.2129, 36.9016"/>
    <s v="-1.2115, 36.9055"/>
    <n v="0.5"/>
    <n v="1"/>
  </r>
  <r>
    <x v="2"/>
    <x v="189"/>
    <x v="219"/>
    <x v="2"/>
    <d v="2025-01-04T16:55:52"/>
    <s v="Sat"/>
    <n v="2025"/>
    <x v="10"/>
    <x v="47"/>
    <d v="2025-01-04T16:56:42"/>
    <n v="108"/>
    <s v="km/h"/>
    <s v="00:00:50"/>
    <n v="0.83333333333333337"/>
    <m/>
    <m/>
    <s v="Mombasa Road, Salama, Kilome, Makueni, KE"/>
    <s v="Mombasa Road, Salama, Kilome, Makueni, KE"/>
    <s v="-1.8189, 37.2376"/>
    <s v="-1.8292, 37.2427"/>
    <n v="1.3"/>
    <n v="1"/>
  </r>
  <r>
    <x v="0"/>
    <x v="65"/>
    <x v="68"/>
    <x v="2"/>
    <d v="2025-01-04T16:34:03"/>
    <s v="Sat"/>
    <n v="2025"/>
    <x v="10"/>
    <x v="47"/>
    <d v="2025-01-04T16:34:17"/>
    <n v="82"/>
    <s v="km/h"/>
    <s v="00:00:14"/>
    <n v="0.23333333333333334"/>
    <s v="Trans Nzoia"/>
    <s v="Trans Nzoia"/>
    <s v="Kakamega-Kitale Road, Kiminini, Trans Nzoia, Rift Valley, Kenya"/>
    <s v="Kakamega-Kitale Road, Kiminini, Trans Nzoia, Rift Valley, Kenya"/>
    <s v="0.86694 , 34.8775"/>
    <s v="0.86836 , 34.88025"/>
    <n v="0.39800000000000002"/>
    <n v="1"/>
  </r>
  <r>
    <x v="0"/>
    <x v="2"/>
    <x v="2"/>
    <x v="2"/>
    <d v="2025-01-04T14:37:03"/>
    <s v="Sat"/>
    <n v="2025"/>
    <x v="10"/>
    <x v="47"/>
    <d v="2025-01-04T14:37:11"/>
    <n v="89"/>
    <s v="km/h"/>
    <s v="00:00:08"/>
    <n v="0.13333333333333333"/>
    <s v="Uasin Gishu"/>
    <s v="Uasin Gishu"/>
    <s v="Eldoret-Nakuru Road, Tarakwa ward, Kesses, Uasin Gishu, Rift Valley, Kenya"/>
    <s v="Eldoret-Nakuru Road, Tarakwa ward, Kesses, Uasin Gishu, Rift Valley, Kenya"/>
    <s v="0.09954 , 35.49086"/>
    <s v="0.09933 , 35.48897"/>
    <n v="0.219"/>
    <n v="1"/>
  </r>
  <r>
    <x v="0"/>
    <x v="2"/>
    <x v="2"/>
    <x v="2"/>
    <d v="2025-01-04T13:17:14"/>
    <s v="Sat"/>
    <n v="2025"/>
    <x v="10"/>
    <x v="47"/>
    <d v="2025-01-04T13:17:22"/>
    <n v="90"/>
    <s v="km/h"/>
    <s v="00:00:08"/>
    <n v="0.13333333333333333"/>
    <s v="Nakuru"/>
    <s v="Nakuru"/>
    <s v="Nakuru - Eldoret Road, Total Centre, Kamara ward, Kuresoi North, Nakuru, Rift Valley, Kenya"/>
    <s v="Nakuru - Eldoret Road, Kamara, Kamara ward, Kuresoi North, Nakuru, Rift Valley, Kenya"/>
    <s v="-0.13811 , 35.67759"/>
    <s v="-0.13623 , 35.67791"/>
    <n v="0.219"/>
    <n v="1"/>
  </r>
  <r>
    <x v="2"/>
    <x v="233"/>
    <x v="275"/>
    <x v="2"/>
    <d v="2025-01-04T11:27:20"/>
    <s v="Sat"/>
    <n v="2025"/>
    <x v="10"/>
    <x v="47"/>
    <d v="2025-01-04T11:28:20"/>
    <n v="98"/>
    <s v="km/h"/>
    <s v="00:00:59"/>
    <n v="0.98333333333333328"/>
    <m/>
    <m/>
    <s v="C70, Kandara, Kandara, Murang'a County, KE"/>
    <s v="C70, Kandara, Kandara, Murang'a County, KE"/>
    <s v="-0.8691, 36.9705"/>
    <s v="-0.8812, 36.9771"/>
    <n v="1.5"/>
    <n v="1"/>
  </r>
  <r>
    <x v="0"/>
    <x v="65"/>
    <x v="68"/>
    <x v="2"/>
    <d v="2025-01-03T15:19:26"/>
    <s v="Fri"/>
    <n v="2025"/>
    <x v="10"/>
    <x v="47"/>
    <d v="2025-01-03T15:19:42"/>
    <n v="98"/>
    <s v="km/h"/>
    <s v="00:00:16"/>
    <n v="0.26666666666666666"/>
    <s v="Uasin Gishu"/>
    <s v="Uasin Gishu"/>
    <s v="Eldoret-Nakuru Road, Tarakwa ward, Kesses, Uasin Gishu, Rift Valley, Kenya"/>
    <s v="Eldoret-Nakuru Road, Tarakwa ward, Kesses, Uasin Gishu, Rift Valley, Kenya"/>
    <s v="0.09958 , 35.49125"/>
    <s v="0.09917 , 35.48742"/>
    <n v="0.39800000000000002"/>
    <n v="1"/>
  </r>
  <r>
    <x v="0"/>
    <x v="59"/>
    <x v="217"/>
    <x v="1"/>
    <d v="2025-01-03T06:17:29"/>
    <s v="Fri"/>
    <n v="2025"/>
    <x v="10"/>
    <x v="47"/>
    <d v="2025-01-03T06:17:31"/>
    <n v="34"/>
    <s v="km/h"/>
    <s v="00:00:02"/>
    <n v="3.3333333333333333E-2"/>
    <s v="Kiambu"/>
    <s v="Kiambu"/>
    <s v="Thika Road, Kiwanja, Gatongora ward, Ruiru, Kiambu, Central Kenya, 00608, Kenya"/>
    <s v="Thika Road, Kiwanja, Gatongora ward, Ruiru, Kiambu, Central Kenya, 00608, Kenya"/>
    <s v="-1.17184 , 36.94744"/>
    <s v="-1.17172 , 36.94764"/>
    <n v="0"/>
    <n v="1"/>
  </r>
  <r>
    <x v="1"/>
    <x v="199"/>
    <x v="234"/>
    <x v="2"/>
    <d v="2025-01-02T06:06:19"/>
    <s v="Thu"/>
    <n v="2025"/>
    <x v="10"/>
    <x v="47"/>
    <d v="2025-01-02T06:06:25"/>
    <n v="86"/>
    <s v="km/h"/>
    <s v="00:00:06"/>
    <n v="0.1"/>
    <s v="Kiambu"/>
    <s v="Kiambu"/>
    <s v="Meru-Nairobi Highway, Thika Township ward, Thika Town, Kiambu, Central Kenya, 01000, Kenya"/>
    <s v="Meru-Nairobi Highway, Thika Township ward, Thika Town, Kiambu, Central Kenya, 01000, Kenya"/>
    <s v="-1.0228 , 37.06796"/>
    <s v="-1.02398 , 37.06699"/>
    <n v="0.125"/>
    <n v="1"/>
  </r>
  <r>
    <x v="1"/>
    <x v="199"/>
    <x v="234"/>
    <x v="2"/>
    <d v="2025-01-01T11:32:00"/>
    <s v="Wed"/>
    <n v="2025"/>
    <x v="10"/>
    <x v="47"/>
    <d v="2025-01-01T11:32:07"/>
    <n v="83"/>
    <s v="km/h"/>
    <s v="00:00:07"/>
    <n v="0.11666666666666667"/>
    <s v="Machakos"/>
    <s v="Machakos"/>
    <s v="Embu-Nairobi Highway, Manaja ward, Masinga, Machakos, Eastern, Kenya"/>
    <s v="Manaja ward, Masinga, Machakos, Eastern, Kenya"/>
    <s v="-0.84476 , 37.23242"/>
    <s v="-0.84308 , 37.23214"/>
    <n v="0.125"/>
    <n v="1"/>
  </r>
  <r>
    <x v="1"/>
    <x v="199"/>
    <x v="234"/>
    <x v="2"/>
    <d v="2025-01-01T11:16:41"/>
    <s v="Wed"/>
    <n v="2025"/>
    <x v="10"/>
    <x v="47"/>
    <d v="2025-01-01T11:16:49"/>
    <n v="83"/>
    <s v="km/h"/>
    <s v="00:00:08"/>
    <n v="0.13333333333333333"/>
    <s v="Murang'a"/>
    <s v="Murang'a"/>
    <s v="Embu-Nairobi Highway, Kambiti Town, Murang`a South, Murang`a, Central Kenya, Kenya"/>
    <s v="Embu-Nairobi Highway, Kambiti Town, Murang`a South, Murang`a, Central Kenya, Kenya"/>
    <s v="-0.92781 , 37.18524"/>
    <s v="-0.92702 , 37.18698"/>
    <n v="0.188"/>
    <n v="1"/>
  </r>
  <r>
    <x v="1"/>
    <x v="199"/>
    <x v="234"/>
    <x v="2"/>
    <d v="2025-01-01T10:59:21"/>
    <s v="Wed"/>
    <n v="2025"/>
    <x v="10"/>
    <x v="47"/>
    <d v="2025-01-01T10:59:22"/>
    <n v="81"/>
    <s v="km/h"/>
    <s v="00:00:01"/>
    <n v="1.6666666666666666E-2"/>
    <s v="Murang'a"/>
    <s v="Murang'a"/>
    <s v="Meru-Nairobi Highway, Kenol, Gatanga, Murang`a, Central Kenya, 01000, Kenya"/>
    <s v="Meru-Nairobi Highway, Kenol, Gatanga, Murang`a, Central Kenya, 01000, Kenya"/>
    <s v="-0.97149 , 37.09681"/>
    <s v="-0.97128 , 37.09685"/>
    <n v="0"/>
    <n v="1"/>
  </r>
  <r>
    <x v="2"/>
    <x v="13"/>
    <x v="13"/>
    <x v="2"/>
    <d v="2025-01-01T08:29:17"/>
    <s v="Wed"/>
    <n v="2025"/>
    <x v="10"/>
    <x v="47"/>
    <d v="2025-01-01T08:30:37"/>
    <n v="96"/>
    <s v="km/h"/>
    <s v="00:01:20"/>
    <n v="1.3333333333333333"/>
    <m/>
    <m/>
    <s v="Mombasa Road, Salama, Kilome, Makueni, KE"/>
    <s v="Mombasa Road, Salama, Kilome, Makueni, KE"/>
    <s v="-1.9021, 37.2744"/>
    <s v="-1.9175, 37.2843"/>
    <n v="2"/>
    <n v="1"/>
  </r>
  <r>
    <x v="0"/>
    <x v="0"/>
    <x v="0"/>
    <x v="0"/>
    <d v="2025-01-01T01:51:00"/>
    <s v="Wed"/>
    <n v="2025"/>
    <x v="10"/>
    <x v="47"/>
    <d v="2025-01-01T01:56:56"/>
    <n v="3.3"/>
    <s v="km"/>
    <s v="00:05:56"/>
    <n v="5.9333333333333336"/>
    <s v="Kiambu"/>
    <s v="Nairobi"/>
    <s v="Mwiki ward, Ruiru, Kiambu, Central Kenya, 00608, Kenya"/>
    <s v="Thika Road, Clay City sublocation, Kasarani, Nairobi, Kasarani, Nairobi, 00608, Kenya"/>
    <s v="-1.20592 , 36.91609"/>
    <s v="-1.21908 , 36.89227"/>
    <n v="3.0619999999999998"/>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7C58B6-5DD6-4BCD-9AF1-D738BEBFF788}" name="month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Months">
  <location ref="E2:F14" firstHeaderRow="1" firstDataRow="1" firstDataCol="1"/>
  <pivotFields count="22">
    <pivotField showAll="0">
      <items count="5">
        <item x="3"/>
        <item x="0"/>
        <item x="1"/>
        <item x="2"/>
        <item t="default"/>
      </items>
    </pivotField>
    <pivotField showAll="0"/>
    <pivotField showAll="0"/>
    <pivotField showAll="0">
      <items count="7">
        <item x="1"/>
        <item x="4"/>
        <item x="3"/>
        <item x="0"/>
        <item x="2"/>
        <item m="1" x="5"/>
        <item t="default"/>
      </items>
    </pivotField>
    <pivotField numFmtId="164" showAll="0"/>
    <pivotField showAll="0"/>
    <pivotField showAll="0"/>
    <pivotField axis="axisRow" showAll="0">
      <items count="13">
        <item x="10"/>
        <item x="9"/>
        <item x="8"/>
        <item x="7"/>
        <item x="6"/>
        <item x="5"/>
        <item x="4"/>
        <item x="3"/>
        <item x="2"/>
        <item x="1"/>
        <item x="0"/>
        <item m="1" x="11"/>
        <item t="default"/>
      </items>
    </pivotField>
    <pivotField showAll="0"/>
    <pivotField numFmtId="164" showAll="0"/>
    <pivotField showAll="0"/>
    <pivotField showAll="0"/>
    <pivotField showAll="0"/>
    <pivotField numFmtId="2" showAll="0"/>
    <pivotField showAll="0"/>
    <pivotField showAll="0"/>
    <pivotField showAll="0"/>
    <pivotField showAll="0"/>
    <pivotField showAll="0"/>
    <pivotField showAll="0"/>
    <pivotField showAll="0"/>
    <pivotField dataField="1" showAll="0"/>
  </pivotFields>
  <rowFields count="1">
    <field x="7"/>
  </rowFields>
  <rowItems count="12">
    <i>
      <x/>
    </i>
    <i>
      <x v="1"/>
    </i>
    <i>
      <x v="2"/>
    </i>
    <i>
      <x v="3"/>
    </i>
    <i>
      <x v="4"/>
    </i>
    <i>
      <x v="5"/>
    </i>
    <i>
      <x v="6"/>
    </i>
    <i>
      <x v="7"/>
    </i>
    <i>
      <x v="8"/>
    </i>
    <i>
      <x v="9"/>
    </i>
    <i>
      <x v="10"/>
    </i>
    <i t="grand">
      <x/>
    </i>
  </rowItems>
  <colItems count="1">
    <i/>
  </colItems>
  <dataFields count="1">
    <dataField name="Sum of Frequency" fld="21" baseField="0" baseItem="0"/>
  </dataFields>
  <formats count="8">
    <format dxfId="38">
      <pivotArea type="all" dataOnly="0" outline="0" fieldPosition="0"/>
    </format>
    <format dxfId="37">
      <pivotArea outline="0" collapsedLevelsAreSubtotals="1" fieldPosition="0"/>
    </format>
    <format dxfId="36">
      <pivotArea field="7" type="button" dataOnly="0" labelOnly="1" outline="0" axis="axisRow" fieldPosition="0"/>
    </format>
    <format dxfId="35">
      <pivotArea dataOnly="0" labelOnly="1" fieldPosition="0">
        <references count="1">
          <reference field="7" count="0"/>
        </references>
      </pivotArea>
    </format>
    <format dxfId="34">
      <pivotArea dataOnly="0" labelOnly="1" grandRow="1" outline="0" fieldPosition="0"/>
    </format>
    <format dxfId="33">
      <pivotArea dataOnly="0" labelOnly="1" outline="0" axis="axisValues" fieldPosition="0"/>
    </format>
    <format dxfId="32">
      <pivotArea outline="0" collapsedLevelsAreSubtotals="1" fieldPosition="0"/>
    </format>
    <format dxfId="31">
      <pivotArea dataOnly="0" labelOnly="1" outline="0" axis="axisValues" fieldPosition="0"/>
    </format>
  </formats>
  <chartFormats count="1">
    <chartFormat chart="8" format="12"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FDF195-CEC2-41EA-B1B3-DEDC1F90CCC7}" name="Regno"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8" rowHeaderCaption="Reg.Numbers">
  <location ref="K2:L237" firstHeaderRow="1" firstDataRow="1" firstDataCol="1"/>
  <pivotFields count="22">
    <pivotField showAll="0">
      <items count="5">
        <item x="3"/>
        <item x="0"/>
        <item x="1"/>
        <item x="2"/>
        <item t="default"/>
      </items>
    </pivotField>
    <pivotField axis="axisRow" showAll="0" sortType="descending">
      <items count="472">
        <item m="1" x="292"/>
        <item m="1" x="371"/>
        <item m="1" x="470"/>
        <item m="1" x="443"/>
        <item m="1" x="333"/>
        <item m="1" x="255"/>
        <item m="1" x="367"/>
        <item m="1" x="282"/>
        <item m="1" x="441"/>
        <item m="1" x="286"/>
        <item m="1" x="435"/>
        <item m="1" x="260"/>
        <item m="1" x="242"/>
        <item m="1" x="424"/>
        <item m="1" x="258"/>
        <item m="1" x="379"/>
        <item m="1" x="305"/>
        <item m="1" x="342"/>
        <item m="1" x="451"/>
        <item m="1" x="420"/>
        <item m="1" x="306"/>
        <item m="1" x="354"/>
        <item m="1" x="459"/>
        <item m="1" x="445"/>
        <item m="1" x="239"/>
        <item m="1" x="380"/>
        <item m="1" x="324"/>
        <item m="1" x="444"/>
        <item m="1" x="235"/>
        <item m="1" x="325"/>
        <item m="1" x="450"/>
        <item m="1" x="337"/>
        <item m="1" x="414"/>
        <item m="1" x="293"/>
        <item m="1" x="244"/>
        <item m="1" x="302"/>
        <item m="1" x="287"/>
        <item m="1" x="356"/>
        <item m="1" x="245"/>
        <item m="1" x="261"/>
        <item m="1" x="274"/>
        <item m="1" x="271"/>
        <item m="1" x="425"/>
        <item m="1" x="447"/>
        <item m="1" x="460"/>
        <item m="1" x="336"/>
        <item m="1" x="393"/>
        <item m="1" x="366"/>
        <item m="1" x="312"/>
        <item m="1" x="406"/>
        <item m="1" x="442"/>
        <item m="1" x="291"/>
        <item m="1" x="344"/>
        <item m="1" x="362"/>
        <item m="1" x="310"/>
        <item m="1" x="374"/>
        <item m="1" x="431"/>
        <item m="1" x="285"/>
        <item m="1" x="249"/>
        <item m="1" x="385"/>
        <item m="1" x="386"/>
        <item m="1" x="304"/>
        <item m="1" x="413"/>
        <item m="1" x="303"/>
        <item m="1" x="430"/>
        <item m="1" x="265"/>
        <item m="1" x="396"/>
        <item m="1" x="401"/>
        <item m="1" x="412"/>
        <item m="1" x="363"/>
        <item m="1" x="247"/>
        <item m="1" x="369"/>
        <item m="1" x="299"/>
        <item m="1" x="278"/>
        <item m="1" x="355"/>
        <item m="1" x="248"/>
        <item m="1" x="465"/>
        <item m="1" x="453"/>
        <item m="1" x="340"/>
        <item m="1" x="322"/>
        <item m="1" x="364"/>
        <item m="1" x="269"/>
        <item m="1" x="252"/>
        <item m="1" x="268"/>
        <item m="1" x="270"/>
        <item m="1" x="422"/>
        <item m="1" x="359"/>
        <item m="1" x="334"/>
        <item m="1" x="365"/>
        <item m="1" x="408"/>
        <item m="1" x="283"/>
        <item m="1" x="436"/>
        <item m="1" x="294"/>
        <item m="1" x="343"/>
        <item m="1" x="316"/>
        <item m="1" x="317"/>
        <item m="1" x="257"/>
        <item m="1" x="432"/>
        <item m="1" x="335"/>
        <item m="1" x="297"/>
        <item m="1" x="411"/>
        <item m="1" x="457"/>
        <item m="1" x="267"/>
        <item m="1" x="433"/>
        <item m="1" x="313"/>
        <item m="1" x="250"/>
        <item m="1" x="326"/>
        <item m="1" x="357"/>
        <item m="1" x="417"/>
        <item m="1" x="318"/>
        <item m="1" x="319"/>
        <item m="1" x="272"/>
        <item m="1" x="381"/>
        <item m="1" x="321"/>
        <item m="1" x="419"/>
        <item m="1" x="466"/>
        <item m="1" x="448"/>
        <item m="1" x="307"/>
        <item m="1" x="370"/>
        <item m="1" x="368"/>
        <item m="1" x="360"/>
        <item m="1" x="353"/>
        <item m="1" x="241"/>
        <item m="1" x="327"/>
        <item m="1" x="328"/>
        <item m="1" x="458"/>
        <item m="1" x="434"/>
        <item m="1" x="345"/>
        <item m="1" x="329"/>
        <item m="1" x="397"/>
        <item m="1" x="281"/>
        <item m="1" x="259"/>
        <item m="1" x="330"/>
        <item m="1" x="418"/>
        <item m="1" x="289"/>
        <item m="1" x="384"/>
        <item m="1" x="423"/>
        <item m="1" x="236"/>
        <item m="1" x="376"/>
        <item m="1" x="254"/>
        <item m="1" x="377"/>
        <item m="1" x="331"/>
        <item m="1" x="361"/>
        <item m="1" x="332"/>
        <item m="1" x="388"/>
        <item m="1" x="464"/>
        <item m="1" x="463"/>
        <item m="1" x="246"/>
        <item m="1" x="372"/>
        <item m="1" x="243"/>
        <item m="1" x="237"/>
        <item m="1" x="358"/>
        <item m="1" x="346"/>
        <item m="1" x="298"/>
        <item m="1" x="415"/>
        <item m="1" x="467"/>
        <item m="1" x="341"/>
        <item m="1" x="276"/>
        <item m="1" x="349"/>
        <item m="1" x="455"/>
        <item m="1" x="266"/>
        <item m="1" x="375"/>
        <item m="1" x="382"/>
        <item m="1" x="438"/>
        <item m="1" x="284"/>
        <item m="1" x="437"/>
        <item m="1" x="403"/>
        <item m="1" x="238"/>
        <item m="1" x="407"/>
        <item m="1" x="446"/>
        <item m="1" x="315"/>
        <item m="1" x="295"/>
        <item m="1" x="395"/>
        <item m="1" x="301"/>
        <item m="1" x="387"/>
        <item m="1" x="264"/>
        <item m="1" x="409"/>
        <item m="1" x="402"/>
        <item m="1" x="288"/>
        <item m="1" x="347"/>
        <item m="1" x="338"/>
        <item m="1" x="426"/>
        <item m="1" x="449"/>
        <item m="1" x="399"/>
        <item m="1" x="280"/>
        <item m="1" x="273"/>
        <item m="1" x="427"/>
        <item m="1" x="290"/>
        <item m="1" x="462"/>
        <item m="1" x="439"/>
        <item m="1" x="263"/>
        <item m="1" x="390"/>
        <item m="1" x="308"/>
        <item m="1" x="314"/>
        <item m="1" x="378"/>
        <item m="1" x="391"/>
        <item m="1" x="404"/>
        <item m="1" x="279"/>
        <item m="1" x="240"/>
        <item m="1" x="352"/>
        <item m="1" x="429"/>
        <item m="1" x="311"/>
        <item m="1" x="339"/>
        <item m="1" x="456"/>
        <item m="1" x="452"/>
        <item m="1" x="277"/>
        <item m="1" x="351"/>
        <item m="1" x="440"/>
        <item m="1" x="392"/>
        <item m="1" x="256"/>
        <item m="1" x="405"/>
        <item m="1" x="398"/>
        <item m="1" x="320"/>
        <item m="1" x="275"/>
        <item m="1" x="461"/>
        <item m="1" x="253"/>
        <item m="1" x="251"/>
        <item m="1" x="323"/>
        <item m="1" x="394"/>
        <item m="1" x="421"/>
        <item m="1" x="348"/>
        <item m="1" x="389"/>
        <item m="1" x="300"/>
        <item m="1" x="454"/>
        <item m="1" x="373"/>
        <item m="1" x="296"/>
        <item m="1" x="309"/>
        <item m="1" x="400"/>
        <item m="1" x="428"/>
        <item m="1" x="234"/>
        <item m="1" x="416"/>
        <item m="1" x="350"/>
        <item m="1" x="410"/>
        <item m="1" x="262"/>
        <item m="1" x="383"/>
        <item m="1" x="469"/>
        <item m="1" x="4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autoSortScope>
        <pivotArea dataOnly="0" outline="0" fieldPosition="0">
          <references count="1">
            <reference field="4294967294" count="1" selected="0">
              <x v="0"/>
            </reference>
          </references>
        </pivotArea>
      </autoSortScope>
    </pivotField>
    <pivotField showAll="0"/>
    <pivotField showAll="0">
      <items count="7">
        <item x="1"/>
        <item x="4"/>
        <item x="3"/>
        <item x="0"/>
        <item x="2"/>
        <item m="1" x="5"/>
        <item t="default"/>
      </items>
    </pivotField>
    <pivotField numFmtId="164" showAll="0"/>
    <pivotField showAll="0"/>
    <pivotField showAll="0"/>
    <pivotField showAll="0">
      <items count="13">
        <item x="10"/>
        <item x="9"/>
        <item x="8"/>
        <item x="7"/>
        <item x="6"/>
        <item x="5"/>
        <item x="4"/>
        <item x="3"/>
        <item x="2"/>
        <item x="1"/>
        <item x="0"/>
        <item m="1" x="11"/>
        <item t="default"/>
      </items>
    </pivotField>
    <pivotField showAll="0" sortType="ascending"/>
    <pivotField numFmtId="164" showAll="0"/>
    <pivotField showAll="0"/>
    <pivotField showAll="0"/>
    <pivotField showAll="0"/>
    <pivotField numFmtId="2" showAll="0"/>
    <pivotField showAll="0"/>
    <pivotField showAll="0"/>
    <pivotField showAll="0"/>
    <pivotField showAll="0"/>
    <pivotField showAll="0"/>
    <pivotField showAll="0"/>
    <pivotField showAll="0"/>
    <pivotField dataField="1" showAll="0"/>
  </pivotFields>
  <rowFields count="1">
    <field x="1"/>
  </rowFields>
  <rowItems count="235">
    <i>
      <x v="285"/>
    </i>
    <i>
      <x v="452"/>
    </i>
    <i>
      <x v="422"/>
    </i>
    <i>
      <x v="276"/>
    </i>
    <i>
      <x v="392"/>
    </i>
    <i>
      <x v="243"/>
    </i>
    <i>
      <x v="287"/>
    </i>
    <i>
      <x v="239"/>
    </i>
    <i>
      <x v="293"/>
    </i>
    <i>
      <x v="249"/>
    </i>
    <i>
      <x v="237"/>
    </i>
    <i>
      <x v="316"/>
    </i>
    <i>
      <x v="296"/>
    </i>
    <i>
      <x v="306"/>
    </i>
    <i>
      <x v="290"/>
    </i>
    <i>
      <x v="282"/>
    </i>
    <i>
      <x v="251"/>
    </i>
    <i>
      <x v="263"/>
    </i>
    <i>
      <x v="241"/>
    </i>
    <i>
      <x v="240"/>
    </i>
    <i>
      <x v="302"/>
    </i>
    <i>
      <x v="254"/>
    </i>
    <i>
      <x v="375"/>
    </i>
    <i>
      <x v="268"/>
    </i>
    <i>
      <x v="291"/>
    </i>
    <i>
      <x v="303"/>
    </i>
    <i>
      <x v="269"/>
    </i>
    <i>
      <x v="326"/>
    </i>
    <i>
      <x v="424"/>
    </i>
    <i>
      <x v="318"/>
    </i>
    <i>
      <x v="266"/>
    </i>
    <i>
      <x v="446"/>
    </i>
    <i>
      <x v="262"/>
    </i>
    <i>
      <x v="300"/>
    </i>
    <i>
      <x v="256"/>
    </i>
    <i>
      <x v="272"/>
    </i>
    <i>
      <x v="372"/>
    </i>
    <i>
      <x v="332"/>
    </i>
    <i>
      <x v="289"/>
    </i>
    <i>
      <x v="301"/>
    </i>
    <i>
      <x v="271"/>
    </i>
    <i>
      <x v="244"/>
    </i>
    <i>
      <x v="311"/>
    </i>
    <i>
      <x v="361"/>
    </i>
    <i>
      <x v="248"/>
    </i>
    <i>
      <x v="454"/>
    </i>
    <i>
      <x v="344"/>
    </i>
    <i>
      <x v="278"/>
    </i>
    <i>
      <x v="286"/>
    </i>
    <i>
      <x v="431"/>
    </i>
    <i>
      <x v="281"/>
    </i>
    <i>
      <x v="277"/>
    </i>
    <i>
      <x v="436"/>
    </i>
    <i>
      <x v="335"/>
    </i>
    <i>
      <x v="245"/>
    </i>
    <i>
      <x v="242"/>
    </i>
    <i>
      <x v="428"/>
    </i>
    <i>
      <x v="353"/>
    </i>
    <i>
      <x v="348"/>
    </i>
    <i>
      <x v="379"/>
    </i>
    <i>
      <x v="250"/>
    </i>
    <i>
      <x v="304"/>
    </i>
    <i>
      <x v="336"/>
    </i>
    <i>
      <x v="448"/>
    </i>
    <i>
      <x v="415"/>
    </i>
    <i>
      <x v="247"/>
    </i>
    <i>
      <x v="310"/>
    </i>
    <i>
      <x v="259"/>
    </i>
    <i>
      <x v="401"/>
    </i>
    <i>
      <x v="327"/>
    </i>
    <i>
      <x v="371"/>
    </i>
    <i>
      <x v="279"/>
    </i>
    <i>
      <x v="383"/>
    </i>
    <i>
      <x v="334"/>
    </i>
    <i>
      <x v="400"/>
    </i>
    <i>
      <x v="270"/>
    </i>
    <i>
      <x v="405"/>
    </i>
    <i>
      <x v="342"/>
    </i>
    <i>
      <x v="264"/>
    </i>
    <i>
      <x v="349"/>
    </i>
    <i>
      <x v="238"/>
    </i>
    <i>
      <x v="443"/>
    </i>
    <i>
      <x v="288"/>
    </i>
    <i>
      <x v="419"/>
    </i>
    <i>
      <x v="388"/>
    </i>
    <i>
      <x v="350"/>
    </i>
    <i>
      <x v="261"/>
    </i>
    <i>
      <x v="329"/>
    </i>
    <i>
      <x v="393"/>
    </i>
    <i>
      <x v="309"/>
    </i>
    <i>
      <x v="394"/>
    </i>
    <i>
      <x v="252"/>
    </i>
    <i>
      <x v="444"/>
    </i>
    <i>
      <x v="246"/>
    </i>
    <i>
      <x v="377"/>
    </i>
    <i>
      <x v="354"/>
    </i>
    <i>
      <x v="307"/>
    </i>
    <i>
      <x v="346"/>
    </i>
    <i>
      <x v="417"/>
    </i>
    <i>
      <x v="317"/>
    </i>
    <i>
      <x v="265"/>
    </i>
    <i>
      <x v="395"/>
    </i>
    <i>
      <x v="445"/>
    </i>
    <i>
      <x v="397"/>
    </i>
    <i>
      <x v="260"/>
    </i>
    <i>
      <x v="449"/>
    </i>
    <i>
      <x v="305"/>
    </i>
    <i>
      <x v="363"/>
    </i>
    <i>
      <x v="385"/>
    </i>
    <i>
      <x v="403"/>
    </i>
    <i>
      <x v="315"/>
    </i>
    <i>
      <x v="319"/>
    </i>
    <i>
      <x v="257"/>
    </i>
    <i>
      <x v="321"/>
    </i>
    <i>
      <x v="453"/>
    </i>
    <i>
      <x v="356"/>
    </i>
    <i>
      <x v="382"/>
    </i>
    <i>
      <x v="267"/>
    </i>
    <i>
      <x v="421"/>
    </i>
    <i>
      <x v="461"/>
    </i>
    <i>
      <x v="364"/>
    </i>
    <i>
      <x v="427"/>
    </i>
    <i>
      <x v="365"/>
    </i>
    <i>
      <x v="451"/>
    </i>
    <i>
      <x v="368"/>
    </i>
    <i>
      <x v="299"/>
    </i>
    <i>
      <x v="325"/>
    </i>
    <i>
      <x v="425"/>
    </i>
    <i>
      <x v="284"/>
    </i>
    <i>
      <x v="429"/>
    </i>
    <i>
      <x v="373"/>
    </i>
    <i>
      <x v="320"/>
    </i>
    <i>
      <x v="376"/>
    </i>
    <i>
      <x v="308"/>
    </i>
    <i>
      <x v="273"/>
    </i>
    <i>
      <x v="322"/>
    </i>
    <i>
      <x v="380"/>
    </i>
    <i>
      <x v="343"/>
    </i>
    <i>
      <x v="275"/>
    </i>
    <i>
      <x v="297"/>
    </i>
    <i>
      <x v="387"/>
    </i>
    <i>
      <x v="426"/>
    </i>
    <i>
      <x v="390"/>
    </i>
    <i>
      <x v="274"/>
    </i>
    <i>
      <x v="333"/>
    </i>
    <i>
      <x v="347"/>
    </i>
    <i>
      <x v="280"/>
    </i>
    <i>
      <x v="438"/>
    </i>
    <i>
      <x v="398"/>
    </i>
    <i>
      <x v="352"/>
    </i>
    <i>
      <x v="337"/>
    </i>
    <i>
      <x v="253"/>
    </i>
    <i>
      <x v="402"/>
    </i>
    <i>
      <x v="294"/>
    </i>
    <i>
      <x v="404"/>
    </i>
    <i>
      <x v="458"/>
    </i>
    <i>
      <x v="456"/>
    </i>
    <i>
      <x v="440"/>
    </i>
    <i>
      <x v="432"/>
    </i>
    <i>
      <x v="313"/>
    </i>
    <i>
      <x v="351"/>
    </i>
    <i>
      <x v="357"/>
    </i>
    <i>
      <x v="295"/>
    </i>
    <i>
      <x v="396"/>
    </i>
    <i>
      <x v="330"/>
    </i>
    <i>
      <x v="314"/>
    </i>
    <i>
      <x v="255"/>
    </i>
    <i>
      <x v="369"/>
    </i>
    <i>
      <x v="366"/>
    </i>
    <i>
      <x v="399"/>
    </i>
    <i>
      <x v="324"/>
    </i>
    <i>
      <x v="370"/>
    </i>
    <i>
      <x v="430"/>
    </i>
    <i>
      <x v="338"/>
    </i>
    <i>
      <x v="434"/>
    </i>
    <i>
      <x v="358"/>
    </i>
    <i>
      <x v="386"/>
    </i>
    <i>
      <x v="339"/>
    </i>
    <i>
      <x v="442"/>
    </i>
    <i>
      <x v="359"/>
    </i>
    <i>
      <x v="292"/>
    </i>
    <i>
      <x v="457"/>
    </i>
    <i>
      <x v="450"/>
    </i>
    <i>
      <x v="459"/>
    </i>
    <i>
      <x v="312"/>
    </i>
    <i>
      <x v="360"/>
    </i>
    <i>
      <x v="328"/>
    </i>
    <i>
      <x v="463"/>
    </i>
    <i>
      <x v="381"/>
    </i>
    <i>
      <x v="465"/>
    </i>
    <i>
      <x v="355"/>
    </i>
    <i>
      <x v="467"/>
    </i>
    <i>
      <x v="384"/>
    </i>
    <i>
      <x v="469"/>
    </i>
    <i>
      <x v="433"/>
    </i>
    <i>
      <x v="374"/>
    </i>
    <i>
      <x v="435"/>
    </i>
    <i>
      <x v="413"/>
    </i>
    <i>
      <x v="437"/>
    </i>
    <i>
      <x v="414"/>
    </i>
    <i>
      <x v="439"/>
    </i>
    <i>
      <x v="341"/>
    </i>
    <i>
      <x v="441"/>
    </i>
    <i>
      <x v="416"/>
    </i>
    <i>
      <x v="258"/>
    </i>
    <i>
      <x v="298"/>
    </i>
    <i>
      <x v="323"/>
    </i>
    <i>
      <x v="418"/>
    </i>
    <i>
      <x v="447"/>
    </i>
    <i>
      <x v="283"/>
    </i>
    <i>
      <x v="331"/>
    </i>
    <i>
      <x v="420"/>
    </i>
    <i>
      <x v="389"/>
    </i>
    <i>
      <x v="362"/>
    </i>
    <i>
      <x v="391"/>
    </i>
    <i>
      <x v="378"/>
    </i>
    <i>
      <x v="455"/>
    </i>
    <i>
      <x v="423"/>
    </i>
    <i>
      <x v="367"/>
    </i>
    <i>
      <x v="345"/>
    </i>
    <i>
      <x v="340"/>
    </i>
    <i>
      <x v="460"/>
    </i>
    <i>
      <x v="406"/>
    </i>
    <i>
      <x v="462"/>
    </i>
    <i>
      <x v="407"/>
    </i>
    <i>
      <x v="464"/>
    </i>
    <i>
      <x v="408"/>
    </i>
    <i>
      <x v="466"/>
    </i>
    <i>
      <x v="409"/>
    </i>
    <i>
      <x v="468"/>
    </i>
    <i>
      <x v="410"/>
    </i>
    <i>
      <x v="470"/>
    </i>
    <i>
      <x v="411"/>
    </i>
    <i>
      <x v="412"/>
    </i>
    <i t="grand">
      <x/>
    </i>
  </rowItems>
  <colItems count="1">
    <i/>
  </colItems>
  <dataFields count="1">
    <dataField name="Sum of Frequency" fld="21" baseField="0" baseItem="0"/>
  </dataFields>
  <formats count="12">
    <format dxfId="50">
      <pivotArea type="all" dataOnly="0" outline="0" fieldPosition="0"/>
    </format>
    <format dxfId="49">
      <pivotArea outline="0" collapsedLevelsAreSubtotals="1" fieldPosition="0"/>
    </format>
    <format dxfId="48">
      <pivotArea field="1" type="button" dataOnly="0" labelOnly="1" outline="0" axis="axisRow" fieldPosition="0"/>
    </format>
    <format dxfId="47">
      <pivotArea dataOnly="0" labelOnly="1" fieldPosition="0">
        <references count="1">
          <reference field="1" count="50">
            <x v="0"/>
            <x v="5"/>
            <x v="7"/>
            <x v="12"/>
            <x v="16"/>
            <x v="24"/>
            <x v="28"/>
            <x v="35"/>
            <x v="40"/>
            <x v="48"/>
            <x v="52"/>
            <x v="58"/>
            <x v="68"/>
            <x v="69"/>
            <x v="72"/>
            <x v="81"/>
            <x v="82"/>
            <x v="84"/>
            <x v="87"/>
            <x v="91"/>
            <x v="96"/>
            <x v="102"/>
            <x v="105"/>
            <x v="107"/>
            <x v="119"/>
            <x v="120"/>
            <x v="122"/>
            <x v="123"/>
            <x v="124"/>
            <x v="130"/>
            <x v="132"/>
            <x v="140"/>
            <x v="142"/>
            <x v="143"/>
            <x v="148"/>
            <x v="149"/>
            <x v="150"/>
            <x v="167"/>
            <x v="178"/>
            <x v="187"/>
            <x v="192"/>
            <x v="193"/>
            <x v="197"/>
            <x v="198"/>
            <x v="217"/>
            <x v="222"/>
            <x v="226"/>
            <x v="229"/>
            <x v="230"/>
            <x v="231"/>
          </reference>
        </references>
      </pivotArea>
    </format>
    <format dxfId="46">
      <pivotArea dataOnly="0" labelOnly="1" fieldPosition="0">
        <references count="1">
          <reference field="1" count="50">
            <x v="4"/>
            <x v="8"/>
            <x v="9"/>
            <x v="10"/>
            <x v="11"/>
            <x v="13"/>
            <x v="15"/>
            <x v="27"/>
            <x v="29"/>
            <x v="31"/>
            <x v="33"/>
            <x v="36"/>
            <x v="38"/>
            <x v="39"/>
            <x v="47"/>
            <x v="51"/>
            <x v="54"/>
            <x v="63"/>
            <x v="65"/>
            <x v="66"/>
            <x v="73"/>
            <x v="74"/>
            <x v="93"/>
            <x v="94"/>
            <x v="95"/>
            <x v="99"/>
            <x v="104"/>
            <x v="106"/>
            <x v="109"/>
            <x v="114"/>
            <x v="125"/>
            <x v="128"/>
            <x v="129"/>
            <x v="131"/>
            <x v="134"/>
            <x v="137"/>
            <x v="141"/>
            <x v="156"/>
            <x v="160"/>
            <x v="165"/>
            <x v="173"/>
            <x v="180"/>
            <x v="185"/>
            <x v="190"/>
            <x v="199"/>
            <x v="200"/>
            <x v="218"/>
            <x v="220"/>
            <x v="225"/>
            <x v="233"/>
          </reference>
        </references>
      </pivotArea>
    </format>
    <format dxfId="45">
      <pivotArea dataOnly="0" labelOnly="1" fieldPosition="0">
        <references count="1">
          <reference field="1" count="50">
            <x v="3"/>
            <x v="14"/>
            <x v="19"/>
            <x v="20"/>
            <x v="22"/>
            <x v="23"/>
            <x v="34"/>
            <x v="37"/>
            <x v="53"/>
            <x v="55"/>
            <x v="56"/>
            <x v="57"/>
            <x v="60"/>
            <x v="64"/>
            <x v="67"/>
            <x v="70"/>
            <x v="75"/>
            <x v="78"/>
            <x v="89"/>
            <x v="92"/>
            <x v="97"/>
            <x v="98"/>
            <x v="103"/>
            <x v="113"/>
            <x v="118"/>
            <x v="121"/>
            <x v="127"/>
            <x v="139"/>
            <x v="147"/>
            <x v="152"/>
            <x v="157"/>
            <x v="158"/>
            <x v="161"/>
            <x v="163"/>
            <x v="174"/>
            <x v="179"/>
            <x v="181"/>
            <x v="186"/>
            <x v="191"/>
            <x v="202"/>
            <x v="206"/>
            <x v="207"/>
            <x v="208"/>
            <x v="211"/>
            <x v="212"/>
            <x v="215"/>
            <x v="216"/>
            <x v="224"/>
            <x v="232"/>
            <x v="234"/>
          </reference>
        </references>
      </pivotArea>
    </format>
    <format dxfId="44">
      <pivotArea dataOnly="0" labelOnly="1" fieldPosition="0">
        <references count="1">
          <reference field="1" count="50">
            <x v="1"/>
            <x v="17"/>
            <x v="21"/>
            <x v="25"/>
            <x v="30"/>
            <x v="32"/>
            <x v="42"/>
            <x v="43"/>
            <x v="50"/>
            <x v="59"/>
            <x v="61"/>
            <x v="71"/>
            <x v="77"/>
            <x v="79"/>
            <x v="80"/>
            <x v="83"/>
            <x v="85"/>
            <x v="86"/>
            <x v="101"/>
            <x v="108"/>
            <x v="110"/>
            <x v="112"/>
            <x v="115"/>
            <x v="116"/>
            <x v="117"/>
            <x v="133"/>
            <x v="135"/>
            <x v="136"/>
            <x v="145"/>
            <x v="146"/>
            <x v="151"/>
            <x v="154"/>
            <x v="159"/>
            <x v="162"/>
            <x v="164"/>
            <x v="166"/>
            <x v="168"/>
            <x v="169"/>
            <x v="170"/>
            <x v="171"/>
            <x v="172"/>
            <x v="175"/>
            <x v="176"/>
            <x v="177"/>
            <x v="196"/>
            <x v="201"/>
            <x v="204"/>
            <x v="210"/>
            <x v="214"/>
            <x v="228"/>
          </reference>
        </references>
      </pivotArea>
    </format>
    <format dxfId="43">
      <pivotArea dataOnly="0" labelOnly="1" fieldPosition="0">
        <references count="1">
          <reference field="1" count="34">
            <x v="6"/>
            <x v="18"/>
            <x v="26"/>
            <x v="41"/>
            <x v="44"/>
            <x v="45"/>
            <x v="46"/>
            <x v="49"/>
            <x v="62"/>
            <x v="76"/>
            <x v="88"/>
            <x v="90"/>
            <x v="100"/>
            <x v="111"/>
            <x v="126"/>
            <x v="138"/>
            <x v="144"/>
            <x v="153"/>
            <x v="155"/>
            <x v="182"/>
            <x v="183"/>
            <x v="184"/>
            <x v="188"/>
            <x v="189"/>
            <x v="194"/>
            <x v="195"/>
            <x v="203"/>
            <x v="205"/>
            <x v="209"/>
            <x v="213"/>
            <x v="219"/>
            <x v="221"/>
            <x v="223"/>
            <x v="227"/>
          </reference>
        </references>
      </pivotArea>
    </format>
    <format dxfId="42">
      <pivotArea dataOnly="0" labelOnly="1" grandRow="1" outline="0" fieldPosition="0"/>
    </format>
    <format dxfId="41">
      <pivotArea dataOnly="0" labelOnly="1" outline="0" axis="axisValues" fieldPosition="0"/>
    </format>
    <format dxfId="40">
      <pivotArea outline="0" collapsedLevelsAreSubtotals="1" fieldPosition="0"/>
    </format>
    <format dxfId="39">
      <pivotArea dataOnly="0" labelOnly="1" outline="0" axis="axisValues" fieldPosition="0"/>
    </format>
  </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CCA886-1B02-4C6E-9B5B-660DDFA72468}" name="eventy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Event Type">
  <location ref="E23:F29" firstHeaderRow="1" firstDataRow="1" firstDataCol="1"/>
  <pivotFields count="22">
    <pivotField showAll="0">
      <items count="5">
        <item x="3"/>
        <item x="0"/>
        <item x="1"/>
        <item x="2"/>
        <item t="default"/>
      </items>
    </pivotField>
    <pivotField showAll="0"/>
    <pivotField showAll="0"/>
    <pivotField axis="axisRow" showAll="0" sortType="ascending">
      <items count="7">
        <item x="1"/>
        <item x="4"/>
        <item x="3"/>
        <item x="0"/>
        <item x="2"/>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x="10"/>
        <item x="9"/>
        <item x="8"/>
        <item x="7"/>
        <item x="6"/>
        <item x="5"/>
        <item x="4"/>
        <item x="3"/>
        <item x="2"/>
        <item x="1"/>
        <item x="0"/>
        <item m="1" x="11"/>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dataField="1" showAll="0"/>
  </pivotFields>
  <rowFields count="1">
    <field x="3"/>
  </rowFields>
  <rowItems count="6">
    <i>
      <x v="1"/>
    </i>
    <i>
      <x v="2"/>
    </i>
    <i>
      <x v="3"/>
    </i>
    <i>
      <x/>
    </i>
    <i>
      <x v="4"/>
    </i>
    <i t="grand">
      <x/>
    </i>
  </rowItems>
  <colItems count="1">
    <i/>
  </colItems>
  <dataFields count="1">
    <dataField name="Sum of Frequency" fld="21" baseField="0" baseItem="0"/>
  </dataFields>
  <formats count="8">
    <format dxfId="58">
      <pivotArea type="all" dataOnly="0" outline="0" fieldPosition="0"/>
    </format>
    <format dxfId="57">
      <pivotArea outline="0" collapsedLevelsAreSubtotals="1" fieldPosition="0"/>
    </format>
    <format dxfId="56">
      <pivotArea field="3" type="button" dataOnly="0" labelOnly="1" outline="0" axis="axisRow" fieldPosition="0"/>
    </format>
    <format dxfId="55">
      <pivotArea dataOnly="0" labelOnly="1" fieldPosition="0">
        <references count="1">
          <reference field="3" count="0"/>
        </references>
      </pivotArea>
    </format>
    <format dxfId="54">
      <pivotArea dataOnly="0" labelOnly="1" grandRow="1" outline="0" fieldPosition="0"/>
    </format>
    <format dxfId="53">
      <pivotArea dataOnly="0" labelOnly="1" outline="0" axis="axisValues" fieldPosition="0"/>
    </format>
    <format dxfId="52">
      <pivotArea outline="0" collapsedLevelsAreSubtotals="1" fieldPosition="0"/>
    </format>
    <format dxfId="51">
      <pivotArea dataOnly="0" labelOnly="1" outline="0" axis="axisValues"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F1E0C0-CF1B-4D1C-BDF0-7626D58634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rivers">
  <location ref="N2:O279" firstHeaderRow="1" firstDataRow="1" firstDataCol="1"/>
  <pivotFields count="22">
    <pivotField showAll="0">
      <items count="5">
        <item x="3"/>
        <item x="0"/>
        <item x="1"/>
        <item x="2"/>
        <item t="default"/>
      </items>
    </pivotField>
    <pivotField showAll="0"/>
    <pivotField axis="axisRow" showAll="0" sortType="descending">
      <items count="556">
        <item m="1" x="375"/>
        <item m="1" x="328"/>
        <item m="1" x="284"/>
        <item m="1" x="416"/>
        <item m="1" x="302"/>
        <item m="1" x="520"/>
        <item m="1" x="411"/>
        <item m="1" x="279"/>
        <item m="1" x="461"/>
        <item m="1" x="374"/>
        <item m="1" x="532"/>
        <item m="1" x="449"/>
        <item m="1" x="515"/>
        <item m="1" x="506"/>
        <item m="1" x="413"/>
        <item m="1" x="294"/>
        <item m="1" x="373"/>
        <item m="1" x="464"/>
        <item m="1" x="460"/>
        <item m="1" x="277"/>
        <item m="1" x="360"/>
        <item m="1" x="381"/>
        <item m="1" x="465"/>
        <item m="1" x="423"/>
        <item m="1" x="408"/>
        <item m="1" x="358"/>
        <item m="1" x="335"/>
        <item m="1" x="522"/>
        <item m="1" x="356"/>
        <item m="1" x="536"/>
        <item m="1" x="467"/>
        <item m="1" x="425"/>
        <item m="1" x="495"/>
        <item m="1" x="524"/>
        <item m="1" x="351"/>
        <item m="1" x="321"/>
        <item m="1" x="487"/>
        <item m="1" x="463"/>
        <item m="1" x="491"/>
        <item m="1" x="293"/>
        <item m="1" x="352"/>
        <item m="1" x="445"/>
        <item m="1" x="479"/>
        <item m="1" x="535"/>
        <item m="1" x="547"/>
        <item m="1" x="341"/>
        <item m="1" x="342"/>
        <item m="1" x="317"/>
        <item m="1" x="403"/>
        <item m="1" x="546"/>
        <item m="1" x="428"/>
        <item m="1" x="404"/>
        <item m="1" x="280"/>
        <item m="1" x="292"/>
        <item m="1" x="427"/>
        <item m="1" x="415"/>
        <item m="1" x="537"/>
        <item m="1" x="401"/>
        <item m="1" x="330"/>
        <item m="1" x="496"/>
        <item m="1" x="285"/>
        <item m="1" x="383"/>
        <item m="1" x="475"/>
        <item m="1" x="297"/>
        <item m="1" x="437"/>
        <item m="1" x="471"/>
        <item m="1" x="457"/>
        <item m="1" x="291"/>
        <item m="1" x="412"/>
        <item m="1" x="299"/>
        <item m="1" x="490"/>
        <item m="1" x="276"/>
        <item m="1" x="323"/>
        <item m="1" x="519"/>
        <item m="1" x="311"/>
        <item m="1" x="362"/>
        <item m="1" x="534"/>
        <item m="1" x="343"/>
        <item m="1" x="380"/>
        <item m="1" x="329"/>
        <item m="1" x="497"/>
        <item m="1" x="409"/>
        <item m="1" x="434"/>
        <item m="1" x="473"/>
        <item m="1" x="516"/>
        <item m="1" x="296"/>
        <item m="1" x="379"/>
        <item m="1" x="364"/>
        <item m="1" x="446"/>
        <item m="1" x="363"/>
        <item m="1" x="509"/>
        <item m="1" x="458"/>
        <item m="1" x="421"/>
        <item m="1" x="377"/>
        <item m="1" x="372"/>
        <item m="1" x="334"/>
        <item m="1" x="405"/>
        <item m="1" x="300"/>
        <item m="1" x="361"/>
        <item m="1" x="435"/>
        <item m="1" x="278"/>
        <item m="1" x="510"/>
        <item m="1" x="517"/>
        <item m="1" x="406"/>
        <item m="1" x="426"/>
        <item m="1" x="370"/>
        <item m="1" x="286"/>
        <item m="1" x="454"/>
        <item m="1" x="436"/>
        <item m="1" x="498"/>
        <item m="1" x="474"/>
        <item m="1" x="322"/>
        <item m="1" x="305"/>
        <item m="1" x="414"/>
        <item m="1" x="554"/>
        <item m="1" x="438"/>
        <item m="1" x="301"/>
        <item m="1" x="325"/>
        <item m="1" x="422"/>
        <item m="1" x="395"/>
        <item m="1" x="393"/>
        <item m="1" x="468"/>
        <item m="1" x="508"/>
        <item m="1" x="306"/>
        <item m="1" x="480"/>
        <item m="1" x="312"/>
        <item m="1" x="396"/>
        <item m="1" x="447"/>
        <item m="1" x="521"/>
        <item m="1" x="376"/>
        <item m="1" x="369"/>
        <item m="1" x="295"/>
        <item m="1" x="281"/>
        <item m="1" x="344"/>
        <item m="1" x="545"/>
        <item m="1" x="314"/>
        <item m="1" x="529"/>
        <item m="1" x="499"/>
        <item m="1" x="525"/>
        <item m="1" x="478"/>
        <item m="1" x="486"/>
        <item m="1" x="290"/>
        <item m="1" x="390"/>
        <item m="1" x="420"/>
        <item m="1" x="481"/>
        <item m="1" x="326"/>
        <item m="1" x="336"/>
        <item m="1" x="385"/>
        <item m="1" x="550"/>
        <item m="1" x="526"/>
        <item m="1" x="444"/>
        <item m="1" x="288"/>
        <item m="1" x="340"/>
        <item m="1" x="433"/>
        <item m="1" x="327"/>
        <item m="1" x="523"/>
        <item m="1" x="472"/>
        <item m="1" x="331"/>
        <item m="1" x="500"/>
        <item m="1" x="316"/>
        <item m="1" x="501"/>
        <item m="1" x="514"/>
        <item m="1" x="503"/>
        <item m="1" x="320"/>
        <item m="1" x="459"/>
        <item m="1" x="494"/>
        <item m="1" x="399"/>
        <item m="1" x="453"/>
        <item m="1" x="338"/>
        <item m="1" x="353"/>
        <item m="1" x="470"/>
        <item m="1" x="443"/>
        <item m="1" x="392"/>
        <item m="1" x="493"/>
        <item m="1" x="541"/>
        <item m="1" x="346"/>
        <item m="1" x="485"/>
        <item m="1" x="418"/>
        <item m="1" x="289"/>
        <item m="1" x="419"/>
        <item m="1" x="384"/>
        <item m="1" x="539"/>
        <item m="1" x="315"/>
        <item m="1" x="350"/>
        <item m="1" x="439"/>
        <item m="1" x="456"/>
        <item m="1" x="283"/>
        <item m="1" x="324"/>
        <item m="1" x="476"/>
        <item m="1" x="448"/>
        <item m="1" x="452"/>
        <item m="1" x="544"/>
        <item m="1" x="430"/>
        <item m="1" x="489"/>
        <item m="1" x="391"/>
        <item m="1" x="319"/>
        <item m="1" x="400"/>
        <item m="1" x="309"/>
        <item m="1" x="442"/>
        <item m="1" x="513"/>
        <item m="1" x="359"/>
        <item m="1" x="337"/>
        <item m="1" x="451"/>
        <item m="1" x="482"/>
        <item m="1" x="398"/>
        <item m="1" x="388"/>
        <item m="1" x="527"/>
        <item m="1" x="469"/>
        <item m="1" x="543"/>
        <item m="1" x="455"/>
        <item m="1" x="282"/>
        <item m="1" x="389"/>
        <item m="1" x="538"/>
        <item m="1" x="298"/>
        <item m="1" x="477"/>
        <item m="1" x="466"/>
        <item m="1" x="431"/>
        <item m="1" x="502"/>
        <item m="1" x="483"/>
        <item m="1" x="304"/>
        <item m="1" x="348"/>
        <item m="1" x="349"/>
        <item m="1" x="407"/>
        <item m="1" x="440"/>
        <item m="1" x="528"/>
        <item m="1" x="488"/>
        <item m="1" x="386"/>
        <item m="1" x="518"/>
        <item m="1" x="417"/>
        <item m="1" x="354"/>
        <item m="1" x="432"/>
        <item m="1" x="505"/>
        <item m="1" x="347"/>
        <item m="1" x="424"/>
        <item m="1" x="549"/>
        <item m="1" x="339"/>
        <item m="1" x="484"/>
        <item m="1" x="310"/>
        <item m="1" x="441"/>
        <item m="1" x="367"/>
        <item m="1" x="492"/>
        <item m="1" x="332"/>
        <item m="1" x="548"/>
        <item m="1" x="397"/>
        <item m="1" x="551"/>
        <item m="1" x="512"/>
        <item m="1" x="333"/>
        <item m="1" x="355"/>
        <item m="1" x="402"/>
        <item m="1" x="366"/>
        <item m="1" x="318"/>
        <item m="1" x="542"/>
        <item m="1" x="462"/>
        <item m="1" x="371"/>
        <item m="1" x="387"/>
        <item m="1" x="345"/>
        <item m="1" x="287"/>
        <item m="1" x="450"/>
        <item m="1" x="504"/>
        <item m="1" x="308"/>
        <item m="1" x="531"/>
        <item m="1" x="368"/>
        <item m="1" x="511"/>
        <item m="1" x="365"/>
        <item m="1" x="530"/>
        <item m="1" x="540"/>
        <item m="1" x="307"/>
        <item m="1" x="533"/>
        <item m="1" x="507"/>
        <item m="1" x="357"/>
        <item m="1" x="313"/>
        <item m="1" x="303"/>
        <item m="1" x="382"/>
        <item m="1" x="378"/>
        <item m="1" x="394"/>
        <item m="1" x="429"/>
        <item m="1" x="552"/>
        <item m="1" x="410"/>
        <item m="1" x="5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autoSortScope>
        <pivotArea dataOnly="0" outline="0" fieldPosition="0">
          <references count="1">
            <reference field="4294967294" count="1" selected="0">
              <x v="0"/>
            </reference>
          </references>
        </pivotArea>
      </autoSortScope>
    </pivotField>
    <pivotField showAll="0">
      <items count="7">
        <item x="1"/>
        <item x="4"/>
        <item x="3"/>
        <item x="0"/>
        <item x="2"/>
        <item m="1" x="5"/>
        <item t="default"/>
      </items>
    </pivotField>
    <pivotField showAll="0"/>
    <pivotField showAll="0"/>
    <pivotField showAll="0"/>
    <pivotField showAll="0">
      <items count="13">
        <item x="10"/>
        <item x="9"/>
        <item x="8"/>
        <item x="7"/>
        <item x="6"/>
        <item x="5"/>
        <item x="4"/>
        <item x="3"/>
        <item x="2"/>
        <item x="1"/>
        <item x="0"/>
        <item m="1" x="11"/>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dataField="1" showAll="0"/>
  </pivotFields>
  <rowFields count="1">
    <field x="2"/>
  </rowFields>
  <rowItems count="277">
    <i>
      <x v="329"/>
    </i>
    <i>
      <x v="536"/>
    </i>
    <i>
      <x v="308"/>
    </i>
    <i>
      <x v="437"/>
    </i>
    <i>
      <x v="410"/>
    </i>
    <i>
      <x v="334"/>
    </i>
    <i>
      <x v="331"/>
    </i>
    <i>
      <x v="458"/>
    </i>
    <i>
      <x v="285"/>
    </i>
    <i>
      <x v="508"/>
    </i>
    <i>
      <x v="335"/>
    </i>
    <i>
      <x v="279"/>
    </i>
    <i>
      <x v="325"/>
    </i>
    <i>
      <x v="283"/>
    </i>
    <i>
      <x v="319"/>
    </i>
    <i>
      <x v="312"/>
    </i>
    <i>
      <x v="347"/>
    </i>
    <i>
      <x v="496"/>
    </i>
    <i>
      <x v="282"/>
    </i>
    <i>
      <x v="297"/>
    </i>
    <i>
      <x v="336"/>
    </i>
    <i>
      <x v="495"/>
    </i>
    <i>
      <x v="361"/>
    </i>
    <i>
      <x v="421"/>
    </i>
    <i>
      <x v="411"/>
    </i>
    <i>
      <x v="333"/>
    </i>
    <i>
      <x v="378"/>
    </i>
    <i>
      <x v="434"/>
    </i>
    <i>
      <x v="315"/>
    </i>
    <i>
      <x v="354"/>
    </i>
    <i>
      <x v="314"/>
    </i>
    <i>
      <x v="281"/>
    </i>
    <i>
      <x v="346"/>
    </i>
    <i>
      <x v="469"/>
    </i>
    <i>
      <x v="418"/>
    </i>
    <i>
      <x v="310"/>
    </i>
    <i>
      <x v="320"/>
    </i>
    <i>
      <x v="420"/>
    </i>
    <i>
      <x v="321"/>
    </i>
    <i>
      <x v="350"/>
    </i>
    <i>
      <x v="531"/>
    </i>
    <i>
      <x v="290"/>
    </i>
    <i>
      <x v="468"/>
    </i>
    <i>
      <x v="287"/>
    </i>
    <i>
      <x v="513"/>
    </i>
    <i>
      <x v="284"/>
    </i>
    <i>
      <x v="441"/>
    </i>
    <i>
      <x v="299"/>
    </i>
    <i>
      <x v="489"/>
    </i>
    <i>
      <x v="396"/>
    </i>
    <i>
      <x v="330"/>
    </i>
    <i>
      <x v="415"/>
    </i>
    <i>
      <x v="292"/>
    </i>
    <i>
      <x v="332"/>
    </i>
    <i>
      <x v="524"/>
    </i>
    <i>
      <x v="371"/>
    </i>
    <i>
      <x v="373"/>
    </i>
    <i>
      <x v="389"/>
    </i>
    <i>
      <x v="372"/>
    </i>
    <i>
      <x v="433"/>
    </i>
    <i>
      <x v="291"/>
    </i>
    <i>
      <x v="380"/>
    </i>
    <i>
      <x v="445"/>
    </i>
    <i>
      <x v="382"/>
    </i>
    <i>
      <x v="307"/>
    </i>
    <i>
      <x v="466"/>
    </i>
    <i>
      <x v="429"/>
    </i>
    <i>
      <x v="353"/>
    </i>
    <i>
      <x v="313"/>
    </i>
    <i>
      <x v="484"/>
    </i>
    <i>
      <x v="376"/>
    </i>
    <i>
      <x v="302"/>
    </i>
    <i>
      <x v="473"/>
    </i>
    <i>
      <x v="391"/>
    </i>
    <i>
      <x v="487"/>
    </i>
    <i>
      <x v="400"/>
    </i>
    <i>
      <x v="503"/>
    </i>
    <i>
      <x v="401"/>
    </i>
    <i>
      <x v="324"/>
    </i>
    <i>
      <x v="428"/>
    </i>
    <i>
      <x v="521"/>
    </i>
    <i>
      <x v="392"/>
    </i>
    <i>
      <x v="456"/>
    </i>
    <i>
      <x v="375"/>
    </i>
    <i>
      <x v="402"/>
    </i>
    <i>
      <x v="295"/>
    </i>
    <i>
      <x v="451"/>
    </i>
    <i>
      <x v="328"/>
    </i>
    <i>
      <x v="288"/>
    </i>
    <i>
      <x v="352"/>
    </i>
    <i>
      <x v="491"/>
    </i>
    <i>
      <x v="364"/>
    </i>
    <i>
      <x v="506"/>
    </i>
    <i>
      <x v="345"/>
    </i>
    <i>
      <x v="406"/>
    </i>
    <i>
      <x v="439"/>
    </i>
    <i>
      <x v="459"/>
    </i>
    <i>
      <x v="306"/>
    </i>
    <i>
      <x v="522"/>
    </i>
    <i>
      <x v="289"/>
    </i>
    <i>
      <x v="449"/>
    </i>
    <i>
      <x v="530"/>
    </i>
    <i>
      <x v="286"/>
    </i>
    <i>
      <x v="423"/>
    </i>
    <i>
      <x v="362"/>
    </i>
    <i>
      <x v="517"/>
    </i>
    <i>
      <x v="300"/>
    </i>
    <i>
      <x v="525"/>
    </i>
    <i>
      <x v="409"/>
    </i>
    <i>
      <x v="309"/>
    </i>
    <i>
      <x v="460"/>
    </i>
    <i>
      <x v="360"/>
    </i>
    <i>
      <x v="293"/>
    </i>
    <i>
      <x v="365"/>
    </i>
    <i>
      <x v="349"/>
    </i>
    <i>
      <x v="351"/>
    </i>
    <i>
      <x v="340"/>
    </i>
    <i>
      <x v="444"/>
    </i>
    <i>
      <x v="471"/>
    </i>
    <i>
      <x v="357"/>
    </i>
    <i>
      <x v="322"/>
    </i>
    <i>
      <x v="527"/>
    </i>
    <i>
      <x v="399"/>
    </i>
    <i>
      <x v="447"/>
    </i>
    <i>
      <x v="359"/>
    </i>
    <i>
      <x v="398"/>
    </i>
    <i>
      <x v="303"/>
    </i>
    <i>
      <x v="472"/>
    </i>
    <i>
      <x v="304"/>
    </i>
    <i>
      <x v="497"/>
    </i>
    <i>
      <x v="407"/>
    </i>
    <i>
      <x v="464"/>
    </i>
    <i>
      <x v="280"/>
    </i>
    <i>
      <x v="318"/>
    </i>
    <i>
      <x v="338"/>
    </i>
    <i>
      <x v="393"/>
    </i>
    <i>
      <x v="417"/>
    </i>
    <i>
      <x v="528"/>
    </i>
    <i>
      <x v="363"/>
    </i>
    <i>
      <x v="467"/>
    </i>
    <i>
      <x v="419"/>
    </i>
    <i>
      <x v="480"/>
    </i>
    <i>
      <x v="316"/>
    </i>
    <i>
      <x v="493"/>
    </i>
    <i>
      <x v="366"/>
    </i>
    <i>
      <x v="499"/>
    </i>
    <i>
      <x v="425"/>
    </i>
    <i>
      <x v="394"/>
    </i>
    <i>
      <x v="430"/>
    </i>
    <i>
      <x v="311"/>
    </i>
    <i>
      <x v="370"/>
    </i>
    <i>
      <x v="537"/>
    </i>
    <i>
      <x v="435"/>
    </i>
    <i>
      <x v="383"/>
    </i>
    <i>
      <x v="341"/>
    </i>
    <i>
      <x v="384"/>
    </i>
    <i>
      <x v="438"/>
    </i>
    <i>
      <x v="549"/>
    </i>
    <i>
      <x v="343"/>
    </i>
    <i>
      <x v="481"/>
    </i>
    <i>
      <x v="442"/>
    </i>
    <i>
      <x v="296"/>
    </i>
    <i>
      <x v="344"/>
    </i>
    <i>
      <x v="294"/>
    </i>
    <i>
      <x v="317"/>
    </i>
    <i>
      <x v="498"/>
    </i>
    <i>
      <x v="450"/>
    </i>
    <i>
      <x v="501"/>
    </i>
    <i>
      <x v="326"/>
    </i>
    <i>
      <x v="504"/>
    </i>
    <i>
      <x v="454"/>
    </i>
    <i>
      <x v="395"/>
    </i>
    <i>
      <x v="379"/>
    </i>
    <i>
      <x v="515"/>
    </i>
    <i>
      <x v="457"/>
    </i>
    <i>
      <x v="323"/>
    </i>
    <i>
      <x v="381"/>
    </i>
    <i>
      <x v="404"/>
    </i>
    <i>
      <x v="348"/>
    </i>
    <i>
      <x v="541"/>
    </i>
    <i>
      <x v="462"/>
    </i>
    <i>
      <x v="548"/>
    </i>
    <i>
      <x v="355"/>
    </i>
    <i>
      <x v="452"/>
    </i>
    <i>
      <x v="540"/>
    </i>
    <i>
      <x v="432"/>
    </i>
    <i>
      <x v="516"/>
    </i>
    <i>
      <x v="463"/>
    </i>
    <i>
      <x v="532"/>
    </i>
    <i>
      <x v="369"/>
    </i>
    <i>
      <x v="408"/>
    </i>
    <i>
      <x v="465"/>
    </i>
    <i>
      <x v="512"/>
    </i>
    <i>
      <x v="298"/>
    </i>
    <i>
      <x v="520"/>
    </i>
    <i>
      <x v="337"/>
    </i>
    <i>
      <x v="368"/>
    </i>
    <i>
      <x v="436"/>
    </i>
    <i>
      <x v="405"/>
    </i>
    <i>
      <x v="385"/>
    </i>
    <i>
      <x v="544"/>
    </i>
    <i>
      <x v="470"/>
    </i>
    <i>
      <x v="426"/>
    </i>
    <i>
      <x v="386"/>
    </i>
    <i>
      <x v="510"/>
    </i>
    <i>
      <x v="412"/>
    </i>
    <i>
      <x v="514"/>
    </i>
    <i>
      <x v="387"/>
    </i>
    <i>
      <x v="518"/>
    </i>
    <i>
      <x v="474"/>
    </i>
    <i>
      <x v="305"/>
    </i>
    <i>
      <x v="475"/>
    </i>
    <i>
      <x v="526"/>
    </i>
    <i>
      <x v="547"/>
    </i>
    <i>
      <x v="403"/>
    </i>
    <i>
      <x v="339"/>
    </i>
    <i>
      <x v="534"/>
    </i>
    <i>
      <x v="551"/>
    </i>
    <i>
      <x v="538"/>
    </i>
    <i>
      <x v="479"/>
    </i>
    <i>
      <x v="542"/>
    </i>
    <i>
      <x v="342"/>
    </i>
    <i>
      <x v="546"/>
    </i>
    <i>
      <x v="440"/>
    </i>
    <i>
      <x v="505"/>
    </i>
    <i>
      <x v="482"/>
    </i>
    <i>
      <x v="507"/>
    </i>
    <i>
      <x v="483"/>
    </i>
    <i>
      <x v="509"/>
    </i>
    <i>
      <x v="388"/>
    </i>
    <i>
      <x v="511"/>
    </i>
    <i>
      <x v="485"/>
    </i>
    <i>
      <x v="453"/>
    </i>
    <i>
      <x v="486"/>
    </i>
    <i>
      <x v="552"/>
    </i>
    <i>
      <x v="553"/>
    </i>
    <i>
      <x v="397"/>
    </i>
    <i>
      <x v="488"/>
    </i>
    <i>
      <x v="519"/>
    </i>
    <i>
      <x v="390"/>
    </i>
    <i>
      <x v="455"/>
    </i>
    <i>
      <x v="490"/>
    </i>
    <i>
      <x v="523"/>
    </i>
    <i>
      <x v="413"/>
    </i>
    <i>
      <x v="356"/>
    </i>
    <i>
      <x v="492"/>
    </i>
    <i>
      <x v="367"/>
    </i>
    <i>
      <x v="443"/>
    </i>
    <i>
      <x v="529"/>
    </i>
    <i>
      <x v="494"/>
    </i>
    <i>
      <x v="327"/>
    </i>
    <i>
      <x v="301"/>
    </i>
    <i>
      <x v="533"/>
    </i>
    <i>
      <x v="374"/>
    </i>
    <i>
      <x v="535"/>
    </i>
    <i>
      <x v="414"/>
    </i>
    <i>
      <x v="554"/>
    </i>
    <i>
      <x v="446"/>
    </i>
    <i>
      <x v="539"/>
    </i>
    <i>
      <x v="424"/>
    </i>
    <i>
      <x v="431"/>
    </i>
    <i>
      <x v="500"/>
    </i>
    <i>
      <x v="543"/>
    </i>
    <i>
      <x v="448"/>
    </i>
    <i>
      <x v="545"/>
    </i>
    <i>
      <x v="502"/>
    </i>
    <i>
      <x v="461"/>
    </i>
    <i>
      <x v="377"/>
    </i>
    <i>
      <x v="476"/>
    </i>
    <i>
      <x v="550"/>
    </i>
    <i>
      <x v="477"/>
    </i>
    <i>
      <x v="358"/>
    </i>
    <i>
      <x v="478"/>
    </i>
    <i>
      <x v="427"/>
    </i>
    <i>
      <x v="422"/>
    </i>
    <i>
      <x v="416"/>
    </i>
    <i t="grand">
      <x/>
    </i>
  </rowItems>
  <colItems count="1">
    <i/>
  </colItems>
  <dataFields count="1">
    <dataField name="Sum of Frequency" fld="21" baseField="0" baseItem="0"/>
  </dataFields>
  <formats count="7">
    <format dxfId="65">
      <pivotArea type="all" dataOnly="0" outline="0" fieldPosition="0"/>
    </format>
    <format dxfId="64">
      <pivotArea outline="0" collapsedLevelsAreSubtotals="1" fieldPosition="0"/>
    </format>
    <format dxfId="63">
      <pivotArea field="2" type="button" dataOnly="0" labelOnly="1" outline="0" axis="axisRow" fieldPosition="0"/>
    </format>
    <format dxfId="62">
      <pivotArea dataOnly="0" labelOnly="1" grandRow="1" outline="0" fieldPosition="0"/>
    </format>
    <format dxfId="61">
      <pivotArea dataOnly="0" labelOnly="1" outline="0" axis="axisValues" fieldPosition="0"/>
    </format>
    <format dxfId="60">
      <pivotArea outline="0" collapsedLevelsAreSubtotals="1" fieldPosition="0"/>
    </format>
    <format dxfId="59">
      <pivotArea dataOnly="0" labelOnly="1" outline="0" axis="axisValues" fieldPosition="0"/>
    </format>
  </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DF0D5E-9DCF-4E13-B229-9C9E596017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ransporter">
  <location ref="E31:F36" firstHeaderRow="1" firstDataRow="1" firstDataCol="1"/>
  <pivotFields count="22">
    <pivotField axis="axisRow"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4"/>
        <item x="3"/>
        <item x="0"/>
        <item x="2"/>
        <item m="1" x="5"/>
        <item t="default"/>
      </items>
    </pivotField>
    <pivotField numFmtId="164" showAll="0"/>
    <pivotField showAll="0"/>
    <pivotField showAll="0"/>
    <pivotField showAll="0">
      <items count="13">
        <item x="10"/>
        <item x="9"/>
        <item x="8"/>
        <item x="7"/>
        <item x="6"/>
        <item x="5"/>
        <item x="4"/>
        <item x="3"/>
        <item x="2"/>
        <item x="1"/>
        <item x="0"/>
        <item m="1" x="11"/>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dataField="1" showAll="0"/>
    <pivotField showAll="0"/>
  </pivotFields>
  <rowFields count="1">
    <field x="0"/>
  </rowFields>
  <rowItems count="5">
    <i>
      <x/>
    </i>
    <i>
      <x v="1"/>
    </i>
    <i>
      <x v="3"/>
    </i>
    <i>
      <x v="2"/>
    </i>
    <i t="grand">
      <x/>
    </i>
  </rowItems>
  <colItems count="1">
    <i/>
  </colItems>
  <dataFields count="1">
    <dataField name="Count of Violation Distance (km)" fld="20" subtotal="count" baseField="0" baseItem="0"/>
  </dataFields>
  <formats count="8">
    <format dxfId="73">
      <pivotArea type="all" dataOnly="0" outline="0" fieldPosition="0"/>
    </format>
    <format dxfId="72">
      <pivotArea outline="0" collapsedLevelsAreSubtotals="1" fieldPosition="0"/>
    </format>
    <format dxfId="71">
      <pivotArea field="0" type="button" dataOnly="0" labelOnly="1" outline="0" axis="axisRow" fieldPosition="0"/>
    </format>
    <format dxfId="70">
      <pivotArea dataOnly="0" labelOnly="1" fieldPosition="0">
        <references count="1">
          <reference field="0" count="0"/>
        </references>
      </pivotArea>
    </format>
    <format dxfId="69">
      <pivotArea dataOnly="0" labelOnly="1" grandRow="1" outline="0" fieldPosition="0"/>
    </format>
    <format dxfId="68">
      <pivotArea dataOnly="0" labelOnly="1" outline="0" axis="axisValues" fieldPosition="0"/>
    </format>
    <format dxfId="67">
      <pivotArea outline="0" collapsedLevelsAreSubtotals="1" fieldPosition="0"/>
    </format>
    <format dxfId="66">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66940C-ED38-469A-A052-7271B456DE61}" name="hauli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Transporter">
  <location ref="E16:F21" firstHeaderRow="1" firstDataRow="1" firstDataCol="1"/>
  <pivotFields count="22">
    <pivotField axis="axisRow"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4"/>
        <item x="3"/>
        <item x="0"/>
        <item x="2"/>
        <item m="1" x="5"/>
        <item t="default"/>
      </items>
    </pivotField>
    <pivotField showAll="0"/>
    <pivotField showAll="0"/>
    <pivotField showAll="0"/>
    <pivotField showAll="0">
      <items count="13">
        <item x="10"/>
        <item x="9"/>
        <item x="8"/>
        <item x="7"/>
        <item x="6"/>
        <item x="5"/>
        <item x="4"/>
        <item x="3"/>
        <item x="2"/>
        <item x="1"/>
        <item x="0"/>
        <item m="1" x="11"/>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dataField="1" showAll="0"/>
  </pivotFields>
  <rowFields count="1">
    <field x="0"/>
  </rowFields>
  <rowItems count="5">
    <i>
      <x/>
    </i>
    <i>
      <x v="1"/>
    </i>
    <i>
      <x v="3"/>
    </i>
    <i>
      <x v="2"/>
    </i>
    <i t="grand">
      <x/>
    </i>
  </rowItems>
  <colItems count="1">
    <i/>
  </colItems>
  <dataFields count="1">
    <dataField name="Sum of Frequency" fld="21" baseField="0" baseItem="0"/>
  </dataFields>
  <formats count="8">
    <format dxfId="81">
      <pivotArea type="all" dataOnly="0" outline="0" fieldPosition="0"/>
    </format>
    <format dxfId="80">
      <pivotArea outline="0" collapsedLevelsAreSubtotals="1" fieldPosition="0"/>
    </format>
    <format dxfId="79">
      <pivotArea field="0" type="button" dataOnly="0" labelOnly="1" outline="0" axis="axisRow" fieldPosition="0"/>
    </format>
    <format dxfId="78">
      <pivotArea dataOnly="0" labelOnly="1" fieldPosition="0">
        <references count="1">
          <reference field="0" count="0"/>
        </references>
      </pivotArea>
    </format>
    <format dxfId="77">
      <pivotArea dataOnly="0" labelOnly="1" grandRow="1" outline="0" fieldPosition="0"/>
    </format>
    <format dxfId="76">
      <pivotArea dataOnly="0" labelOnly="1" outline="0" axis="axisValues" fieldPosition="0"/>
    </format>
    <format dxfId="75">
      <pivotArea outline="0" collapsedLevelsAreSubtotals="1" fieldPosition="0"/>
    </format>
    <format dxfId="74">
      <pivotArea dataOnly="0" labelOnly="1" outline="0" axis="axisValues" fieldPosition="0"/>
    </format>
  </formats>
  <chartFormats count="1">
    <chartFormat chart="14" format="3" series="1">
      <pivotArea type="data" outline="0" fieldPosition="0">
        <references count="1">
          <reference field="4294967294" count="1" selected="0">
            <x v="0"/>
          </reference>
        </references>
      </pivotArea>
    </chartFormat>
  </chart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9756A0-8254-4A4B-99F6-E488E2EBE923}" name="weekn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8" rowHeaderCaption="Week.No">
  <location ref="H2:I51" firstHeaderRow="1" firstDataRow="1" firstDataCol="1"/>
  <pivotFields count="22">
    <pivotField showAll="0">
      <items count="5">
        <item x="3"/>
        <item x="0"/>
        <item x="1"/>
        <item x="2"/>
        <item t="default"/>
      </items>
    </pivotField>
    <pivotField dataField="1" showAll="0"/>
    <pivotField showAll="0"/>
    <pivotField showAll="0">
      <items count="7">
        <item x="1"/>
        <item x="4"/>
        <item x="3"/>
        <item x="0"/>
        <item x="2"/>
        <item m="1" x="5"/>
        <item t="default"/>
      </items>
    </pivotField>
    <pivotField numFmtId="164" showAll="0"/>
    <pivotField showAll="0"/>
    <pivotField showAll="0"/>
    <pivotField showAll="0">
      <items count="13">
        <item x="10"/>
        <item x="9"/>
        <item x="8"/>
        <item x="7"/>
        <item x="6"/>
        <item x="5"/>
        <item x="4"/>
        <item x="3"/>
        <item x="2"/>
        <item x="1"/>
        <item x="0"/>
        <item m="1" x="11"/>
        <item t="default"/>
      </items>
    </pivotField>
    <pivotField axis="axisRow" showAll="0" sortType="ascending">
      <items count="100">
        <item m="1" x="49"/>
        <item x="47"/>
        <item x="38"/>
        <item x="37"/>
        <item x="36"/>
        <item x="35"/>
        <item x="34"/>
        <item x="33"/>
        <item x="32"/>
        <item x="31"/>
        <item x="30"/>
        <item x="29"/>
        <item x="46"/>
        <item x="28"/>
        <item x="27"/>
        <item x="26"/>
        <item x="25"/>
        <item x="24"/>
        <item x="45"/>
        <item x="23"/>
        <item x="22"/>
        <item x="21"/>
        <item x="20"/>
        <item x="19"/>
        <item x="18"/>
        <item x="17"/>
        <item x="16"/>
        <item x="15"/>
        <item x="14"/>
        <item x="44"/>
        <item x="13"/>
        <item x="12"/>
        <item x="11"/>
        <item x="10"/>
        <item x="9"/>
        <item x="8"/>
        <item x="7"/>
        <item x="6"/>
        <item x="5"/>
        <item x="4"/>
        <item x="43"/>
        <item x="3"/>
        <item x="2"/>
        <item x="1"/>
        <item x="0"/>
        <item x="42"/>
        <item x="41"/>
        <item x="40"/>
        <item x="39"/>
        <item m="1" x="57"/>
        <item m="1" x="98"/>
        <item m="1" x="62"/>
        <item m="1" x="61"/>
        <item m="1" x="60"/>
        <item m="1" x="59"/>
        <item m="1" x="58"/>
        <item m="1" x="56"/>
        <item m="1" x="55"/>
        <item m="1" x="54"/>
        <item m="1" x="53"/>
        <item m="1" x="52"/>
        <item m="1" x="97"/>
        <item m="1" x="50"/>
        <item m="1" x="51"/>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7"/>
        <item m="1" x="68"/>
        <item m="1" x="66"/>
        <item m="1" x="65"/>
        <item m="1" x="64"/>
        <item m="1" x="63"/>
        <item m="1" x="48"/>
        <item t="default"/>
      </items>
    </pivotField>
    <pivotField numFmtId="164" showAll="0"/>
    <pivotField showAll="0"/>
    <pivotField showAll="0"/>
    <pivotField showAll="0"/>
    <pivotField numFmtId="2" showAll="0"/>
    <pivotField showAll="0"/>
    <pivotField showAll="0"/>
    <pivotField showAll="0"/>
    <pivotField showAll="0"/>
    <pivotField showAll="0"/>
    <pivotField showAll="0"/>
    <pivotField showAll="0"/>
    <pivotField showAll="0"/>
  </pivotFields>
  <rowFields count="1">
    <field x="8"/>
  </rowFields>
  <rowItems count="49">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Registration Number" fld="1" subtotal="count" baseField="0" baseItem="0"/>
  </dataFields>
  <formats count="8">
    <format dxfId="89">
      <pivotArea type="all" dataOnly="0" outline="0" fieldPosition="0"/>
    </format>
    <format dxfId="88">
      <pivotArea outline="0" collapsedLevelsAreSubtotals="1" fieldPosition="0"/>
    </format>
    <format dxfId="87">
      <pivotArea field="8" type="button" dataOnly="0" labelOnly="1" outline="0" axis="axisRow" fieldPosition="0"/>
    </format>
    <format dxfId="86">
      <pivotArea dataOnly="0" labelOnly="1" fieldPosition="0">
        <references count="1">
          <reference field="8" count="0"/>
        </references>
      </pivotArea>
    </format>
    <format dxfId="85">
      <pivotArea dataOnly="0" labelOnly="1" grandRow="1" outline="0" fieldPosition="0"/>
    </format>
    <format dxfId="84">
      <pivotArea dataOnly="0" labelOnly="1" outline="0" axis="axisValues" fieldPosition="0"/>
    </format>
    <format dxfId="83">
      <pivotArea outline="0" collapsedLevelsAreSubtotals="1" fieldPosition="0"/>
    </format>
    <format dxfId="82">
      <pivotArea dataOnly="0" labelOnly="1" outline="0" axis="axisValues" fieldPosition="0"/>
    </format>
  </formats>
  <chartFormats count="34">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0"/>
          </reference>
        </references>
      </pivotArea>
    </chartFormat>
    <chartFormat chart="50" format="5" series="1">
      <pivotArea type="data" outline="0" fieldPosition="0">
        <references count="1">
          <reference field="4294967294" count="1" selected="0">
            <x v="0"/>
          </reference>
        </references>
      </pivotArea>
    </chartFormat>
    <chartFormat chart="51" format="6" series="1">
      <pivotArea type="data" outline="0" fieldPosition="0">
        <references count="1">
          <reference field="4294967294" count="1" selected="0">
            <x v="0"/>
          </reference>
        </references>
      </pivotArea>
    </chartFormat>
    <chartFormat chart="54" format="5" series="1">
      <pivotArea type="data" outline="0" fieldPosition="0">
        <references count="1">
          <reference field="4294967294" count="1" selected="0">
            <x v="0"/>
          </reference>
        </references>
      </pivotArea>
    </chartFormat>
    <chartFormat chart="55" format="6" series="1">
      <pivotArea type="data" outline="0" fieldPosition="0">
        <references count="1">
          <reference field="4294967294" count="1" selected="0">
            <x v="0"/>
          </reference>
        </references>
      </pivotArea>
    </chartFormat>
    <chartFormat chart="61" format="5" series="1">
      <pivotArea type="data" outline="0" fieldPosition="0">
        <references count="1">
          <reference field="4294967294" count="1" selected="0">
            <x v="0"/>
          </reference>
        </references>
      </pivotArea>
    </chartFormat>
    <chartFormat chart="62" format="6" series="1">
      <pivotArea type="data" outline="0" fieldPosition="0">
        <references count="1">
          <reference field="4294967294" count="1" selected="0">
            <x v="0"/>
          </reference>
        </references>
      </pivotArea>
    </chartFormat>
    <chartFormat chart="83" format="6" series="1">
      <pivotArea type="data" outline="0" fieldPosition="0">
        <references count="1">
          <reference field="4294967294" count="1" selected="0">
            <x v="0"/>
          </reference>
        </references>
      </pivotArea>
    </chartFormat>
    <chartFormat chart="84" format="7" series="1">
      <pivotArea type="data" outline="0" fieldPosition="0">
        <references count="1">
          <reference field="4294967294" count="1" selected="0">
            <x v="0"/>
          </reference>
        </references>
      </pivotArea>
    </chartFormat>
    <chartFormat chart="92" format="8" series="1">
      <pivotArea type="data" outline="0" fieldPosition="0">
        <references count="1">
          <reference field="4294967294" count="1" selected="0">
            <x v="0"/>
          </reference>
        </references>
      </pivotArea>
    </chartFormat>
    <chartFormat chart="91" format="7" series="1">
      <pivotArea type="data" outline="0" fieldPosition="0">
        <references count="1">
          <reference field="4294967294" count="1" selected="0">
            <x v="0"/>
          </reference>
        </references>
      </pivotArea>
    </chartFormat>
    <chartFormat chart="118" format="6" series="1">
      <pivotArea type="data" outline="0" fieldPosition="0">
        <references count="1">
          <reference field="4294967294" count="1" selected="0">
            <x v="0"/>
          </reference>
        </references>
      </pivotArea>
    </chartFormat>
    <chartFormat chart="119" format="7" series="1">
      <pivotArea type="data" outline="0" fieldPosition="0">
        <references count="1">
          <reference field="4294967294" count="1" selected="0">
            <x v="0"/>
          </reference>
        </references>
      </pivotArea>
    </chartFormat>
    <chartFormat chart="126" format="6" series="1">
      <pivotArea type="data" outline="0" fieldPosition="0">
        <references count="1">
          <reference field="4294967294" count="1" selected="0">
            <x v="0"/>
          </reference>
        </references>
      </pivotArea>
    </chartFormat>
    <chartFormat chart="127" format="7" series="1">
      <pivotArea type="data" outline="0" fieldPosition="0">
        <references count="1">
          <reference field="4294967294" count="1" selected="0">
            <x v="0"/>
          </reference>
        </references>
      </pivotArea>
    </chartFormat>
    <chartFormat chart="134" format="6" series="1">
      <pivotArea type="data" outline="0" fieldPosition="0">
        <references count="1">
          <reference field="4294967294" count="1" selected="0">
            <x v="0"/>
          </reference>
        </references>
      </pivotArea>
    </chartFormat>
    <chartFormat chart="135" format="7" series="1">
      <pivotArea type="data" outline="0" fieldPosition="0">
        <references count="1">
          <reference field="4294967294" count="1" selected="0">
            <x v="0"/>
          </reference>
        </references>
      </pivotArea>
    </chartFormat>
    <chartFormat chart="142" format="6" series="1">
      <pivotArea type="data" outline="0" fieldPosition="0">
        <references count="1">
          <reference field="4294967294" count="1" selected="0">
            <x v="0"/>
          </reference>
        </references>
      </pivotArea>
    </chartFormat>
    <chartFormat chart="143" format="7" series="1">
      <pivotArea type="data" outline="0" fieldPosition="0">
        <references count="1">
          <reference field="4294967294" count="1" selected="0">
            <x v="0"/>
          </reference>
        </references>
      </pivotArea>
    </chartFormat>
    <chartFormat chart="149" format="6" series="1">
      <pivotArea type="data" outline="0" fieldPosition="0">
        <references count="1">
          <reference field="4294967294" count="1" selected="0">
            <x v="0"/>
          </reference>
        </references>
      </pivotArea>
    </chartFormat>
    <chartFormat chart="150" format="7" series="1">
      <pivotArea type="data" outline="0" fieldPosition="0">
        <references count="1">
          <reference field="4294967294" count="1" selected="0">
            <x v="0"/>
          </reference>
        </references>
      </pivotArea>
    </chartFormat>
    <chartFormat chart="158" format="7" series="1">
      <pivotArea type="data" outline="0" fieldPosition="0">
        <references count="1">
          <reference field="4294967294" count="1" selected="0">
            <x v="0"/>
          </reference>
        </references>
      </pivotArea>
    </chartFormat>
    <chartFormat chart="159" format="8" series="1">
      <pivotArea type="data" outline="0" fieldPosition="0">
        <references count="1">
          <reference field="4294967294" count="1" selected="0">
            <x v="0"/>
          </reference>
        </references>
      </pivotArea>
    </chartFormat>
    <chartFormat chart="164" format="8" series="1">
      <pivotArea type="data" outline="0" fieldPosition="0">
        <references count="1">
          <reference field="4294967294" count="1" selected="0">
            <x v="0"/>
          </reference>
        </references>
      </pivotArea>
    </chartFormat>
    <chartFormat chart="165" format="9" series="1">
      <pivotArea type="data" outline="0" fieldPosition="0">
        <references count="1">
          <reference field="4294967294" count="1" selected="0">
            <x v="0"/>
          </reference>
        </references>
      </pivotArea>
    </chartFormat>
    <chartFormat chart="172" format="8" series="1">
      <pivotArea type="data" outline="0" fieldPosition="0">
        <references count="1">
          <reference field="4294967294" count="1" selected="0">
            <x v="0"/>
          </reference>
        </references>
      </pivotArea>
    </chartFormat>
    <chartFormat chart="173" format="9"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er" xr10:uid="{4875B72F-5658-47BD-85F5-8224A905EF63}" sourceName="Transporter">
  <pivotTables>
    <pivotTable tabId="2" name="months"/>
    <pivotTable tabId="2" name="weekno"/>
    <pivotTable tabId="2" name="Regno"/>
    <pivotTable tabId="2" name="PivotTable6"/>
    <pivotTable tabId="2" name="eventytype"/>
    <pivotTable tabId="2" name="haulier"/>
  </pivotTables>
  <data>
    <tabular pivotCacheId="15009227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olation_Type" xr10:uid="{AB5671BF-A7F0-40C0-A974-5F55F6F1F8CD}" sourceName="Violation Type">
  <pivotTables>
    <pivotTable tabId="2" name="haulier"/>
    <pivotTable tabId="2" name="months"/>
    <pivotTable tabId="2" name="PivotTable6"/>
    <pivotTable tabId="2" name="Regno"/>
    <pivotTable tabId="2" name="weekno"/>
    <pivotTable tabId="2" name="eventytype"/>
    <pivotTable tabId="2" name="PivotTable1"/>
  </pivotTables>
  <data>
    <tabular pivotCacheId="150092275">
      <items count="6">
        <i x="1" s="1"/>
        <i x="4" s="1"/>
        <i x="3" s="1"/>
        <i x="0" s="1"/>
        <i x="2"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F468D35-342F-4591-BEED-859704DB6F78}" sourceName="Month">
  <pivotTables>
    <pivotTable tabId="2" name="eventytype"/>
    <pivotTable tabId="2" name="haulier"/>
    <pivotTable tabId="2" name="PivotTable1"/>
    <pivotTable tabId="2" name="PivotTable6"/>
    <pivotTable tabId="2" name="Regno"/>
    <pivotTable tabId="2" name="weekno"/>
    <pivotTable tabId="2" name="months"/>
  </pivotTables>
  <data>
    <tabular pivotCacheId="150092275">
      <items count="12">
        <i x="10" s="1"/>
        <i x="9" s="1"/>
        <i x="8" s="1"/>
        <i x="7" s="1"/>
        <i x="6" s="1"/>
        <i x="5" s="1"/>
        <i x="4" s="1"/>
        <i x="3" s="1"/>
        <i x="2" s="1"/>
        <i x="1" s="1"/>
        <i x="0" s="1"/>
        <i x="1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porter" xr10:uid="{BD236ADB-F38E-4CB3-B08F-A466E98E152B}" cache="Slicer_Transporter" caption="Transporter" columnCount="4" style="SlicerStyleDark1" rowHeight="241300"/>
  <slicer name="Violation Type" xr10:uid="{7310818C-598E-48E1-8227-2A61E4C24223}" cache="Slicer_Violation_Type" caption="Violation Type" columnCount="2" style="SlicerStyleDark2" rowHeight="241300"/>
  <slicer name="Month" xr10:uid="{D4A82007-A93E-4D5D-AB7B-C2EAA8762754}" cache="Slicer_Month" caption="Month" columnCount="4"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289DC7-FB51-405F-B2B0-F173A0DCC530}" name="Table2" displayName="Table2" ref="B2:C6" totalsRowShown="0" headerRowDxfId="30" headerRowBorderDxfId="29" tableBorderDxfId="28" totalsRowBorderDxfId="27">
  <autoFilter ref="B2:C6" xr:uid="{24289DC7-FB51-405F-B2B0-F173A0DCC530}">
    <filterColumn colId="0" hiddenButton="1"/>
    <filterColumn colId="1" hiddenButton="1"/>
  </autoFilter>
  <tableColumns count="2">
    <tableColumn id="1" xr3:uid="{05CB4D65-19DF-40FD-A067-27C5682CF766}" name="Summary" dataDxfId="26"/>
    <tableColumn id="2" xr3:uid="{DE1A75CA-E30B-433B-8A16-34303E3063C2}" name="Sum" dataDxfId="25"/>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002108-9E9D-418C-8C2F-ADB14EFBD157}" name="events" displayName="events" ref="A1:V1176" totalsRowShown="0" headerRowDxfId="24" headerRowBorderDxfId="23" tableBorderDxfId="22">
  <sortState xmlns:xlrd2="http://schemas.microsoft.com/office/spreadsheetml/2017/richdata2" ref="A2:V1176">
    <sortCondition descending="1" ref="E2:E1176"/>
  </sortState>
  <tableColumns count="22">
    <tableColumn id="1" xr3:uid="{8FC7F218-C425-4835-8BA6-2AF0695A8BFB}" name="Transporter" dataDxfId="21"/>
    <tableColumn id="2" xr3:uid="{FC6D245E-6FA0-4B90-A2E0-8792B9475CDF}" name="Registration Number" dataDxfId="20"/>
    <tableColumn id="3" xr3:uid="{CC60D69A-E103-48F9-905A-4437CE501064}" name="Driver" dataDxfId="19"/>
    <tableColumn id="4" xr3:uid="{5076A466-AC4F-41CF-8211-EA82DB4DB664}" name="Violation Type" dataDxfId="18"/>
    <tableColumn id="5" xr3:uid="{7F091E72-507A-43A6-B0A0-C7C2696FE884}" name="Start Date" dataDxfId="17"/>
    <tableColumn id="6" xr3:uid="{7F33B087-1068-4B70-87F8-611A1AE9C1F4}" name="WeekDay" dataDxfId="16"/>
    <tableColumn id="23" xr3:uid="{FE53B532-F684-4085-871E-8A0FCA658493}" name="Year" dataDxfId="15">
      <calculatedColumnFormula>YEAR(events[[#This Row],[Start Date]])</calculatedColumnFormula>
    </tableColumn>
    <tableColumn id="7" xr3:uid="{B8B0E3D1-C1CE-49FE-80CB-490FD592C796}" name="Month" dataDxfId="14">
      <calculatedColumnFormula>TEXT(events[[#This Row],[Start Date]],"mmm")</calculatedColumnFormula>
    </tableColumn>
    <tableColumn id="8" xr3:uid="{80925FB7-8572-47B0-81B7-631AFEF90660}" name="Week.No" dataDxfId="13">
      <calculatedColumnFormula>CONCATENATE("WK_",WEEKNUM(events[[#This Row],[Start Date]]))</calculatedColumnFormula>
    </tableColumn>
    <tableColumn id="9" xr3:uid="{A914737D-A467-431B-835B-D258A6A28DBE}" name="End Date" dataDxfId="12"/>
    <tableColumn id="10" xr3:uid="{23ED4EA8-178E-4B49-B7F3-0700B03E7CCE}" name="Max Value" dataDxfId="11"/>
    <tableColumn id="11" xr3:uid="{DD3B6216-318C-49EF-B818-351A40CDAEAA}" name="Measurement Units" dataDxfId="10"/>
    <tableColumn id="12" xr3:uid="{A9913454-3A53-42DF-B791-A99678C17754}" name="Total Duration (hh:mm:ss)" dataDxfId="9"/>
    <tableColumn id="24" xr3:uid="{01683C9A-2481-4916-ADA5-546A09A4EA45}" name="Duration (Minutes)" dataDxfId="8">
      <calculatedColumnFormula>HOUR(M2)*60+MINUTE(M2)+SECOND(M2)/60</calculatedColumnFormula>
    </tableColumn>
    <tableColumn id="15" xr3:uid="{A1F4FFC0-61F4-4256-A15F-3C70941A4BBC}" name="Start County" dataDxfId="7"/>
    <tableColumn id="16" xr3:uid="{AE3E11AC-396C-45AB-90D5-153DBFFF6EAC}" name="End County" dataDxfId="6"/>
    <tableColumn id="17" xr3:uid="{FCBC053F-7BD1-4420-8AA8-D74DFFE2B8C1}" name="Start Location" dataDxfId="5"/>
    <tableColumn id="18" xr3:uid="{DF4DA4A1-7FE0-4CB8-865D-1527ECEF3517}" name="End Location" dataDxfId="4"/>
    <tableColumn id="19" xr3:uid="{439985A2-06EE-4DED-8C63-011FC4CC7B1E}" name="Start GPS Cordinates" dataDxfId="3"/>
    <tableColumn id="20" xr3:uid="{48CBB2A8-6B32-4957-9011-4B5550BB4E63}" name="Final GPS Cordinates" dataDxfId="2"/>
    <tableColumn id="21" xr3:uid="{81239869-2236-4B0A-8D85-7584DC015791}" name="Violation Distance (km)" dataDxfId="1"/>
    <tableColumn id="22" xr3:uid="{C4C5AF15-6995-45D2-8D47-103DAF40CBE2}" name="Frequency"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5E802-9225-4DF8-99FB-E7AFE3AC187E}">
  <dimension ref="B1:O279"/>
  <sheetViews>
    <sheetView workbookViewId="0">
      <selection activeCell="I10" sqref="I10"/>
    </sheetView>
  </sheetViews>
  <sheetFormatPr defaultRowHeight="14.5" x14ac:dyDescent="0.35"/>
  <cols>
    <col min="1" max="1" width="1.36328125" customWidth="1"/>
    <col min="2" max="2" width="13.7265625" bestFit="1" customWidth="1"/>
    <col min="3" max="3" width="6.7265625" style="1" bestFit="1" customWidth="1"/>
    <col min="4" max="4" width="3.08984375" customWidth="1"/>
    <col min="5" max="5" width="13.08984375" bestFit="1" customWidth="1"/>
    <col min="6" max="6" width="15.81640625" style="1" bestFit="1" customWidth="1"/>
    <col min="7" max="7" width="2.08984375" customWidth="1"/>
    <col min="8" max="8" width="10.81640625" bestFit="1" customWidth="1"/>
    <col min="9" max="9" width="26.26953125" style="1" bestFit="1" customWidth="1"/>
    <col min="10" max="10" width="3.54296875" customWidth="1"/>
    <col min="11" max="11" width="16.54296875" bestFit="1" customWidth="1"/>
    <col min="12" max="12" width="15.81640625" style="1" bestFit="1" customWidth="1"/>
    <col min="13" max="13" width="4.36328125" customWidth="1"/>
    <col min="14" max="14" width="10.7265625" bestFit="1" customWidth="1"/>
    <col min="15" max="15" width="15.81640625" style="1" bestFit="1" customWidth="1"/>
  </cols>
  <sheetData>
    <row r="1" spans="2:15" ht="15" thickBot="1" x14ac:dyDescent="0.4"/>
    <row r="2" spans="2:15" ht="15" thickBot="1" x14ac:dyDescent="0.4">
      <c r="B2" s="43" t="s">
        <v>3433</v>
      </c>
      <c r="C2" s="44" t="s">
        <v>2912</v>
      </c>
      <c r="E2" s="39" t="s">
        <v>2919</v>
      </c>
      <c r="F2" s="10" t="s">
        <v>0</v>
      </c>
      <c r="H2" s="39" t="s">
        <v>11</v>
      </c>
      <c r="I2" s="10" t="s">
        <v>1</v>
      </c>
      <c r="K2" s="39" t="s">
        <v>2921</v>
      </c>
      <c r="L2" s="10" t="s">
        <v>0</v>
      </c>
      <c r="N2" s="39" t="s">
        <v>2922</v>
      </c>
      <c r="O2" s="10" t="s">
        <v>0</v>
      </c>
    </row>
    <row r="3" spans="2:15" x14ac:dyDescent="0.35">
      <c r="B3" s="8" t="s">
        <v>2909</v>
      </c>
      <c r="C3" s="40">
        <f>SUM(F3:F14)/2</f>
        <v>1175</v>
      </c>
      <c r="E3" s="18" t="s">
        <v>2851</v>
      </c>
      <c r="F3" s="10">
        <v>152</v>
      </c>
      <c r="H3" s="18" t="s">
        <v>2861</v>
      </c>
      <c r="I3" s="10">
        <v>16</v>
      </c>
      <c r="K3" s="18" t="s">
        <v>3205</v>
      </c>
      <c r="L3" s="10">
        <v>42</v>
      </c>
      <c r="N3" s="18" t="s">
        <v>2973</v>
      </c>
      <c r="O3" s="10">
        <v>39</v>
      </c>
    </row>
    <row r="4" spans="2:15" x14ac:dyDescent="0.35">
      <c r="B4" s="7" t="s">
        <v>2910</v>
      </c>
      <c r="C4" s="41">
        <f>COUNTA(E17:E21)-1</f>
        <v>4</v>
      </c>
      <c r="E4" s="18" t="s">
        <v>2852</v>
      </c>
      <c r="F4" s="10">
        <v>64</v>
      </c>
      <c r="H4" s="18" t="s">
        <v>2862</v>
      </c>
      <c r="I4" s="10">
        <v>16</v>
      </c>
      <c r="K4" s="18" t="s">
        <v>3372</v>
      </c>
      <c r="L4" s="10">
        <v>28</v>
      </c>
      <c r="N4" s="18" t="s">
        <v>3414</v>
      </c>
      <c r="O4" s="10">
        <v>27</v>
      </c>
    </row>
    <row r="5" spans="2:15" x14ac:dyDescent="0.35">
      <c r="B5" s="7" t="s">
        <v>2913</v>
      </c>
      <c r="C5" s="41">
        <f>COUNTA(K3:K240)-1</f>
        <v>234</v>
      </c>
      <c r="E5" s="18" t="s">
        <v>2853</v>
      </c>
      <c r="F5" s="10">
        <v>68</v>
      </c>
      <c r="H5" s="18" t="s">
        <v>2863</v>
      </c>
      <c r="I5" s="10">
        <v>20</v>
      </c>
      <c r="K5" s="18" t="s">
        <v>3342</v>
      </c>
      <c r="L5" s="10">
        <v>24</v>
      </c>
      <c r="N5" s="18" t="s">
        <v>2952</v>
      </c>
      <c r="O5" s="10">
        <v>23</v>
      </c>
    </row>
    <row r="6" spans="2:15" x14ac:dyDescent="0.35">
      <c r="B6" s="9" t="s">
        <v>2911</v>
      </c>
      <c r="C6" s="42">
        <f>COUNTA(N3:N279)-1</f>
        <v>276</v>
      </c>
      <c r="E6" s="18" t="s">
        <v>2854</v>
      </c>
      <c r="F6" s="10">
        <v>48</v>
      </c>
      <c r="H6" s="18" t="s">
        <v>2864</v>
      </c>
      <c r="I6" s="10">
        <v>11</v>
      </c>
      <c r="K6" s="18" t="s">
        <v>3196</v>
      </c>
      <c r="L6" s="10">
        <v>21</v>
      </c>
      <c r="N6" s="18" t="s">
        <v>3081</v>
      </c>
      <c r="O6" s="10">
        <v>23</v>
      </c>
    </row>
    <row r="7" spans="2:15" x14ac:dyDescent="0.35">
      <c r="E7" s="18" t="s">
        <v>2850</v>
      </c>
      <c r="F7" s="10">
        <v>51</v>
      </c>
      <c r="H7" s="18" t="s">
        <v>2865</v>
      </c>
      <c r="I7" s="10">
        <v>18</v>
      </c>
      <c r="K7" s="18" t="s">
        <v>3312</v>
      </c>
      <c r="L7" s="10">
        <v>20</v>
      </c>
      <c r="N7" s="18" t="s">
        <v>3054</v>
      </c>
      <c r="O7" s="10">
        <v>22</v>
      </c>
    </row>
    <row r="8" spans="2:15" x14ac:dyDescent="0.35">
      <c r="E8" s="18" t="s">
        <v>2855</v>
      </c>
      <c r="F8" s="10">
        <v>146</v>
      </c>
      <c r="H8" s="18" t="s">
        <v>2866</v>
      </c>
      <c r="I8" s="10">
        <v>9</v>
      </c>
      <c r="K8" s="18" t="s">
        <v>3163</v>
      </c>
      <c r="L8" s="10">
        <v>20</v>
      </c>
      <c r="N8" s="18" t="s">
        <v>2978</v>
      </c>
      <c r="O8" s="10">
        <v>21</v>
      </c>
    </row>
    <row r="9" spans="2:15" x14ac:dyDescent="0.35">
      <c r="E9" s="18" t="s">
        <v>2856</v>
      </c>
      <c r="F9" s="10">
        <v>203</v>
      </c>
      <c r="H9" s="18" t="s">
        <v>2867</v>
      </c>
      <c r="I9" s="10">
        <v>16</v>
      </c>
      <c r="K9" s="18" t="s">
        <v>3207</v>
      </c>
      <c r="L9" s="10">
        <v>20</v>
      </c>
      <c r="N9" s="18" t="s">
        <v>2975</v>
      </c>
      <c r="O9" s="10">
        <v>20</v>
      </c>
    </row>
    <row r="10" spans="2:15" x14ac:dyDescent="0.35">
      <c r="E10" s="18" t="s">
        <v>2857</v>
      </c>
      <c r="F10" s="10">
        <v>105</v>
      </c>
      <c r="H10" s="18" t="s">
        <v>2868</v>
      </c>
      <c r="I10" s="10">
        <v>5</v>
      </c>
      <c r="K10" s="18" t="s">
        <v>3159</v>
      </c>
      <c r="L10" s="10">
        <v>19</v>
      </c>
      <c r="N10" s="18" t="s">
        <v>3102</v>
      </c>
      <c r="O10" s="10">
        <v>20</v>
      </c>
    </row>
    <row r="11" spans="2:15" x14ac:dyDescent="0.35">
      <c r="E11" s="18" t="s">
        <v>2858</v>
      </c>
      <c r="F11" s="10">
        <v>88</v>
      </c>
      <c r="H11" s="18" t="s">
        <v>2869</v>
      </c>
      <c r="I11" s="10">
        <v>11</v>
      </c>
      <c r="K11" s="18" t="s">
        <v>3213</v>
      </c>
      <c r="L11" s="10">
        <v>19</v>
      </c>
      <c r="N11" s="18" t="s">
        <v>2929</v>
      </c>
      <c r="O11" s="10">
        <v>20</v>
      </c>
    </row>
    <row r="12" spans="2:15" x14ac:dyDescent="0.35">
      <c r="E12" s="18" t="s">
        <v>2859</v>
      </c>
      <c r="F12" s="10">
        <v>96</v>
      </c>
      <c r="H12" s="18" t="s">
        <v>2870</v>
      </c>
      <c r="I12" s="10">
        <v>17</v>
      </c>
      <c r="K12" s="18" t="s">
        <v>3169</v>
      </c>
      <c r="L12" s="10">
        <v>18</v>
      </c>
      <c r="N12" s="18" t="s">
        <v>3152</v>
      </c>
      <c r="O12" s="10">
        <v>18</v>
      </c>
    </row>
    <row r="13" spans="2:15" x14ac:dyDescent="0.35">
      <c r="E13" s="18" t="s">
        <v>2860</v>
      </c>
      <c r="F13" s="10">
        <v>154</v>
      </c>
      <c r="H13" s="18" t="s">
        <v>2871</v>
      </c>
      <c r="I13" s="10">
        <v>9</v>
      </c>
      <c r="K13" s="18" t="s">
        <v>3157</v>
      </c>
      <c r="L13" s="10">
        <v>18</v>
      </c>
      <c r="N13" s="18" t="s">
        <v>2979</v>
      </c>
      <c r="O13" s="10">
        <v>18</v>
      </c>
    </row>
    <row r="14" spans="2:15" x14ac:dyDescent="0.35">
      <c r="E14" s="18" t="s">
        <v>2</v>
      </c>
      <c r="F14" s="10">
        <v>1175</v>
      </c>
      <c r="H14" s="18" t="s">
        <v>2872</v>
      </c>
      <c r="I14" s="10">
        <v>54</v>
      </c>
      <c r="K14" s="18" t="s">
        <v>3236</v>
      </c>
      <c r="L14" s="10">
        <v>18</v>
      </c>
      <c r="N14" s="18" t="s">
        <v>2923</v>
      </c>
      <c r="O14" s="10">
        <v>17</v>
      </c>
    </row>
    <row r="15" spans="2:15" x14ac:dyDescent="0.35">
      <c r="H15" s="18" t="s">
        <v>2873</v>
      </c>
      <c r="I15" s="10">
        <v>25</v>
      </c>
      <c r="K15" s="18" t="s">
        <v>3216</v>
      </c>
      <c r="L15" s="10">
        <v>18</v>
      </c>
      <c r="N15" s="18" t="s">
        <v>2969</v>
      </c>
      <c r="O15" s="10">
        <v>16</v>
      </c>
    </row>
    <row r="16" spans="2:15" x14ac:dyDescent="0.35">
      <c r="E16" s="39" t="s">
        <v>3</v>
      </c>
      <c r="F16" s="10" t="s">
        <v>0</v>
      </c>
      <c r="H16" s="18" t="s">
        <v>2874</v>
      </c>
      <c r="I16" s="10">
        <v>8</v>
      </c>
      <c r="K16" s="18" t="s">
        <v>3226</v>
      </c>
      <c r="L16" s="10">
        <v>17</v>
      </c>
      <c r="N16" s="18" t="s">
        <v>2927</v>
      </c>
      <c r="O16" s="10">
        <v>16</v>
      </c>
    </row>
    <row r="17" spans="5:15" x14ac:dyDescent="0.35">
      <c r="E17" s="18" t="s">
        <v>23</v>
      </c>
      <c r="F17" s="10">
        <v>187</v>
      </c>
      <c r="H17" s="18" t="s">
        <v>2875</v>
      </c>
      <c r="I17" s="10">
        <v>6</v>
      </c>
      <c r="K17" s="18" t="s">
        <v>3210</v>
      </c>
      <c r="L17" s="10">
        <v>17</v>
      </c>
      <c r="N17" s="18" t="s">
        <v>2963</v>
      </c>
      <c r="O17" s="10">
        <v>16</v>
      </c>
    </row>
    <row r="18" spans="5:15" x14ac:dyDescent="0.35">
      <c r="E18" s="18" t="s">
        <v>47</v>
      </c>
      <c r="F18" s="10">
        <v>241</v>
      </c>
      <c r="H18" s="18" t="s">
        <v>2876</v>
      </c>
      <c r="I18" s="10">
        <v>30</v>
      </c>
      <c r="K18" s="18" t="s">
        <v>3202</v>
      </c>
      <c r="L18" s="10">
        <v>17</v>
      </c>
      <c r="N18" s="18" t="s">
        <v>2956</v>
      </c>
      <c r="O18" s="10">
        <v>15</v>
      </c>
    </row>
    <row r="19" spans="5:15" x14ac:dyDescent="0.35">
      <c r="E19" s="18" t="s">
        <v>123</v>
      </c>
      <c r="F19" s="10">
        <v>320</v>
      </c>
      <c r="H19" s="18" t="s">
        <v>2877</v>
      </c>
      <c r="I19" s="10">
        <v>50</v>
      </c>
      <c r="K19" s="18" t="s">
        <v>3171</v>
      </c>
      <c r="L19" s="10">
        <v>17</v>
      </c>
      <c r="N19" s="18" t="s">
        <v>2991</v>
      </c>
      <c r="O19" s="10">
        <v>15</v>
      </c>
    </row>
    <row r="20" spans="5:15" x14ac:dyDescent="0.35">
      <c r="E20" s="18" t="s">
        <v>86</v>
      </c>
      <c r="F20" s="10">
        <v>427</v>
      </c>
      <c r="H20" s="18" t="s">
        <v>2878</v>
      </c>
      <c r="I20" s="10">
        <v>30</v>
      </c>
      <c r="K20" s="18" t="s">
        <v>3183</v>
      </c>
      <c r="L20" s="10">
        <v>16</v>
      </c>
      <c r="N20" s="18" t="s">
        <v>3140</v>
      </c>
      <c r="O20" s="10">
        <v>15</v>
      </c>
    </row>
    <row r="21" spans="5:15" x14ac:dyDescent="0.35">
      <c r="E21" s="18" t="s">
        <v>2</v>
      </c>
      <c r="F21" s="10">
        <v>1175</v>
      </c>
      <c r="H21" s="18" t="s">
        <v>2879</v>
      </c>
      <c r="I21" s="10">
        <v>37</v>
      </c>
      <c r="K21" s="18" t="s">
        <v>3161</v>
      </c>
      <c r="L21" s="10">
        <v>16</v>
      </c>
      <c r="N21" s="18" t="s">
        <v>2926</v>
      </c>
      <c r="O21" s="10">
        <v>15</v>
      </c>
    </row>
    <row r="22" spans="5:15" x14ac:dyDescent="0.35">
      <c r="H22" s="18" t="s">
        <v>2880</v>
      </c>
      <c r="I22" s="10">
        <v>38</v>
      </c>
      <c r="K22" s="18" t="s">
        <v>3160</v>
      </c>
      <c r="L22" s="10">
        <v>15</v>
      </c>
      <c r="N22" s="18" t="s">
        <v>2941</v>
      </c>
      <c r="O22" s="10">
        <v>14</v>
      </c>
    </row>
    <row r="23" spans="5:15" x14ac:dyDescent="0.35">
      <c r="E23" s="39" t="s">
        <v>2920</v>
      </c>
      <c r="F23" s="10" t="s">
        <v>0</v>
      </c>
      <c r="H23" s="18" t="s">
        <v>2881</v>
      </c>
      <c r="I23" s="10">
        <v>68</v>
      </c>
      <c r="K23" s="18" t="s">
        <v>3222</v>
      </c>
      <c r="L23" s="10">
        <v>15</v>
      </c>
      <c r="N23" s="18" t="s">
        <v>2980</v>
      </c>
      <c r="O23" s="10">
        <v>12</v>
      </c>
    </row>
    <row r="24" spans="5:15" x14ac:dyDescent="0.35">
      <c r="E24" s="18" t="s">
        <v>678</v>
      </c>
      <c r="F24" s="10">
        <v>35</v>
      </c>
      <c r="H24" s="18" t="s">
        <v>2882</v>
      </c>
      <c r="I24" s="10">
        <v>64</v>
      </c>
      <c r="K24" s="18" t="s">
        <v>3174</v>
      </c>
      <c r="L24" s="10">
        <v>14</v>
      </c>
      <c r="N24" s="18" t="s">
        <v>3139</v>
      </c>
      <c r="O24" s="10">
        <v>12</v>
      </c>
    </row>
    <row r="25" spans="5:15" x14ac:dyDescent="0.35">
      <c r="E25" s="18" t="s">
        <v>82</v>
      </c>
      <c r="F25" s="10">
        <v>74</v>
      </c>
      <c r="H25" s="18" t="s">
        <v>2883</v>
      </c>
      <c r="I25" s="10">
        <v>40</v>
      </c>
      <c r="K25" s="18" t="s">
        <v>3295</v>
      </c>
      <c r="L25" s="10">
        <v>14</v>
      </c>
      <c r="N25" s="18" t="s">
        <v>3005</v>
      </c>
      <c r="O25" s="10">
        <v>12</v>
      </c>
    </row>
    <row r="26" spans="5:15" x14ac:dyDescent="0.35">
      <c r="E26" s="18" t="s">
        <v>35</v>
      </c>
      <c r="F26" s="10">
        <v>112</v>
      </c>
      <c r="H26" s="18" t="s">
        <v>2884</v>
      </c>
      <c r="I26" s="10">
        <v>14</v>
      </c>
      <c r="K26" s="18" t="s">
        <v>3188</v>
      </c>
      <c r="L26" s="10">
        <v>14</v>
      </c>
      <c r="N26" s="18" t="s">
        <v>3065</v>
      </c>
      <c r="O26" s="10">
        <v>12</v>
      </c>
    </row>
    <row r="27" spans="5:15" x14ac:dyDescent="0.35">
      <c r="E27" s="18" t="s">
        <v>24</v>
      </c>
      <c r="F27" s="10">
        <v>407</v>
      </c>
      <c r="H27" s="18" t="s">
        <v>2885</v>
      </c>
      <c r="I27" s="10">
        <v>22</v>
      </c>
      <c r="K27" s="18" t="s">
        <v>3211</v>
      </c>
      <c r="L27" s="10">
        <v>14</v>
      </c>
      <c r="N27" s="18" t="s">
        <v>3055</v>
      </c>
      <c r="O27" s="10">
        <v>11</v>
      </c>
    </row>
    <row r="28" spans="5:15" x14ac:dyDescent="0.35">
      <c r="E28" s="18" t="s">
        <v>74</v>
      </c>
      <c r="F28" s="10">
        <v>547</v>
      </c>
      <c r="H28" s="18" t="s">
        <v>2886</v>
      </c>
      <c r="I28" s="10">
        <v>25</v>
      </c>
      <c r="K28" s="18" t="s">
        <v>3223</v>
      </c>
      <c r="L28" s="10">
        <v>14</v>
      </c>
      <c r="N28" s="18" t="s">
        <v>2977</v>
      </c>
      <c r="O28" s="10">
        <v>10</v>
      </c>
    </row>
    <row r="29" spans="5:15" x14ac:dyDescent="0.35">
      <c r="E29" s="18" t="s">
        <v>2</v>
      </c>
      <c r="F29" s="10">
        <v>1175</v>
      </c>
      <c r="H29" s="18" t="s">
        <v>2887</v>
      </c>
      <c r="I29" s="10">
        <v>25</v>
      </c>
      <c r="K29" s="18" t="s">
        <v>3189</v>
      </c>
      <c r="L29" s="10">
        <v>12</v>
      </c>
      <c r="N29" s="18" t="s">
        <v>3022</v>
      </c>
      <c r="O29" s="10">
        <v>10</v>
      </c>
    </row>
    <row r="30" spans="5:15" x14ac:dyDescent="0.35">
      <c r="H30" s="18" t="s">
        <v>2888</v>
      </c>
      <c r="I30" s="10">
        <v>29</v>
      </c>
      <c r="K30" s="18" t="s">
        <v>3246</v>
      </c>
      <c r="L30" s="10">
        <v>12</v>
      </c>
      <c r="N30" s="18" t="s">
        <v>3078</v>
      </c>
      <c r="O30" s="10">
        <v>10</v>
      </c>
    </row>
    <row r="31" spans="5:15" x14ac:dyDescent="0.35">
      <c r="E31" s="39" t="s">
        <v>3</v>
      </c>
      <c r="F31" s="10" t="s">
        <v>2916</v>
      </c>
      <c r="H31" s="18" t="s">
        <v>2889</v>
      </c>
      <c r="I31" s="10">
        <v>25</v>
      </c>
      <c r="K31" s="18" t="s">
        <v>3344</v>
      </c>
      <c r="L31" s="10">
        <v>12</v>
      </c>
      <c r="N31" s="18" t="s">
        <v>2959</v>
      </c>
      <c r="O31" s="10">
        <v>10</v>
      </c>
    </row>
    <row r="32" spans="5:15" x14ac:dyDescent="0.35">
      <c r="E32" s="18" t="s">
        <v>23</v>
      </c>
      <c r="F32" s="10">
        <v>187</v>
      </c>
      <c r="H32" s="18" t="s">
        <v>2890</v>
      </c>
      <c r="I32" s="10">
        <v>12</v>
      </c>
      <c r="K32" s="18" t="s">
        <v>3238</v>
      </c>
      <c r="L32" s="10">
        <v>12</v>
      </c>
      <c r="N32" s="18" t="s">
        <v>2998</v>
      </c>
      <c r="O32" s="10">
        <v>9</v>
      </c>
    </row>
    <row r="33" spans="5:15" x14ac:dyDescent="0.35">
      <c r="E33" s="18" t="s">
        <v>47</v>
      </c>
      <c r="F33" s="10">
        <v>241</v>
      </c>
      <c r="H33" s="18" t="s">
        <v>2891</v>
      </c>
      <c r="I33" s="10">
        <v>16</v>
      </c>
      <c r="K33" s="18" t="s">
        <v>3186</v>
      </c>
      <c r="L33" s="10">
        <v>12</v>
      </c>
      <c r="N33" s="18" t="s">
        <v>2958</v>
      </c>
      <c r="O33" s="10">
        <v>9</v>
      </c>
    </row>
    <row r="34" spans="5:15" x14ac:dyDescent="0.35">
      <c r="E34" s="18" t="s">
        <v>123</v>
      </c>
      <c r="F34" s="10">
        <v>320</v>
      </c>
      <c r="H34" s="18" t="s">
        <v>2892</v>
      </c>
      <c r="I34" s="10">
        <v>16</v>
      </c>
      <c r="K34" s="18" t="s">
        <v>3366</v>
      </c>
      <c r="L34" s="10">
        <v>11</v>
      </c>
      <c r="N34" s="18" t="s">
        <v>2925</v>
      </c>
      <c r="O34" s="10">
        <v>9</v>
      </c>
    </row>
    <row r="35" spans="5:15" x14ac:dyDescent="0.35">
      <c r="E35" s="18" t="s">
        <v>86</v>
      </c>
      <c r="F35" s="10">
        <v>427</v>
      </c>
      <c r="H35" s="18" t="s">
        <v>2893</v>
      </c>
      <c r="I35" s="10">
        <v>21</v>
      </c>
      <c r="K35" s="18" t="s">
        <v>3182</v>
      </c>
      <c r="L35" s="10">
        <v>11</v>
      </c>
      <c r="N35" s="18" t="s">
        <v>2990</v>
      </c>
      <c r="O35" s="10">
        <v>9</v>
      </c>
    </row>
    <row r="36" spans="5:15" x14ac:dyDescent="0.35">
      <c r="E36" s="18" t="s">
        <v>2</v>
      </c>
      <c r="F36" s="10">
        <v>1175</v>
      </c>
      <c r="H36" s="18" t="s">
        <v>2894</v>
      </c>
      <c r="I36" s="10">
        <v>32</v>
      </c>
      <c r="K36" s="18" t="s">
        <v>3220</v>
      </c>
      <c r="L36" s="10">
        <v>11</v>
      </c>
      <c r="N36" s="18" t="s">
        <v>3113</v>
      </c>
      <c r="O36" s="10">
        <v>8</v>
      </c>
    </row>
    <row r="37" spans="5:15" x14ac:dyDescent="0.35">
      <c r="H37" s="18" t="s">
        <v>2895</v>
      </c>
      <c r="I37" s="10">
        <v>38</v>
      </c>
      <c r="K37" s="18" t="s">
        <v>3176</v>
      </c>
      <c r="L37" s="10">
        <v>11</v>
      </c>
      <c r="N37" s="18" t="s">
        <v>3062</v>
      </c>
      <c r="O37" s="10">
        <v>8</v>
      </c>
    </row>
    <row r="38" spans="5:15" x14ac:dyDescent="0.35">
      <c r="H38" s="18" t="s">
        <v>2896</v>
      </c>
      <c r="I38" s="10">
        <v>16</v>
      </c>
      <c r="K38" s="18" t="s">
        <v>3192</v>
      </c>
      <c r="L38" s="10">
        <v>10</v>
      </c>
      <c r="N38" s="18" t="s">
        <v>2954</v>
      </c>
      <c r="O38" s="10">
        <v>8</v>
      </c>
    </row>
    <row r="39" spans="5:15" x14ac:dyDescent="0.35">
      <c r="H39" s="18" t="s">
        <v>2897</v>
      </c>
      <c r="I39" s="10">
        <v>22</v>
      </c>
      <c r="K39" s="18" t="s">
        <v>3292</v>
      </c>
      <c r="L39" s="10">
        <v>10</v>
      </c>
      <c r="N39" s="18" t="s">
        <v>2964</v>
      </c>
      <c r="O39" s="10">
        <v>8</v>
      </c>
    </row>
    <row r="40" spans="5:15" x14ac:dyDescent="0.35">
      <c r="H40" s="18" t="s">
        <v>2898</v>
      </c>
      <c r="I40" s="10">
        <v>17</v>
      </c>
      <c r="K40" s="18" t="s">
        <v>3252</v>
      </c>
      <c r="L40" s="10">
        <v>10</v>
      </c>
      <c r="N40" s="18" t="s">
        <v>3064</v>
      </c>
      <c r="O40" s="10">
        <v>8</v>
      </c>
    </row>
    <row r="41" spans="5:15" x14ac:dyDescent="0.35">
      <c r="H41" s="18" t="s">
        <v>2899</v>
      </c>
      <c r="I41" s="10">
        <v>28</v>
      </c>
      <c r="K41" s="18" t="s">
        <v>3209</v>
      </c>
      <c r="L41" s="10">
        <v>10</v>
      </c>
      <c r="N41" s="18" t="s">
        <v>2965</v>
      </c>
      <c r="O41" s="10">
        <v>8</v>
      </c>
    </row>
    <row r="42" spans="5:15" x14ac:dyDescent="0.35">
      <c r="H42" s="18" t="s">
        <v>2900</v>
      </c>
      <c r="I42" s="10">
        <v>29</v>
      </c>
      <c r="K42" s="18" t="s">
        <v>3221</v>
      </c>
      <c r="L42" s="10">
        <v>9</v>
      </c>
      <c r="N42" s="18" t="s">
        <v>2994</v>
      </c>
      <c r="O42" s="10">
        <v>8</v>
      </c>
    </row>
    <row r="43" spans="5:15" x14ac:dyDescent="0.35">
      <c r="H43" s="18" t="s">
        <v>2901</v>
      </c>
      <c r="I43" s="10">
        <v>36</v>
      </c>
      <c r="K43" s="18" t="s">
        <v>3191</v>
      </c>
      <c r="L43" s="10">
        <v>9</v>
      </c>
      <c r="N43" s="18" t="s">
        <v>3409</v>
      </c>
      <c r="O43" s="10">
        <v>8</v>
      </c>
    </row>
    <row r="44" spans="5:15" x14ac:dyDescent="0.35">
      <c r="H44" s="18" t="s">
        <v>2902</v>
      </c>
      <c r="I44" s="10">
        <v>25</v>
      </c>
      <c r="K44" s="18" t="s">
        <v>3164</v>
      </c>
      <c r="L44" s="10">
        <v>9</v>
      </c>
      <c r="N44" s="18" t="s">
        <v>2934</v>
      </c>
      <c r="O44" s="10">
        <v>8</v>
      </c>
    </row>
    <row r="45" spans="5:15" x14ac:dyDescent="0.35">
      <c r="H45" s="18" t="s">
        <v>2903</v>
      </c>
      <c r="I45" s="10">
        <v>39</v>
      </c>
      <c r="K45" s="18" t="s">
        <v>3231</v>
      </c>
      <c r="L45" s="10">
        <v>9</v>
      </c>
      <c r="N45" s="18" t="s">
        <v>3112</v>
      </c>
      <c r="O45" s="10">
        <v>7</v>
      </c>
    </row>
    <row r="46" spans="5:15" x14ac:dyDescent="0.35">
      <c r="H46" s="18" t="s">
        <v>2904</v>
      </c>
      <c r="I46" s="10">
        <v>26</v>
      </c>
      <c r="K46" s="18" t="s">
        <v>3281</v>
      </c>
      <c r="L46" s="10">
        <v>8</v>
      </c>
      <c r="N46" s="18" t="s">
        <v>2931</v>
      </c>
      <c r="O46" s="10">
        <v>7</v>
      </c>
    </row>
    <row r="47" spans="5:15" x14ac:dyDescent="0.35">
      <c r="H47" s="18" t="s">
        <v>2905</v>
      </c>
      <c r="I47" s="10">
        <v>27</v>
      </c>
      <c r="K47" s="18" t="s">
        <v>3168</v>
      </c>
      <c r="L47" s="10">
        <v>8</v>
      </c>
      <c r="N47" s="18" t="s">
        <v>3391</v>
      </c>
      <c r="O47" s="10">
        <v>7</v>
      </c>
    </row>
    <row r="48" spans="5:15" x14ac:dyDescent="0.35">
      <c r="H48" s="18" t="s">
        <v>2906</v>
      </c>
      <c r="I48" s="10">
        <v>18</v>
      </c>
      <c r="K48" s="18" t="s">
        <v>3374</v>
      </c>
      <c r="L48" s="10">
        <v>8</v>
      </c>
      <c r="N48" s="18" t="s">
        <v>2928</v>
      </c>
      <c r="O48" s="10">
        <v>7</v>
      </c>
    </row>
    <row r="49" spans="8:15" x14ac:dyDescent="0.35">
      <c r="H49" s="18" t="s">
        <v>2907</v>
      </c>
      <c r="I49" s="10">
        <v>9</v>
      </c>
      <c r="K49" s="18" t="s">
        <v>3264</v>
      </c>
      <c r="L49" s="10">
        <v>8</v>
      </c>
      <c r="N49" s="18" t="s">
        <v>3085</v>
      </c>
      <c r="O49" s="10">
        <v>7</v>
      </c>
    </row>
    <row r="50" spans="8:15" x14ac:dyDescent="0.35">
      <c r="H50" s="18" t="s">
        <v>2908</v>
      </c>
      <c r="I50" s="10">
        <v>10</v>
      </c>
      <c r="K50" s="18" t="s">
        <v>3198</v>
      </c>
      <c r="L50" s="10">
        <v>8</v>
      </c>
      <c r="N50" s="18" t="s">
        <v>2943</v>
      </c>
      <c r="O50" s="10">
        <v>7</v>
      </c>
    </row>
    <row r="51" spans="8:15" x14ac:dyDescent="0.35">
      <c r="H51" s="18" t="s">
        <v>2</v>
      </c>
      <c r="I51" s="10">
        <v>1175</v>
      </c>
      <c r="K51" s="18" t="s">
        <v>3206</v>
      </c>
      <c r="L51" s="10">
        <v>7</v>
      </c>
      <c r="N51" s="18" t="s">
        <v>3133</v>
      </c>
      <c r="O51" s="10">
        <v>7</v>
      </c>
    </row>
    <row r="52" spans="8:15" x14ac:dyDescent="0.35">
      <c r="K52" s="18" t="s">
        <v>3351</v>
      </c>
      <c r="L52" s="10">
        <v>7</v>
      </c>
      <c r="N52" s="18" t="s">
        <v>3040</v>
      </c>
      <c r="O52" s="10">
        <v>7</v>
      </c>
    </row>
    <row r="53" spans="8:15" x14ac:dyDescent="0.35">
      <c r="K53" s="18" t="s">
        <v>3201</v>
      </c>
      <c r="L53" s="10">
        <v>7</v>
      </c>
      <c r="N53" s="18" t="s">
        <v>2974</v>
      </c>
      <c r="O53" s="10">
        <v>7</v>
      </c>
    </row>
    <row r="54" spans="8:15" x14ac:dyDescent="0.35">
      <c r="K54" s="18" t="s">
        <v>3197</v>
      </c>
      <c r="L54" s="10">
        <v>7</v>
      </c>
      <c r="N54" s="18" t="s">
        <v>3059</v>
      </c>
      <c r="O54" s="10">
        <v>7</v>
      </c>
    </row>
    <row r="55" spans="8:15" x14ac:dyDescent="0.35">
      <c r="K55" s="18" t="s">
        <v>3356</v>
      </c>
      <c r="L55" s="10">
        <v>7</v>
      </c>
      <c r="N55" s="18" t="s">
        <v>2936</v>
      </c>
      <c r="O55" s="10">
        <v>6</v>
      </c>
    </row>
    <row r="56" spans="8:15" x14ac:dyDescent="0.35">
      <c r="K56" s="18" t="s">
        <v>3255</v>
      </c>
      <c r="L56" s="10">
        <v>7</v>
      </c>
      <c r="N56" s="18" t="s">
        <v>2976</v>
      </c>
      <c r="O56" s="10">
        <v>6</v>
      </c>
    </row>
    <row r="57" spans="8:15" x14ac:dyDescent="0.35">
      <c r="K57" s="18" t="s">
        <v>3165</v>
      </c>
      <c r="L57" s="10">
        <v>7</v>
      </c>
      <c r="N57" s="18" t="s">
        <v>3402</v>
      </c>
      <c r="O57" s="10">
        <v>6</v>
      </c>
    </row>
    <row r="58" spans="8:15" x14ac:dyDescent="0.35">
      <c r="K58" s="18" t="s">
        <v>3162</v>
      </c>
      <c r="L58" s="10">
        <v>7</v>
      </c>
      <c r="N58" s="18" t="s">
        <v>3015</v>
      </c>
      <c r="O58" s="10">
        <v>6</v>
      </c>
    </row>
    <row r="59" spans="8:15" x14ac:dyDescent="0.35">
      <c r="K59" s="18" t="s">
        <v>3348</v>
      </c>
      <c r="L59" s="10">
        <v>7</v>
      </c>
      <c r="N59" s="18" t="s">
        <v>3017</v>
      </c>
      <c r="O59" s="10">
        <v>6</v>
      </c>
    </row>
    <row r="60" spans="8:15" x14ac:dyDescent="0.35">
      <c r="K60" s="18" t="s">
        <v>3273</v>
      </c>
      <c r="L60" s="10">
        <v>7</v>
      </c>
      <c r="N60" s="18" t="s">
        <v>3033</v>
      </c>
      <c r="O60" s="10">
        <v>6</v>
      </c>
    </row>
    <row r="61" spans="8:15" x14ac:dyDescent="0.35">
      <c r="K61" s="18" t="s">
        <v>3268</v>
      </c>
      <c r="L61" s="10">
        <v>6</v>
      </c>
      <c r="N61" s="18" t="s">
        <v>3016</v>
      </c>
      <c r="O61" s="10">
        <v>5</v>
      </c>
    </row>
    <row r="62" spans="8:15" x14ac:dyDescent="0.35">
      <c r="K62" s="18" t="s">
        <v>3299</v>
      </c>
      <c r="L62" s="10">
        <v>6</v>
      </c>
      <c r="N62" s="18" t="s">
        <v>3077</v>
      </c>
      <c r="O62" s="10">
        <v>5</v>
      </c>
    </row>
    <row r="63" spans="8:15" x14ac:dyDescent="0.35">
      <c r="K63" s="18" t="s">
        <v>3170</v>
      </c>
      <c r="L63" s="10">
        <v>6</v>
      </c>
      <c r="N63" s="18" t="s">
        <v>2935</v>
      </c>
      <c r="O63" s="10">
        <v>5</v>
      </c>
    </row>
    <row r="64" spans="8:15" x14ac:dyDescent="0.35">
      <c r="K64" s="18" t="s">
        <v>3224</v>
      </c>
      <c r="L64" s="10">
        <v>6</v>
      </c>
      <c r="N64" s="18" t="s">
        <v>3024</v>
      </c>
      <c r="O64" s="10">
        <v>5</v>
      </c>
    </row>
    <row r="65" spans="11:15" x14ac:dyDescent="0.35">
      <c r="K65" s="18" t="s">
        <v>3256</v>
      </c>
      <c r="L65" s="10">
        <v>6</v>
      </c>
      <c r="N65" s="18" t="s">
        <v>3089</v>
      </c>
      <c r="O65" s="10">
        <v>5</v>
      </c>
    </row>
    <row r="66" spans="11:15" x14ac:dyDescent="0.35">
      <c r="K66" s="18" t="s">
        <v>3368</v>
      </c>
      <c r="L66" s="10">
        <v>6</v>
      </c>
      <c r="N66" s="18" t="s">
        <v>3026</v>
      </c>
      <c r="O66" s="10">
        <v>5</v>
      </c>
    </row>
    <row r="67" spans="11:15" x14ac:dyDescent="0.35">
      <c r="K67" s="18" t="s">
        <v>3335</v>
      </c>
      <c r="L67" s="10">
        <v>5</v>
      </c>
      <c r="N67" s="18" t="s">
        <v>2951</v>
      </c>
      <c r="O67" s="10">
        <v>5</v>
      </c>
    </row>
    <row r="68" spans="11:15" x14ac:dyDescent="0.35">
      <c r="K68" s="18" t="s">
        <v>3167</v>
      </c>
      <c r="L68" s="10">
        <v>5</v>
      </c>
      <c r="N68" s="18" t="s">
        <v>3110</v>
      </c>
      <c r="O68" s="10">
        <v>5</v>
      </c>
    </row>
    <row r="69" spans="11:15" x14ac:dyDescent="0.35">
      <c r="K69" s="18" t="s">
        <v>3230</v>
      </c>
      <c r="L69" s="10">
        <v>5</v>
      </c>
      <c r="N69" s="18" t="s">
        <v>3073</v>
      </c>
      <c r="O69" s="10">
        <v>5</v>
      </c>
    </row>
    <row r="70" spans="11:15" x14ac:dyDescent="0.35">
      <c r="K70" s="18" t="s">
        <v>3179</v>
      </c>
      <c r="L70" s="10">
        <v>5</v>
      </c>
      <c r="N70" s="18" t="s">
        <v>2997</v>
      </c>
      <c r="O70" s="10">
        <v>5</v>
      </c>
    </row>
    <row r="71" spans="11:15" x14ac:dyDescent="0.35">
      <c r="K71" s="18" t="s">
        <v>3321</v>
      </c>
      <c r="L71" s="10">
        <v>5</v>
      </c>
      <c r="N71" s="18" t="s">
        <v>2957</v>
      </c>
      <c r="O71" s="10">
        <v>5</v>
      </c>
    </row>
    <row r="72" spans="11:15" x14ac:dyDescent="0.35">
      <c r="K72" s="18" t="s">
        <v>3247</v>
      </c>
      <c r="L72" s="10">
        <v>5</v>
      </c>
      <c r="N72" s="18" t="s">
        <v>3128</v>
      </c>
      <c r="O72" s="10">
        <v>5</v>
      </c>
    </row>
    <row r="73" spans="11:15" x14ac:dyDescent="0.35">
      <c r="K73" s="18" t="s">
        <v>3291</v>
      </c>
      <c r="L73" s="10">
        <v>5</v>
      </c>
      <c r="N73" s="18" t="s">
        <v>3020</v>
      </c>
      <c r="O73" s="10">
        <v>5</v>
      </c>
    </row>
    <row r="74" spans="11:15" x14ac:dyDescent="0.35">
      <c r="K74" s="18" t="s">
        <v>3199</v>
      </c>
      <c r="L74" s="10">
        <v>5</v>
      </c>
      <c r="N74" s="18" t="s">
        <v>2946</v>
      </c>
      <c r="O74" s="10">
        <v>5</v>
      </c>
    </row>
    <row r="75" spans="11:15" x14ac:dyDescent="0.35">
      <c r="K75" s="18" t="s">
        <v>3303</v>
      </c>
      <c r="L75" s="10">
        <v>5</v>
      </c>
      <c r="N75" s="18" t="s">
        <v>3117</v>
      </c>
      <c r="O75" s="10">
        <v>5</v>
      </c>
    </row>
    <row r="76" spans="11:15" x14ac:dyDescent="0.35">
      <c r="K76" s="18" t="s">
        <v>3254</v>
      </c>
      <c r="L76" s="10">
        <v>5</v>
      </c>
      <c r="N76" s="18" t="s">
        <v>3035</v>
      </c>
      <c r="O76" s="10">
        <v>5</v>
      </c>
    </row>
    <row r="77" spans="11:15" x14ac:dyDescent="0.35">
      <c r="K77" s="18" t="s">
        <v>3320</v>
      </c>
      <c r="L77" s="10">
        <v>5</v>
      </c>
      <c r="N77" s="18" t="s">
        <v>3131</v>
      </c>
      <c r="O77" s="10">
        <v>5</v>
      </c>
    </row>
    <row r="78" spans="11:15" x14ac:dyDescent="0.35">
      <c r="K78" s="18" t="s">
        <v>3190</v>
      </c>
      <c r="L78" s="10">
        <v>5</v>
      </c>
      <c r="N78" s="18" t="s">
        <v>3044</v>
      </c>
      <c r="O78" s="10">
        <v>5</v>
      </c>
    </row>
    <row r="79" spans="11:15" x14ac:dyDescent="0.35">
      <c r="K79" s="18" t="s">
        <v>3325</v>
      </c>
      <c r="L79" s="10">
        <v>5</v>
      </c>
      <c r="N79" s="18" t="s">
        <v>3147</v>
      </c>
      <c r="O79" s="10">
        <v>5</v>
      </c>
    </row>
    <row r="80" spans="11:15" x14ac:dyDescent="0.35">
      <c r="K80" s="18" t="s">
        <v>3262</v>
      </c>
      <c r="L80" s="10">
        <v>5</v>
      </c>
      <c r="N80" s="18" t="s">
        <v>3045</v>
      </c>
      <c r="O80" s="10">
        <v>5</v>
      </c>
    </row>
    <row r="81" spans="11:15" x14ac:dyDescent="0.35">
      <c r="K81" s="18" t="s">
        <v>3184</v>
      </c>
      <c r="L81" s="10">
        <v>5</v>
      </c>
      <c r="N81" s="18" t="s">
        <v>2968</v>
      </c>
      <c r="O81" s="10">
        <v>5</v>
      </c>
    </row>
    <row r="82" spans="11:15" x14ac:dyDescent="0.35">
      <c r="K82" s="18" t="s">
        <v>3269</v>
      </c>
      <c r="L82" s="10">
        <v>5</v>
      </c>
      <c r="N82" s="18" t="s">
        <v>3072</v>
      </c>
      <c r="O82" s="10">
        <v>5</v>
      </c>
    </row>
    <row r="83" spans="11:15" x14ac:dyDescent="0.35">
      <c r="K83" s="18" t="s">
        <v>3158</v>
      </c>
      <c r="L83" s="10">
        <v>5</v>
      </c>
      <c r="N83" s="18" t="s">
        <v>3399</v>
      </c>
      <c r="O83" s="10">
        <v>4</v>
      </c>
    </row>
    <row r="84" spans="11:15" x14ac:dyDescent="0.35">
      <c r="K84" s="18" t="s">
        <v>3363</v>
      </c>
      <c r="L84" s="10">
        <v>4</v>
      </c>
      <c r="N84" s="18" t="s">
        <v>3036</v>
      </c>
      <c r="O84" s="10">
        <v>4</v>
      </c>
    </row>
    <row r="85" spans="11:15" x14ac:dyDescent="0.35">
      <c r="K85" s="18" t="s">
        <v>3208</v>
      </c>
      <c r="L85" s="10">
        <v>4</v>
      </c>
      <c r="N85" s="18" t="s">
        <v>3100</v>
      </c>
      <c r="O85" s="10">
        <v>4</v>
      </c>
    </row>
    <row r="86" spans="11:15" x14ac:dyDescent="0.35">
      <c r="K86" s="18" t="s">
        <v>3339</v>
      </c>
      <c r="L86" s="10">
        <v>4</v>
      </c>
      <c r="N86" s="18" t="s">
        <v>3019</v>
      </c>
      <c r="O86" s="10">
        <v>4</v>
      </c>
    </row>
    <row r="87" spans="11:15" x14ac:dyDescent="0.35">
      <c r="K87" s="18" t="s">
        <v>3308</v>
      </c>
      <c r="L87" s="10">
        <v>4</v>
      </c>
      <c r="N87" s="18" t="s">
        <v>3046</v>
      </c>
      <c r="O87" s="10">
        <v>4</v>
      </c>
    </row>
    <row r="88" spans="11:15" x14ac:dyDescent="0.35">
      <c r="K88" s="18" t="s">
        <v>3270</v>
      </c>
      <c r="L88" s="10">
        <v>4</v>
      </c>
      <c r="N88" s="18" t="s">
        <v>2939</v>
      </c>
      <c r="O88" s="10">
        <v>4</v>
      </c>
    </row>
    <row r="89" spans="11:15" x14ac:dyDescent="0.35">
      <c r="K89" s="18" t="s">
        <v>3181</v>
      </c>
      <c r="L89" s="10">
        <v>4</v>
      </c>
      <c r="N89" s="18" t="s">
        <v>3095</v>
      </c>
      <c r="O89" s="10">
        <v>4</v>
      </c>
    </row>
    <row r="90" spans="11:15" x14ac:dyDescent="0.35">
      <c r="K90" s="18" t="s">
        <v>3249</v>
      </c>
      <c r="L90" s="10">
        <v>4</v>
      </c>
      <c r="N90" s="18" t="s">
        <v>2972</v>
      </c>
      <c r="O90" s="10">
        <v>4</v>
      </c>
    </row>
    <row r="91" spans="11:15" x14ac:dyDescent="0.35">
      <c r="K91" s="18" t="s">
        <v>3313</v>
      </c>
      <c r="L91" s="10">
        <v>4</v>
      </c>
      <c r="N91" s="18" t="s">
        <v>2932</v>
      </c>
      <c r="O91" s="10">
        <v>4</v>
      </c>
    </row>
    <row r="92" spans="11:15" x14ac:dyDescent="0.35">
      <c r="K92" s="18" t="s">
        <v>3229</v>
      </c>
      <c r="L92" s="10">
        <v>4</v>
      </c>
      <c r="N92" s="18" t="s">
        <v>2996</v>
      </c>
      <c r="O92" s="10">
        <v>4</v>
      </c>
    </row>
    <row r="93" spans="11:15" x14ac:dyDescent="0.35">
      <c r="K93" s="18" t="s">
        <v>3314</v>
      </c>
      <c r="L93" s="10">
        <v>4</v>
      </c>
      <c r="N93" s="18" t="s">
        <v>3135</v>
      </c>
      <c r="O93" s="10">
        <v>4</v>
      </c>
    </row>
    <row r="94" spans="11:15" x14ac:dyDescent="0.35">
      <c r="K94" s="18" t="s">
        <v>3172</v>
      </c>
      <c r="L94" s="10">
        <v>4</v>
      </c>
      <c r="N94" s="18" t="s">
        <v>3008</v>
      </c>
      <c r="O94" s="10">
        <v>4</v>
      </c>
    </row>
    <row r="95" spans="11:15" x14ac:dyDescent="0.35">
      <c r="K95" s="18" t="s">
        <v>3364</v>
      </c>
      <c r="L95" s="10">
        <v>4</v>
      </c>
      <c r="N95" s="18" t="s">
        <v>3150</v>
      </c>
      <c r="O95" s="10">
        <v>4</v>
      </c>
    </row>
    <row r="96" spans="11:15" x14ac:dyDescent="0.35">
      <c r="K96" s="18" t="s">
        <v>3166</v>
      </c>
      <c r="L96" s="10">
        <v>4</v>
      </c>
      <c r="N96" s="18" t="s">
        <v>2989</v>
      </c>
      <c r="O96" s="10">
        <v>4</v>
      </c>
    </row>
    <row r="97" spans="11:15" x14ac:dyDescent="0.35">
      <c r="K97" s="18" t="s">
        <v>3297</v>
      </c>
      <c r="L97" s="10">
        <v>4</v>
      </c>
      <c r="N97" s="18" t="s">
        <v>3050</v>
      </c>
      <c r="O97" s="10">
        <v>4</v>
      </c>
    </row>
    <row r="98" spans="11:15" x14ac:dyDescent="0.35">
      <c r="K98" s="18" t="s">
        <v>3274</v>
      </c>
      <c r="L98" s="10">
        <v>4</v>
      </c>
      <c r="N98" s="18" t="s">
        <v>3083</v>
      </c>
      <c r="O98" s="10">
        <v>4</v>
      </c>
    </row>
    <row r="99" spans="11:15" x14ac:dyDescent="0.35">
      <c r="K99" s="18" t="s">
        <v>3227</v>
      </c>
      <c r="L99" s="10">
        <v>3</v>
      </c>
      <c r="N99" s="18" t="s">
        <v>3103</v>
      </c>
      <c r="O99" s="10">
        <v>4</v>
      </c>
    </row>
    <row r="100" spans="11:15" x14ac:dyDescent="0.35">
      <c r="K100" s="18" t="s">
        <v>3266</v>
      </c>
      <c r="L100" s="10">
        <v>3</v>
      </c>
      <c r="N100" s="18" t="s">
        <v>2950</v>
      </c>
      <c r="O100" s="10">
        <v>3</v>
      </c>
    </row>
    <row r="101" spans="11:15" x14ac:dyDescent="0.35">
      <c r="K101" s="18" t="s">
        <v>3337</v>
      </c>
      <c r="L101" s="10">
        <v>3</v>
      </c>
      <c r="N101" s="18" t="s">
        <v>3400</v>
      </c>
      <c r="O101" s="10">
        <v>3</v>
      </c>
    </row>
    <row r="102" spans="11:15" x14ac:dyDescent="0.35">
      <c r="K102" s="18" t="s">
        <v>3237</v>
      </c>
      <c r="L102" s="10">
        <v>3</v>
      </c>
      <c r="N102" s="18" t="s">
        <v>2933</v>
      </c>
      <c r="O102" s="10">
        <v>3</v>
      </c>
    </row>
    <row r="103" spans="11:15" x14ac:dyDescent="0.35">
      <c r="K103" s="18" t="s">
        <v>3185</v>
      </c>
      <c r="L103" s="10">
        <v>3</v>
      </c>
      <c r="N103" s="18" t="s">
        <v>3093</v>
      </c>
      <c r="O103" s="10">
        <v>3</v>
      </c>
    </row>
    <row r="104" spans="11:15" x14ac:dyDescent="0.35">
      <c r="K104" s="18" t="s">
        <v>3315</v>
      </c>
      <c r="L104" s="10">
        <v>3</v>
      </c>
      <c r="N104" s="18" t="s">
        <v>3408</v>
      </c>
      <c r="O104" s="10">
        <v>3</v>
      </c>
    </row>
    <row r="105" spans="11:15" x14ac:dyDescent="0.35">
      <c r="K105" s="18" t="s">
        <v>3365</v>
      </c>
      <c r="L105" s="10">
        <v>3</v>
      </c>
      <c r="N105" s="18" t="s">
        <v>2930</v>
      </c>
      <c r="O105" s="10">
        <v>3</v>
      </c>
    </row>
    <row r="106" spans="11:15" x14ac:dyDescent="0.35">
      <c r="K106" s="18" t="s">
        <v>3317</v>
      </c>
      <c r="L106" s="10">
        <v>3</v>
      </c>
      <c r="N106" s="18" t="s">
        <v>3067</v>
      </c>
      <c r="O106" s="10">
        <v>3</v>
      </c>
    </row>
    <row r="107" spans="11:15" x14ac:dyDescent="0.35">
      <c r="K107" s="18" t="s">
        <v>3180</v>
      </c>
      <c r="L107" s="10">
        <v>3</v>
      </c>
      <c r="N107" s="18" t="s">
        <v>3006</v>
      </c>
      <c r="O107" s="10">
        <v>3</v>
      </c>
    </row>
    <row r="108" spans="11:15" x14ac:dyDescent="0.35">
      <c r="K108" s="18" t="s">
        <v>3369</v>
      </c>
      <c r="L108" s="10">
        <v>3</v>
      </c>
      <c r="N108" s="18" t="s">
        <v>3395</v>
      </c>
      <c r="O108" s="10">
        <v>3</v>
      </c>
    </row>
    <row r="109" spans="11:15" x14ac:dyDescent="0.35">
      <c r="K109" s="18" t="s">
        <v>3225</v>
      </c>
      <c r="L109" s="10">
        <v>3</v>
      </c>
      <c r="N109" s="18" t="s">
        <v>2944</v>
      </c>
      <c r="O109" s="10">
        <v>3</v>
      </c>
    </row>
    <row r="110" spans="11:15" x14ac:dyDescent="0.35">
      <c r="K110" s="18" t="s">
        <v>3283</v>
      </c>
      <c r="L110" s="10">
        <v>3</v>
      </c>
      <c r="N110" s="18" t="s">
        <v>3403</v>
      </c>
      <c r="O110" s="10">
        <v>3</v>
      </c>
    </row>
    <row r="111" spans="11:15" x14ac:dyDescent="0.35">
      <c r="K111" s="18" t="s">
        <v>3305</v>
      </c>
      <c r="L111" s="10">
        <v>3</v>
      </c>
      <c r="N111" s="18" t="s">
        <v>3053</v>
      </c>
      <c r="O111" s="10">
        <v>3</v>
      </c>
    </row>
    <row r="112" spans="11:15" x14ac:dyDescent="0.35">
      <c r="K112" s="18" t="s">
        <v>3323</v>
      </c>
      <c r="L112" s="10">
        <v>3</v>
      </c>
      <c r="N112" s="18" t="s">
        <v>2953</v>
      </c>
      <c r="O112" s="10">
        <v>3</v>
      </c>
    </row>
    <row r="113" spans="11:15" x14ac:dyDescent="0.35">
      <c r="K113" s="18" t="s">
        <v>3235</v>
      </c>
      <c r="L113" s="10">
        <v>3</v>
      </c>
      <c r="N113" s="18" t="s">
        <v>3104</v>
      </c>
      <c r="O113" s="10">
        <v>3</v>
      </c>
    </row>
    <row r="114" spans="11:15" x14ac:dyDescent="0.35">
      <c r="K114" s="18" t="s">
        <v>3239</v>
      </c>
      <c r="L114" s="10">
        <v>3</v>
      </c>
      <c r="N114" s="18" t="s">
        <v>3004</v>
      </c>
      <c r="O114" s="10">
        <v>3</v>
      </c>
    </row>
    <row r="115" spans="11:15" x14ac:dyDescent="0.35">
      <c r="K115" s="18" t="s">
        <v>3177</v>
      </c>
      <c r="L115" s="10">
        <v>3</v>
      </c>
      <c r="N115" s="18" t="s">
        <v>2937</v>
      </c>
      <c r="O115" s="10">
        <v>3</v>
      </c>
    </row>
    <row r="116" spans="11:15" x14ac:dyDescent="0.35">
      <c r="K116" s="18" t="s">
        <v>3241</v>
      </c>
      <c r="L116" s="10">
        <v>3</v>
      </c>
      <c r="N116" s="18" t="s">
        <v>3009</v>
      </c>
      <c r="O116" s="10">
        <v>3</v>
      </c>
    </row>
    <row r="117" spans="11:15" x14ac:dyDescent="0.35">
      <c r="K117" s="18" t="s">
        <v>3373</v>
      </c>
      <c r="L117" s="10">
        <v>3</v>
      </c>
      <c r="N117" s="18" t="s">
        <v>2993</v>
      </c>
      <c r="O117" s="10">
        <v>3</v>
      </c>
    </row>
    <row r="118" spans="11:15" x14ac:dyDescent="0.35">
      <c r="K118" s="18" t="s">
        <v>3276</v>
      </c>
      <c r="L118" s="10">
        <v>3</v>
      </c>
      <c r="N118" s="18" t="s">
        <v>2995</v>
      </c>
      <c r="O118" s="10">
        <v>3</v>
      </c>
    </row>
    <row r="119" spans="11:15" x14ac:dyDescent="0.35">
      <c r="K119" s="18" t="s">
        <v>3302</v>
      </c>
      <c r="L119" s="10">
        <v>3</v>
      </c>
      <c r="N119" s="18" t="s">
        <v>2984</v>
      </c>
      <c r="O119" s="10">
        <v>3</v>
      </c>
    </row>
    <row r="120" spans="11:15" x14ac:dyDescent="0.35">
      <c r="K120" s="18" t="s">
        <v>3187</v>
      </c>
      <c r="L120" s="10">
        <v>2</v>
      </c>
      <c r="N120" s="18" t="s">
        <v>3088</v>
      </c>
      <c r="O120" s="10">
        <v>3</v>
      </c>
    </row>
    <row r="121" spans="11:15" x14ac:dyDescent="0.35">
      <c r="K121" s="18" t="s">
        <v>3341</v>
      </c>
      <c r="L121" s="10">
        <v>2</v>
      </c>
      <c r="N121" s="18" t="s">
        <v>3115</v>
      </c>
      <c r="O121" s="10">
        <v>3</v>
      </c>
    </row>
    <row r="122" spans="11:15" x14ac:dyDescent="0.35">
      <c r="K122" s="18" t="s">
        <v>3381</v>
      </c>
      <c r="L122" s="10">
        <v>2</v>
      </c>
      <c r="N122" s="18" t="s">
        <v>3001</v>
      </c>
      <c r="O122" s="10">
        <v>3</v>
      </c>
    </row>
    <row r="123" spans="11:15" x14ac:dyDescent="0.35">
      <c r="K123" s="18" t="s">
        <v>3284</v>
      </c>
      <c r="L123" s="10">
        <v>2</v>
      </c>
      <c r="N123" s="18" t="s">
        <v>2966</v>
      </c>
      <c r="O123" s="10">
        <v>3</v>
      </c>
    </row>
    <row r="124" spans="11:15" x14ac:dyDescent="0.35">
      <c r="K124" s="18" t="s">
        <v>3347</v>
      </c>
      <c r="L124" s="10">
        <v>2</v>
      </c>
      <c r="N124" s="18" t="s">
        <v>3405</v>
      </c>
      <c r="O124" s="10">
        <v>3</v>
      </c>
    </row>
    <row r="125" spans="11:15" x14ac:dyDescent="0.35">
      <c r="K125" s="18" t="s">
        <v>3285</v>
      </c>
      <c r="L125" s="10">
        <v>2</v>
      </c>
      <c r="N125" s="18" t="s">
        <v>3043</v>
      </c>
      <c r="O125" s="10">
        <v>3</v>
      </c>
    </row>
    <row r="126" spans="11:15" x14ac:dyDescent="0.35">
      <c r="K126" s="18" t="s">
        <v>3371</v>
      </c>
      <c r="L126" s="10">
        <v>2</v>
      </c>
      <c r="N126" s="18" t="s">
        <v>3091</v>
      </c>
      <c r="O126" s="10">
        <v>3</v>
      </c>
    </row>
    <row r="127" spans="11:15" x14ac:dyDescent="0.35">
      <c r="K127" s="18" t="s">
        <v>3288</v>
      </c>
      <c r="L127" s="10">
        <v>2</v>
      </c>
      <c r="N127" s="18" t="s">
        <v>3003</v>
      </c>
      <c r="O127" s="10">
        <v>3</v>
      </c>
    </row>
    <row r="128" spans="11:15" x14ac:dyDescent="0.35">
      <c r="K128" s="18" t="s">
        <v>3219</v>
      </c>
      <c r="L128" s="10">
        <v>2</v>
      </c>
      <c r="N128" s="18" t="s">
        <v>3042</v>
      </c>
      <c r="O128" s="10">
        <v>3</v>
      </c>
    </row>
    <row r="129" spans="11:15" x14ac:dyDescent="0.35">
      <c r="K129" s="18" t="s">
        <v>3245</v>
      </c>
      <c r="L129" s="10">
        <v>2</v>
      </c>
      <c r="N129" s="18" t="s">
        <v>2947</v>
      </c>
      <c r="O129" s="10">
        <v>3</v>
      </c>
    </row>
    <row r="130" spans="11:15" x14ac:dyDescent="0.35">
      <c r="K130" s="18" t="s">
        <v>3345</v>
      </c>
      <c r="L130" s="10">
        <v>2</v>
      </c>
      <c r="N130" s="18" t="s">
        <v>3116</v>
      </c>
      <c r="O130" s="10">
        <v>2</v>
      </c>
    </row>
    <row r="131" spans="11:15" x14ac:dyDescent="0.35">
      <c r="K131" s="18" t="s">
        <v>3204</v>
      </c>
      <c r="L131" s="10">
        <v>2</v>
      </c>
      <c r="N131" s="18" t="s">
        <v>2948</v>
      </c>
      <c r="O131" s="10">
        <v>2</v>
      </c>
    </row>
    <row r="132" spans="11:15" x14ac:dyDescent="0.35">
      <c r="K132" s="18" t="s">
        <v>3349</v>
      </c>
      <c r="L132" s="10">
        <v>2</v>
      </c>
      <c r="N132" s="18" t="s">
        <v>3141</v>
      </c>
      <c r="O132" s="10">
        <v>2</v>
      </c>
    </row>
    <row r="133" spans="11:15" x14ac:dyDescent="0.35">
      <c r="K133" s="18" t="s">
        <v>3293</v>
      </c>
      <c r="L133" s="10">
        <v>2</v>
      </c>
      <c r="N133" s="18" t="s">
        <v>3051</v>
      </c>
      <c r="O133" s="10">
        <v>2</v>
      </c>
    </row>
    <row r="134" spans="11:15" x14ac:dyDescent="0.35">
      <c r="K134" s="18" t="s">
        <v>3240</v>
      </c>
      <c r="L134" s="10">
        <v>2</v>
      </c>
      <c r="N134" s="18" t="s">
        <v>3108</v>
      </c>
      <c r="O134" s="10">
        <v>2</v>
      </c>
    </row>
    <row r="135" spans="11:15" x14ac:dyDescent="0.35">
      <c r="K135" s="18" t="s">
        <v>3296</v>
      </c>
      <c r="L135" s="10">
        <v>2</v>
      </c>
      <c r="N135" s="18" t="s">
        <v>2924</v>
      </c>
      <c r="O135" s="10">
        <v>2</v>
      </c>
    </row>
    <row r="136" spans="11:15" x14ac:dyDescent="0.35">
      <c r="K136" s="18" t="s">
        <v>3228</v>
      </c>
      <c r="L136" s="10">
        <v>2</v>
      </c>
      <c r="N136" s="18" t="s">
        <v>2962</v>
      </c>
      <c r="O136" s="10">
        <v>2</v>
      </c>
    </row>
    <row r="137" spans="11:15" x14ac:dyDescent="0.35">
      <c r="K137" s="18" t="s">
        <v>3193</v>
      </c>
      <c r="L137" s="10">
        <v>2</v>
      </c>
      <c r="N137" s="18" t="s">
        <v>2982</v>
      </c>
      <c r="O137" s="10">
        <v>2</v>
      </c>
    </row>
    <row r="138" spans="11:15" x14ac:dyDescent="0.35">
      <c r="K138" s="18" t="s">
        <v>3242</v>
      </c>
      <c r="L138" s="10">
        <v>2</v>
      </c>
      <c r="N138" s="18" t="s">
        <v>3037</v>
      </c>
      <c r="O138" s="10">
        <v>2</v>
      </c>
    </row>
    <row r="139" spans="11:15" x14ac:dyDescent="0.35">
      <c r="K139" s="18" t="s">
        <v>3300</v>
      </c>
      <c r="L139" s="10">
        <v>2</v>
      </c>
      <c r="N139" s="18" t="s">
        <v>3061</v>
      </c>
      <c r="O139" s="10">
        <v>2</v>
      </c>
    </row>
    <row r="140" spans="11:15" x14ac:dyDescent="0.35">
      <c r="K140" s="18" t="s">
        <v>3263</v>
      </c>
      <c r="L140" s="10">
        <v>2</v>
      </c>
      <c r="N140" s="18" t="s">
        <v>3406</v>
      </c>
      <c r="O140" s="10">
        <v>2</v>
      </c>
    </row>
    <row r="141" spans="11:15" x14ac:dyDescent="0.35">
      <c r="K141" s="18" t="s">
        <v>3195</v>
      </c>
      <c r="L141" s="10">
        <v>2</v>
      </c>
      <c r="N141" s="18" t="s">
        <v>3007</v>
      </c>
      <c r="O141" s="10">
        <v>2</v>
      </c>
    </row>
    <row r="142" spans="11:15" x14ac:dyDescent="0.35">
      <c r="K142" s="18" t="s">
        <v>3217</v>
      </c>
      <c r="L142" s="10">
        <v>2</v>
      </c>
      <c r="N142" s="18" t="s">
        <v>3111</v>
      </c>
      <c r="O142" s="10">
        <v>2</v>
      </c>
    </row>
    <row r="143" spans="11:15" x14ac:dyDescent="0.35">
      <c r="K143" s="18" t="s">
        <v>3307</v>
      </c>
      <c r="L143" s="10">
        <v>2</v>
      </c>
      <c r="N143" s="18" t="s">
        <v>3063</v>
      </c>
      <c r="O143" s="10">
        <v>2</v>
      </c>
    </row>
    <row r="144" spans="11:15" x14ac:dyDescent="0.35">
      <c r="K144" s="18" t="s">
        <v>3346</v>
      </c>
      <c r="L144" s="10">
        <v>2</v>
      </c>
      <c r="N144" s="18" t="s">
        <v>3124</v>
      </c>
      <c r="O144" s="10">
        <v>2</v>
      </c>
    </row>
    <row r="145" spans="11:15" x14ac:dyDescent="0.35">
      <c r="K145" s="18" t="s">
        <v>3310</v>
      </c>
      <c r="L145" s="10">
        <v>2</v>
      </c>
      <c r="N145" s="18" t="s">
        <v>2960</v>
      </c>
      <c r="O145" s="10">
        <v>2</v>
      </c>
    </row>
    <row r="146" spans="11:15" x14ac:dyDescent="0.35">
      <c r="K146" s="18" t="s">
        <v>3194</v>
      </c>
      <c r="L146" s="10">
        <v>2</v>
      </c>
      <c r="N146" s="18" t="s">
        <v>3137</v>
      </c>
      <c r="O146" s="10">
        <v>2</v>
      </c>
    </row>
    <row r="147" spans="11:15" x14ac:dyDescent="0.35">
      <c r="K147" s="18" t="s">
        <v>3253</v>
      </c>
      <c r="L147" s="10">
        <v>2</v>
      </c>
      <c r="N147" s="18" t="s">
        <v>3010</v>
      </c>
      <c r="O147" s="10">
        <v>2</v>
      </c>
    </row>
    <row r="148" spans="11:15" x14ac:dyDescent="0.35">
      <c r="K148" s="18" t="s">
        <v>3267</v>
      </c>
      <c r="L148" s="10">
        <v>2</v>
      </c>
      <c r="N148" s="18" t="s">
        <v>3143</v>
      </c>
      <c r="O148" s="10">
        <v>2</v>
      </c>
    </row>
    <row r="149" spans="11:15" x14ac:dyDescent="0.35">
      <c r="K149" s="18" t="s">
        <v>3200</v>
      </c>
      <c r="L149" s="10">
        <v>2</v>
      </c>
      <c r="N149" s="18" t="s">
        <v>3069</v>
      </c>
      <c r="O149" s="10">
        <v>2</v>
      </c>
    </row>
    <row r="150" spans="11:15" x14ac:dyDescent="0.35">
      <c r="K150" s="18" t="s">
        <v>3358</v>
      </c>
      <c r="L150" s="10">
        <v>2</v>
      </c>
      <c r="N150" s="18" t="s">
        <v>3038</v>
      </c>
      <c r="O150" s="10">
        <v>2</v>
      </c>
    </row>
    <row r="151" spans="11:15" x14ac:dyDescent="0.35">
      <c r="K151" s="18" t="s">
        <v>3318</v>
      </c>
      <c r="L151" s="10">
        <v>2</v>
      </c>
      <c r="N151" s="18" t="s">
        <v>3074</v>
      </c>
      <c r="O151" s="10">
        <v>2</v>
      </c>
    </row>
    <row r="152" spans="11:15" x14ac:dyDescent="0.35">
      <c r="K152" s="18" t="s">
        <v>3272</v>
      </c>
      <c r="L152" s="10">
        <v>2</v>
      </c>
      <c r="N152" s="18" t="s">
        <v>2955</v>
      </c>
      <c r="O152" s="10">
        <v>2</v>
      </c>
    </row>
    <row r="153" spans="11:15" x14ac:dyDescent="0.35">
      <c r="K153" s="18" t="s">
        <v>3257</v>
      </c>
      <c r="L153" s="10">
        <v>2</v>
      </c>
      <c r="N153" s="18" t="s">
        <v>3014</v>
      </c>
      <c r="O153" s="10">
        <v>2</v>
      </c>
    </row>
    <row r="154" spans="11:15" x14ac:dyDescent="0.35">
      <c r="K154" s="18" t="s">
        <v>3173</v>
      </c>
      <c r="L154" s="10">
        <v>2</v>
      </c>
      <c r="N154" s="18" t="s">
        <v>3415</v>
      </c>
      <c r="O154" s="10">
        <v>2</v>
      </c>
    </row>
    <row r="155" spans="11:15" x14ac:dyDescent="0.35">
      <c r="K155" s="18" t="s">
        <v>3322</v>
      </c>
      <c r="L155" s="10">
        <v>2</v>
      </c>
      <c r="N155" s="18" t="s">
        <v>3079</v>
      </c>
      <c r="O155" s="10">
        <v>2</v>
      </c>
    </row>
    <row r="156" spans="11:15" x14ac:dyDescent="0.35">
      <c r="K156" s="18" t="s">
        <v>3214</v>
      </c>
      <c r="L156" s="10">
        <v>2</v>
      </c>
      <c r="N156" s="18" t="s">
        <v>3027</v>
      </c>
      <c r="O156" s="10">
        <v>2</v>
      </c>
    </row>
    <row r="157" spans="11:15" x14ac:dyDescent="0.35">
      <c r="K157" s="18" t="s">
        <v>3324</v>
      </c>
      <c r="L157" s="10">
        <v>2</v>
      </c>
      <c r="N157" s="18" t="s">
        <v>2985</v>
      </c>
      <c r="O157" s="10">
        <v>2</v>
      </c>
    </row>
    <row r="158" spans="11:15" x14ac:dyDescent="0.35">
      <c r="K158" s="18" t="s">
        <v>3378</v>
      </c>
      <c r="L158" s="10">
        <v>2</v>
      </c>
      <c r="N158" s="18" t="s">
        <v>3028</v>
      </c>
      <c r="O158" s="10">
        <v>2</v>
      </c>
    </row>
    <row r="159" spans="11:15" x14ac:dyDescent="0.35">
      <c r="K159" s="18" t="s">
        <v>3376</v>
      </c>
      <c r="L159" s="10">
        <v>1</v>
      </c>
      <c r="N159" s="18" t="s">
        <v>3082</v>
      </c>
      <c r="O159" s="10">
        <v>2</v>
      </c>
    </row>
    <row r="160" spans="11:15" x14ac:dyDescent="0.35">
      <c r="K160" s="18" t="s">
        <v>3360</v>
      </c>
      <c r="L160" s="10">
        <v>1</v>
      </c>
      <c r="N160" s="18" t="s">
        <v>3427</v>
      </c>
      <c r="O160" s="10">
        <v>2</v>
      </c>
    </row>
    <row r="161" spans="11:15" x14ac:dyDescent="0.35">
      <c r="K161" s="18" t="s">
        <v>3352</v>
      </c>
      <c r="L161" s="10">
        <v>1</v>
      </c>
      <c r="N161" s="18" t="s">
        <v>2987</v>
      </c>
      <c r="O161" s="10">
        <v>2</v>
      </c>
    </row>
    <row r="162" spans="11:15" x14ac:dyDescent="0.35">
      <c r="K162" s="18" t="s">
        <v>3233</v>
      </c>
      <c r="L162" s="10">
        <v>1</v>
      </c>
      <c r="N162" s="18" t="s">
        <v>3125</v>
      </c>
      <c r="O162" s="10">
        <v>2</v>
      </c>
    </row>
    <row r="163" spans="11:15" x14ac:dyDescent="0.35">
      <c r="K163" s="18" t="s">
        <v>3271</v>
      </c>
      <c r="L163" s="10">
        <v>1</v>
      </c>
      <c r="N163" s="18" t="s">
        <v>3086</v>
      </c>
      <c r="O163" s="10">
        <v>2</v>
      </c>
    </row>
    <row r="164" spans="11:15" x14ac:dyDescent="0.35">
      <c r="K164" s="18" t="s">
        <v>3277</v>
      </c>
      <c r="L164" s="10">
        <v>1</v>
      </c>
      <c r="N164" s="18" t="s">
        <v>2940</v>
      </c>
      <c r="O164" s="10">
        <v>2</v>
      </c>
    </row>
    <row r="165" spans="11:15" x14ac:dyDescent="0.35">
      <c r="K165" s="18" t="s">
        <v>3215</v>
      </c>
      <c r="L165" s="10">
        <v>1</v>
      </c>
      <c r="N165" s="18" t="s">
        <v>2988</v>
      </c>
      <c r="O165" s="10">
        <v>2</v>
      </c>
    </row>
    <row r="166" spans="11:15" x14ac:dyDescent="0.35">
      <c r="K166" s="18" t="s">
        <v>3316</v>
      </c>
      <c r="L166" s="10">
        <v>1</v>
      </c>
      <c r="N166" s="18" t="s">
        <v>2938</v>
      </c>
      <c r="O166" s="10">
        <v>2</v>
      </c>
    </row>
    <row r="167" spans="11:15" x14ac:dyDescent="0.35">
      <c r="K167" s="18" t="s">
        <v>3250</v>
      </c>
      <c r="L167" s="10">
        <v>1</v>
      </c>
      <c r="N167" s="18" t="s">
        <v>2961</v>
      </c>
      <c r="O167" s="10">
        <v>2</v>
      </c>
    </row>
    <row r="168" spans="11:15" x14ac:dyDescent="0.35">
      <c r="K168" s="18" t="s">
        <v>3234</v>
      </c>
      <c r="L168" s="10">
        <v>1</v>
      </c>
      <c r="N168" s="18" t="s">
        <v>3142</v>
      </c>
      <c r="O168" s="10">
        <v>2</v>
      </c>
    </row>
    <row r="169" spans="11:15" x14ac:dyDescent="0.35">
      <c r="K169" s="18" t="s">
        <v>3175</v>
      </c>
      <c r="L169" s="10">
        <v>1</v>
      </c>
      <c r="N169" s="18" t="s">
        <v>3094</v>
      </c>
      <c r="O169" s="10">
        <v>2</v>
      </c>
    </row>
    <row r="170" spans="11:15" x14ac:dyDescent="0.35">
      <c r="K170" s="18" t="s">
        <v>3289</v>
      </c>
      <c r="L170" s="10">
        <v>1</v>
      </c>
      <c r="N170" s="18" t="s">
        <v>3145</v>
      </c>
      <c r="O170" s="10">
        <v>2</v>
      </c>
    </row>
    <row r="171" spans="11:15" x14ac:dyDescent="0.35">
      <c r="K171" s="18" t="s">
        <v>3286</v>
      </c>
      <c r="L171" s="10">
        <v>1</v>
      </c>
      <c r="N171" s="18" t="s">
        <v>2970</v>
      </c>
      <c r="O171" s="10">
        <v>2</v>
      </c>
    </row>
    <row r="172" spans="11:15" x14ac:dyDescent="0.35">
      <c r="K172" s="18" t="s">
        <v>3319</v>
      </c>
      <c r="L172" s="10">
        <v>1</v>
      </c>
      <c r="N172" s="18" t="s">
        <v>3148</v>
      </c>
      <c r="O172" s="10">
        <v>2</v>
      </c>
    </row>
    <row r="173" spans="11:15" x14ac:dyDescent="0.35">
      <c r="K173" s="18" t="s">
        <v>3244</v>
      </c>
      <c r="L173" s="10">
        <v>1</v>
      </c>
      <c r="N173" s="18" t="s">
        <v>3098</v>
      </c>
      <c r="O173" s="10">
        <v>2</v>
      </c>
    </row>
    <row r="174" spans="11:15" x14ac:dyDescent="0.35">
      <c r="K174" s="18" t="s">
        <v>3290</v>
      </c>
      <c r="L174" s="10">
        <v>1</v>
      </c>
      <c r="N174" s="18" t="s">
        <v>3039</v>
      </c>
      <c r="O174" s="10">
        <v>2</v>
      </c>
    </row>
    <row r="175" spans="11:15" x14ac:dyDescent="0.35">
      <c r="K175" s="18" t="s">
        <v>3350</v>
      </c>
      <c r="L175" s="10">
        <v>1</v>
      </c>
      <c r="N175" s="18" t="s">
        <v>3023</v>
      </c>
      <c r="O175" s="10">
        <v>2</v>
      </c>
    </row>
    <row r="176" spans="11:15" x14ac:dyDescent="0.35">
      <c r="K176" s="18" t="s">
        <v>3258</v>
      </c>
      <c r="L176" s="10">
        <v>1</v>
      </c>
      <c r="N176" s="18" t="s">
        <v>3393</v>
      </c>
      <c r="O176" s="10">
        <v>2</v>
      </c>
    </row>
    <row r="177" spans="11:15" x14ac:dyDescent="0.35">
      <c r="K177" s="18" t="s">
        <v>3354</v>
      </c>
      <c r="L177" s="10">
        <v>1</v>
      </c>
      <c r="N177" s="18" t="s">
        <v>3101</v>
      </c>
      <c r="O177" s="10">
        <v>2</v>
      </c>
    </row>
    <row r="178" spans="11:15" x14ac:dyDescent="0.35">
      <c r="K178" s="18" t="s">
        <v>3278</v>
      </c>
      <c r="L178" s="10">
        <v>1</v>
      </c>
      <c r="N178" s="18" t="s">
        <v>2967</v>
      </c>
      <c r="O178" s="10">
        <v>2</v>
      </c>
    </row>
    <row r="179" spans="11:15" x14ac:dyDescent="0.35">
      <c r="K179" s="18" t="s">
        <v>3306</v>
      </c>
      <c r="L179" s="10">
        <v>1</v>
      </c>
      <c r="N179" s="18" t="s">
        <v>3025</v>
      </c>
      <c r="O179" s="10">
        <v>2</v>
      </c>
    </row>
    <row r="180" spans="11:15" x14ac:dyDescent="0.35">
      <c r="K180" s="18" t="s">
        <v>3259</v>
      </c>
      <c r="L180" s="10">
        <v>1</v>
      </c>
      <c r="N180" s="18" t="s">
        <v>3048</v>
      </c>
      <c r="O180" s="10">
        <v>2</v>
      </c>
    </row>
    <row r="181" spans="11:15" x14ac:dyDescent="0.35">
      <c r="K181" s="18" t="s">
        <v>3362</v>
      </c>
      <c r="L181" s="10">
        <v>1</v>
      </c>
      <c r="N181" s="18" t="s">
        <v>2992</v>
      </c>
      <c r="O181" s="10">
        <v>2</v>
      </c>
    </row>
    <row r="182" spans="11:15" x14ac:dyDescent="0.35">
      <c r="K182" s="18" t="s">
        <v>3279</v>
      </c>
      <c r="L182" s="10">
        <v>1</v>
      </c>
      <c r="N182" s="18" t="s">
        <v>3419</v>
      </c>
      <c r="O182" s="10">
        <v>2</v>
      </c>
    </row>
    <row r="183" spans="11:15" x14ac:dyDescent="0.35">
      <c r="K183" s="18" t="s">
        <v>3212</v>
      </c>
      <c r="L183" s="10">
        <v>1</v>
      </c>
      <c r="N183" s="18" t="s">
        <v>3106</v>
      </c>
      <c r="O183" s="10">
        <v>2</v>
      </c>
    </row>
    <row r="184" spans="11:15" x14ac:dyDescent="0.35">
      <c r="K184" s="18" t="s">
        <v>3377</v>
      </c>
      <c r="L184" s="10">
        <v>1</v>
      </c>
      <c r="N184" s="18" t="s">
        <v>3426</v>
      </c>
      <c r="O184" s="10">
        <v>2</v>
      </c>
    </row>
    <row r="185" spans="11:15" x14ac:dyDescent="0.35">
      <c r="K185" s="18" t="s">
        <v>3370</v>
      </c>
      <c r="L185" s="10">
        <v>1</v>
      </c>
      <c r="N185" s="18" t="s">
        <v>2999</v>
      </c>
      <c r="O185" s="10">
        <v>1</v>
      </c>
    </row>
    <row r="186" spans="11:15" x14ac:dyDescent="0.35">
      <c r="K186" s="18" t="s">
        <v>3379</v>
      </c>
      <c r="L186" s="10">
        <v>1</v>
      </c>
      <c r="N186" s="18" t="s">
        <v>3096</v>
      </c>
      <c r="O186" s="10">
        <v>1</v>
      </c>
    </row>
    <row r="187" spans="11:15" x14ac:dyDescent="0.35">
      <c r="K187" s="18" t="s">
        <v>3232</v>
      </c>
      <c r="L187" s="10">
        <v>1</v>
      </c>
      <c r="N187" s="18" t="s">
        <v>3418</v>
      </c>
      <c r="O187" s="10">
        <v>1</v>
      </c>
    </row>
    <row r="188" spans="11:15" x14ac:dyDescent="0.35">
      <c r="K188" s="18" t="s">
        <v>3280</v>
      </c>
      <c r="L188" s="10">
        <v>1</v>
      </c>
      <c r="N188" s="18" t="s">
        <v>3076</v>
      </c>
      <c r="O188" s="10">
        <v>1</v>
      </c>
    </row>
    <row r="189" spans="11:15" x14ac:dyDescent="0.35">
      <c r="K189" s="18" t="s">
        <v>3248</v>
      </c>
      <c r="L189" s="10">
        <v>1</v>
      </c>
      <c r="N189" s="18" t="s">
        <v>3394</v>
      </c>
      <c r="O189" s="10">
        <v>1</v>
      </c>
    </row>
    <row r="190" spans="11:15" x14ac:dyDescent="0.35">
      <c r="K190" s="18" t="s">
        <v>3383</v>
      </c>
      <c r="L190" s="10">
        <v>1</v>
      </c>
      <c r="N190" s="18" t="s">
        <v>3107</v>
      </c>
      <c r="O190" s="10">
        <v>1</v>
      </c>
    </row>
    <row r="191" spans="11:15" x14ac:dyDescent="0.35">
      <c r="K191" s="18" t="s">
        <v>3301</v>
      </c>
      <c r="L191" s="10">
        <v>1</v>
      </c>
      <c r="N191" s="18" t="s">
        <v>3410</v>
      </c>
      <c r="O191" s="10">
        <v>1</v>
      </c>
    </row>
    <row r="192" spans="11:15" x14ac:dyDescent="0.35">
      <c r="K192" s="18" t="s">
        <v>3385</v>
      </c>
      <c r="L192" s="10">
        <v>1</v>
      </c>
      <c r="N192" s="18" t="s">
        <v>3013</v>
      </c>
      <c r="O192" s="10">
        <v>1</v>
      </c>
    </row>
    <row r="193" spans="11:15" x14ac:dyDescent="0.35">
      <c r="K193" s="18" t="s">
        <v>3275</v>
      </c>
      <c r="L193" s="10">
        <v>1</v>
      </c>
      <c r="N193" s="18" t="s">
        <v>3052</v>
      </c>
      <c r="O193" s="10">
        <v>1</v>
      </c>
    </row>
    <row r="194" spans="11:15" x14ac:dyDescent="0.35">
      <c r="K194" s="18" t="s">
        <v>3387</v>
      </c>
      <c r="L194" s="10">
        <v>1</v>
      </c>
      <c r="N194" s="18" t="s">
        <v>3109</v>
      </c>
      <c r="O194" s="10">
        <v>1</v>
      </c>
    </row>
    <row r="195" spans="11:15" x14ac:dyDescent="0.35">
      <c r="K195" s="18" t="s">
        <v>3304</v>
      </c>
      <c r="L195" s="10">
        <v>1</v>
      </c>
      <c r="N195" s="18" t="s">
        <v>3156</v>
      </c>
      <c r="O195" s="10">
        <v>1</v>
      </c>
    </row>
    <row r="196" spans="11:15" x14ac:dyDescent="0.35">
      <c r="K196" s="18" t="s">
        <v>3389</v>
      </c>
      <c r="L196" s="10">
        <v>1</v>
      </c>
      <c r="N196" s="18" t="s">
        <v>2942</v>
      </c>
      <c r="O196" s="10">
        <v>1</v>
      </c>
    </row>
    <row r="197" spans="11:15" x14ac:dyDescent="0.35">
      <c r="K197" s="18" t="s">
        <v>3353</v>
      </c>
      <c r="L197" s="10">
        <v>1</v>
      </c>
      <c r="N197" s="18" t="s">
        <v>3398</v>
      </c>
      <c r="O197" s="10">
        <v>1</v>
      </c>
    </row>
    <row r="198" spans="11:15" x14ac:dyDescent="0.35">
      <c r="K198" s="18" t="s">
        <v>3294</v>
      </c>
      <c r="L198" s="10">
        <v>1</v>
      </c>
      <c r="N198" s="18" t="s">
        <v>2981</v>
      </c>
      <c r="O198" s="10">
        <v>1</v>
      </c>
    </row>
    <row r="199" spans="11:15" x14ac:dyDescent="0.35">
      <c r="K199" s="18" t="s">
        <v>3355</v>
      </c>
      <c r="L199" s="10">
        <v>1</v>
      </c>
      <c r="N199" s="18" t="s">
        <v>3012</v>
      </c>
      <c r="O199" s="10">
        <v>1</v>
      </c>
    </row>
    <row r="200" spans="11:15" x14ac:dyDescent="0.35">
      <c r="K200" s="18" t="s">
        <v>3333</v>
      </c>
      <c r="L200" s="10">
        <v>1</v>
      </c>
      <c r="N200" s="18" t="s">
        <v>3080</v>
      </c>
      <c r="O200" s="10">
        <v>1</v>
      </c>
    </row>
    <row r="201" spans="11:15" x14ac:dyDescent="0.35">
      <c r="K201" s="18" t="s">
        <v>3357</v>
      </c>
      <c r="L201" s="10">
        <v>1</v>
      </c>
      <c r="N201" s="18" t="s">
        <v>3049</v>
      </c>
      <c r="O201" s="10">
        <v>1</v>
      </c>
    </row>
    <row r="202" spans="11:15" x14ac:dyDescent="0.35">
      <c r="K202" s="18" t="s">
        <v>3334</v>
      </c>
      <c r="L202" s="10">
        <v>1</v>
      </c>
      <c r="N202" s="18" t="s">
        <v>3029</v>
      </c>
      <c r="O202" s="10">
        <v>1</v>
      </c>
    </row>
    <row r="203" spans="11:15" x14ac:dyDescent="0.35">
      <c r="K203" s="18" t="s">
        <v>3359</v>
      </c>
      <c r="L203" s="10">
        <v>1</v>
      </c>
      <c r="N203" s="18" t="s">
        <v>3422</v>
      </c>
      <c r="O203" s="10">
        <v>1</v>
      </c>
    </row>
    <row r="204" spans="11:15" x14ac:dyDescent="0.35">
      <c r="K204" s="18" t="s">
        <v>3261</v>
      </c>
      <c r="L204" s="10">
        <v>1</v>
      </c>
      <c r="N204" s="18" t="s">
        <v>3114</v>
      </c>
      <c r="O204" s="10">
        <v>1</v>
      </c>
    </row>
    <row r="205" spans="11:15" x14ac:dyDescent="0.35">
      <c r="K205" s="18" t="s">
        <v>3361</v>
      </c>
      <c r="L205" s="10">
        <v>1</v>
      </c>
      <c r="N205" s="18" t="s">
        <v>3070</v>
      </c>
      <c r="O205" s="10">
        <v>1</v>
      </c>
    </row>
    <row r="206" spans="11:15" x14ac:dyDescent="0.35">
      <c r="K206" s="18" t="s">
        <v>3336</v>
      </c>
      <c r="L206" s="10">
        <v>1</v>
      </c>
      <c r="N206" s="18" t="s">
        <v>3030</v>
      </c>
      <c r="O206" s="10">
        <v>1</v>
      </c>
    </row>
    <row r="207" spans="11:15" x14ac:dyDescent="0.35">
      <c r="K207" s="18" t="s">
        <v>3178</v>
      </c>
      <c r="L207" s="10">
        <v>1</v>
      </c>
      <c r="N207" s="18" t="s">
        <v>3154</v>
      </c>
      <c r="O207" s="10">
        <v>1</v>
      </c>
    </row>
    <row r="208" spans="11:15" x14ac:dyDescent="0.35">
      <c r="K208" s="18" t="s">
        <v>3218</v>
      </c>
      <c r="L208" s="10">
        <v>1</v>
      </c>
      <c r="N208" s="18" t="s">
        <v>3056</v>
      </c>
      <c r="O208" s="10">
        <v>1</v>
      </c>
    </row>
    <row r="209" spans="11:15" x14ac:dyDescent="0.35">
      <c r="K209" s="18" t="s">
        <v>3243</v>
      </c>
      <c r="L209" s="10">
        <v>1</v>
      </c>
      <c r="N209" s="18" t="s">
        <v>3392</v>
      </c>
      <c r="O209" s="10">
        <v>1</v>
      </c>
    </row>
    <row r="210" spans="11:15" x14ac:dyDescent="0.35">
      <c r="K210" s="18" t="s">
        <v>3338</v>
      </c>
      <c r="L210" s="10">
        <v>1</v>
      </c>
      <c r="N210" s="18" t="s">
        <v>3031</v>
      </c>
      <c r="O210" s="10">
        <v>1</v>
      </c>
    </row>
    <row r="211" spans="11:15" x14ac:dyDescent="0.35">
      <c r="K211" s="18" t="s">
        <v>3367</v>
      </c>
      <c r="L211" s="10">
        <v>1</v>
      </c>
      <c r="N211" s="18" t="s">
        <v>3396</v>
      </c>
      <c r="O211" s="10">
        <v>1</v>
      </c>
    </row>
    <row r="212" spans="11:15" x14ac:dyDescent="0.35">
      <c r="K212" s="18" t="s">
        <v>3203</v>
      </c>
      <c r="L212" s="10">
        <v>1</v>
      </c>
      <c r="N212" s="18" t="s">
        <v>3118</v>
      </c>
      <c r="O212" s="10">
        <v>1</v>
      </c>
    </row>
    <row r="213" spans="11:15" x14ac:dyDescent="0.35">
      <c r="K213" s="18" t="s">
        <v>3251</v>
      </c>
      <c r="L213" s="10">
        <v>1</v>
      </c>
      <c r="N213" s="18" t="s">
        <v>2949</v>
      </c>
      <c r="O213" s="10">
        <v>1</v>
      </c>
    </row>
    <row r="214" spans="11:15" x14ac:dyDescent="0.35">
      <c r="K214" s="18" t="s">
        <v>3340</v>
      </c>
      <c r="L214" s="10">
        <v>1</v>
      </c>
      <c r="N214" s="18" t="s">
        <v>3119</v>
      </c>
      <c r="O214" s="10">
        <v>1</v>
      </c>
    </row>
    <row r="215" spans="11:15" x14ac:dyDescent="0.35">
      <c r="K215" s="18" t="s">
        <v>3309</v>
      </c>
      <c r="L215" s="10">
        <v>1</v>
      </c>
      <c r="N215" s="18" t="s">
        <v>3404</v>
      </c>
      <c r="O215" s="10">
        <v>1</v>
      </c>
    </row>
    <row r="216" spans="11:15" x14ac:dyDescent="0.35">
      <c r="K216" s="18" t="s">
        <v>3282</v>
      </c>
      <c r="L216" s="10">
        <v>1</v>
      </c>
      <c r="N216" s="18" t="s">
        <v>3425</v>
      </c>
      <c r="O216" s="10">
        <v>1</v>
      </c>
    </row>
    <row r="217" spans="11:15" x14ac:dyDescent="0.35">
      <c r="K217" s="18" t="s">
        <v>3311</v>
      </c>
      <c r="L217" s="10">
        <v>1</v>
      </c>
      <c r="N217" s="18" t="s">
        <v>3047</v>
      </c>
      <c r="O217" s="10">
        <v>1</v>
      </c>
    </row>
    <row r="218" spans="11:15" x14ac:dyDescent="0.35">
      <c r="K218" s="18" t="s">
        <v>3298</v>
      </c>
      <c r="L218" s="10">
        <v>1</v>
      </c>
      <c r="N218" s="18" t="s">
        <v>2983</v>
      </c>
      <c r="O218" s="10">
        <v>1</v>
      </c>
    </row>
    <row r="219" spans="11:15" x14ac:dyDescent="0.35">
      <c r="K219" s="18" t="s">
        <v>3375</v>
      </c>
      <c r="L219" s="10">
        <v>1</v>
      </c>
      <c r="N219" s="18" t="s">
        <v>3412</v>
      </c>
      <c r="O219" s="10">
        <v>1</v>
      </c>
    </row>
    <row r="220" spans="11:15" x14ac:dyDescent="0.35">
      <c r="K220" s="18" t="s">
        <v>3343</v>
      </c>
      <c r="L220" s="10">
        <v>1</v>
      </c>
      <c r="N220" s="18" t="s">
        <v>3429</v>
      </c>
      <c r="O220" s="10">
        <v>1</v>
      </c>
    </row>
    <row r="221" spans="11:15" x14ac:dyDescent="0.35">
      <c r="K221" s="18" t="s">
        <v>3287</v>
      </c>
      <c r="L221" s="10">
        <v>1</v>
      </c>
      <c r="N221" s="18" t="s">
        <v>3416</v>
      </c>
      <c r="O221" s="10">
        <v>1</v>
      </c>
    </row>
    <row r="222" spans="11:15" x14ac:dyDescent="0.35">
      <c r="K222" s="18" t="s">
        <v>3265</v>
      </c>
      <c r="L222" s="10">
        <v>1</v>
      </c>
      <c r="N222" s="18" t="s">
        <v>3123</v>
      </c>
      <c r="O222" s="10">
        <v>1</v>
      </c>
    </row>
    <row r="223" spans="11:15" x14ac:dyDescent="0.35">
      <c r="K223" s="18" t="s">
        <v>3260</v>
      </c>
      <c r="L223" s="10">
        <v>1</v>
      </c>
      <c r="N223" s="18" t="s">
        <v>3420</v>
      </c>
      <c r="O223" s="10">
        <v>1</v>
      </c>
    </row>
    <row r="224" spans="11:15" x14ac:dyDescent="0.35">
      <c r="K224" s="18" t="s">
        <v>3380</v>
      </c>
      <c r="L224" s="10">
        <v>1</v>
      </c>
      <c r="N224" s="18" t="s">
        <v>2986</v>
      </c>
      <c r="O224" s="10">
        <v>1</v>
      </c>
    </row>
    <row r="225" spans="11:15" x14ac:dyDescent="0.35">
      <c r="K225" s="18" t="s">
        <v>3326</v>
      </c>
      <c r="L225" s="10">
        <v>1</v>
      </c>
      <c r="N225" s="18" t="s">
        <v>3424</v>
      </c>
      <c r="O225" s="10">
        <v>1</v>
      </c>
    </row>
    <row r="226" spans="11:15" x14ac:dyDescent="0.35">
      <c r="K226" s="18" t="s">
        <v>3382</v>
      </c>
      <c r="L226" s="10">
        <v>1</v>
      </c>
      <c r="N226" s="18" t="s">
        <v>3084</v>
      </c>
      <c r="O226" s="10">
        <v>1</v>
      </c>
    </row>
    <row r="227" spans="11:15" x14ac:dyDescent="0.35">
      <c r="K227" s="18" t="s">
        <v>3327</v>
      </c>
      <c r="L227" s="10">
        <v>1</v>
      </c>
      <c r="N227" s="18" t="s">
        <v>3149</v>
      </c>
      <c r="O227" s="10">
        <v>1</v>
      </c>
    </row>
    <row r="228" spans="11:15" x14ac:dyDescent="0.35">
      <c r="K228" s="18" t="s">
        <v>3384</v>
      </c>
      <c r="L228" s="10">
        <v>1</v>
      </c>
      <c r="N228" s="18" t="s">
        <v>3126</v>
      </c>
      <c r="O228" s="10">
        <v>1</v>
      </c>
    </row>
    <row r="229" spans="11:15" x14ac:dyDescent="0.35">
      <c r="K229" s="18" t="s">
        <v>3328</v>
      </c>
      <c r="L229" s="10">
        <v>1</v>
      </c>
      <c r="N229" s="18" t="s">
        <v>3151</v>
      </c>
      <c r="O229" s="10">
        <v>1</v>
      </c>
    </row>
    <row r="230" spans="11:15" x14ac:dyDescent="0.35">
      <c r="K230" s="18" t="s">
        <v>3386</v>
      </c>
      <c r="L230" s="10">
        <v>1</v>
      </c>
      <c r="N230" s="18" t="s">
        <v>3127</v>
      </c>
      <c r="O230" s="10">
        <v>1</v>
      </c>
    </row>
    <row r="231" spans="11:15" x14ac:dyDescent="0.35">
      <c r="K231" s="18" t="s">
        <v>3329</v>
      </c>
      <c r="L231" s="10">
        <v>1</v>
      </c>
      <c r="N231" s="18" t="s">
        <v>3153</v>
      </c>
      <c r="O231" s="10">
        <v>1</v>
      </c>
    </row>
    <row r="232" spans="11:15" x14ac:dyDescent="0.35">
      <c r="K232" s="18" t="s">
        <v>3388</v>
      </c>
      <c r="L232" s="10">
        <v>1</v>
      </c>
      <c r="N232" s="18" t="s">
        <v>3032</v>
      </c>
      <c r="O232" s="10">
        <v>1</v>
      </c>
    </row>
    <row r="233" spans="11:15" x14ac:dyDescent="0.35">
      <c r="K233" s="18" t="s">
        <v>3330</v>
      </c>
      <c r="L233" s="10">
        <v>1</v>
      </c>
      <c r="N233" s="18" t="s">
        <v>3155</v>
      </c>
      <c r="O233" s="10">
        <v>1</v>
      </c>
    </row>
    <row r="234" spans="11:15" x14ac:dyDescent="0.35">
      <c r="K234" s="18" t="s">
        <v>3390</v>
      </c>
      <c r="L234" s="10">
        <v>1</v>
      </c>
      <c r="N234" s="18" t="s">
        <v>3129</v>
      </c>
      <c r="O234" s="10">
        <v>1</v>
      </c>
    </row>
    <row r="235" spans="11:15" x14ac:dyDescent="0.35">
      <c r="K235" s="18" t="s">
        <v>3331</v>
      </c>
      <c r="L235" s="10">
        <v>1</v>
      </c>
      <c r="N235" s="18" t="s">
        <v>3097</v>
      </c>
      <c r="O235" s="10">
        <v>1</v>
      </c>
    </row>
    <row r="236" spans="11:15" x14ac:dyDescent="0.35">
      <c r="K236" s="18" t="s">
        <v>3332</v>
      </c>
      <c r="L236" s="10">
        <v>1</v>
      </c>
      <c r="N236" s="18" t="s">
        <v>3130</v>
      </c>
      <c r="O236" s="10">
        <v>1</v>
      </c>
    </row>
    <row r="237" spans="11:15" x14ac:dyDescent="0.35">
      <c r="K237" s="18" t="s">
        <v>2</v>
      </c>
      <c r="L237" s="10">
        <v>1175</v>
      </c>
      <c r="N237" s="18" t="s">
        <v>3430</v>
      </c>
      <c r="O237" s="10">
        <v>1</v>
      </c>
    </row>
    <row r="238" spans="11:15" x14ac:dyDescent="0.35">
      <c r="N238" s="18" t="s">
        <v>3431</v>
      </c>
      <c r="O238" s="10">
        <v>1</v>
      </c>
    </row>
    <row r="239" spans="11:15" x14ac:dyDescent="0.35">
      <c r="N239" s="18" t="s">
        <v>3041</v>
      </c>
      <c r="O239" s="10">
        <v>1</v>
      </c>
    </row>
    <row r="240" spans="11:15" x14ac:dyDescent="0.35">
      <c r="N240" s="18" t="s">
        <v>3132</v>
      </c>
      <c r="O240" s="10">
        <v>1</v>
      </c>
    </row>
    <row r="241" spans="14:15" x14ac:dyDescent="0.35">
      <c r="N241" s="18" t="s">
        <v>3397</v>
      </c>
      <c r="O241" s="10">
        <v>1</v>
      </c>
    </row>
    <row r="242" spans="14:15" x14ac:dyDescent="0.35">
      <c r="N242" s="18" t="s">
        <v>3034</v>
      </c>
      <c r="O242" s="10">
        <v>1</v>
      </c>
    </row>
    <row r="243" spans="14:15" x14ac:dyDescent="0.35">
      <c r="N243" s="18" t="s">
        <v>3099</v>
      </c>
      <c r="O243" s="10">
        <v>1</v>
      </c>
    </row>
    <row r="244" spans="14:15" x14ac:dyDescent="0.35">
      <c r="N244" s="18" t="s">
        <v>3134</v>
      </c>
      <c r="O244" s="10">
        <v>1</v>
      </c>
    </row>
    <row r="245" spans="14:15" x14ac:dyDescent="0.35">
      <c r="N245" s="18" t="s">
        <v>3401</v>
      </c>
      <c r="O245" s="10">
        <v>1</v>
      </c>
    </row>
    <row r="246" spans="14:15" x14ac:dyDescent="0.35">
      <c r="N246" s="18" t="s">
        <v>3057</v>
      </c>
      <c r="O246" s="10">
        <v>1</v>
      </c>
    </row>
    <row r="247" spans="14:15" x14ac:dyDescent="0.35">
      <c r="N247" s="18" t="s">
        <v>3000</v>
      </c>
      <c r="O247" s="10">
        <v>1</v>
      </c>
    </row>
    <row r="248" spans="14:15" x14ac:dyDescent="0.35">
      <c r="N248" s="18" t="s">
        <v>3136</v>
      </c>
      <c r="O248" s="10">
        <v>1</v>
      </c>
    </row>
    <row r="249" spans="14:15" x14ac:dyDescent="0.35">
      <c r="N249" s="18" t="s">
        <v>3011</v>
      </c>
      <c r="O249" s="10">
        <v>1</v>
      </c>
    </row>
    <row r="250" spans="14:15" x14ac:dyDescent="0.35">
      <c r="N250" s="18" t="s">
        <v>3087</v>
      </c>
      <c r="O250" s="10">
        <v>1</v>
      </c>
    </row>
    <row r="251" spans="14:15" x14ac:dyDescent="0.35">
      <c r="N251" s="18" t="s">
        <v>3407</v>
      </c>
      <c r="O251" s="10">
        <v>1</v>
      </c>
    </row>
    <row r="252" spans="14:15" x14ac:dyDescent="0.35">
      <c r="N252" s="18" t="s">
        <v>3138</v>
      </c>
      <c r="O252" s="10">
        <v>1</v>
      </c>
    </row>
    <row r="253" spans="14:15" x14ac:dyDescent="0.35">
      <c r="N253" s="18" t="s">
        <v>2971</v>
      </c>
      <c r="O253" s="10">
        <v>1</v>
      </c>
    </row>
    <row r="254" spans="14:15" x14ac:dyDescent="0.35">
      <c r="N254" s="18" t="s">
        <v>2945</v>
      </c>
      <c r="O254" s="10">
        <v>1</v>
      </c>
    </row>
    <row r="255" spans="14:15" x14ac:dyDescent="0.35">
      <c r="N255" s="18" t="s">
        <v>3411</v>
      </c>
      <c r="O255" s="10">
        <v>1</v>
      </c>
    </row>
    <row r="256" spans="14:15" x14ac:dyDescent="0.35">
      <c r="N256" s="18" t="s">
        <v>3018</v>
      </c>
      <c r="O256" s="10">
        <v>1</v>
      </c>
    </row>
    <row r="257" spans="14:15" x14ac:dyDescent="0.35">
      <c r="N257" s="18" t="s">
        <v>3413</v>
      </c>
      <c r="O257" s="10">
        <v>1</v>
      </c>
    </row>
    <row r="258" spans="14:15" x14ac:dyDescent="0.35">
      <c r="N258" s="18" t="s">
        <v>3058</v>
      </c>
      <c r="O258" s="10">
        <v>1</v>
      </c>
    </row>
    <row r="259" spans="14:15" x14ac:dyDescent="0.35">
      <c r="N259" s="18" t="s">
        <v>3432</v>
      </c>
      <c r="O259" s="10">
        <v>1</v>
      </c>
    </row>
    <row r="260" spans="14:15" x14ac:dyDescent="0.35">
      <c r="N260" s="18" t="s">
        <v>3090</v>
      </c>
      <c r="O260" s="10">
        <v>1</v>
      </c>
    </row>
    <row r="261" spans="14:15" x14ac:dyDescent="0.35">
      <c r="N261" s="18" t="s">
        <v>3417</v>
      </c>
      <c r="O261" s="10">
        <v>1</v>
      </c>
    </row>
    <row r="262" spans="14:15" x14ac:dyDescent="0.35">
      <c r="N262" s="18" t="s">
        <v>3068</v>
      </c>
      <c r="O262" s="10">
        <v>1</v>
      </c>
    </row>
    <row r="263" spans="14:15" x14ac:dyDescent="0.35">
      <c r="N263" s="18" t="s">
        <v>3075</v>
      </c>
      <c r="O263" s="10">
        <v>1</v>
      </c>
    </row>
    <row r="264" spans="14:15" x14ac:dyDescent="0.35">
      <c r="N264" s="18" t="s">
        <v>3144</v>
      </c>
      <c r="O264" s="10">
        <v>1</v>
      </c>
    </row>
    <row r="265" spans="14:15" x14ac:dyDescent="0.35">
      <c r="N265" s="18" t="s">
        <v>3421</v>
      </c>
      <c r="O265" s="10">
        <v>1</v>
      </c>
    </row>
    <row r="266" spans="14:15" x14ac:dyDescent="0.35">
      <c r="N266" s="18" t="s">
        <v>3092</v>
      </c>
      <c r="O266" s="10">
        <v>1</v>
      </c>
    </row>
    <row r="267" spans="14:15" x14ac:dyDescent="0.35">
      <c r="N267" s="18" t="s">
        <v>3423</v>
      </c>
      <c r="O267" s="10">
        <v>1</v>
      </c>
    </row>
    <row r="268" spans="14:15" x14ac:dyDescent="0.35">
      <c r="N268" s="18" t="s">
        <v>3146</v>
      </c>
      <c r="O268" s="10">
        <v>1</v>
      </c>
    </row>
    <row r="269" spans="14:15" x14ac:dyDescent="0.35">
      <c r="N269" s="18" t="s">
        <v>3105</v>
      </c>
      <c r="O269" s="10">
        <v>1</v>
      </c>
    </row>
    <row r="270" spans="14:15" x14ac:dyDescent="0.35">
      <c r="N270" s="18" t="s">
        <v>3021</v>
      </c>
      <c r="O270" s="10">
        <v>1</v>
      </c>
    </row>
    <row r="271" spans="14:15" x14ac:dyDescent="0.35">
      <c r="N271" s="18" t="s">
        <v>3120</v>
      </c>
      <c r="O271" s="10">
        <v>1</v>
      </c>
    </row>
    <row r="272" spans="14:15" x14ac:dyDescent="0.35">
      <c r="N272" s="18" t="s">
        <v>3428</v>
      </c>
      <c r="O272" s="10">
        <v>1</v>
      </c>
    </row>
    <row r="273" spans="14:15" x14ac:dyDescent="0.35">
      <c r="N273" s="18" t="s">
        <v>3121</v>
      </c>
      <c r="O273" s="10">
        <v>1</v>
      </c>
    </row>
    <row r="274" spans="14:15" x14ac:dyDescent="0.35">
      <c r="N274" s="18" t="s">
        <v>3002</v>
      </c>
      <c r="O274" s="10">
        <v>1</v>
      </c>
    </row>
    <row r="275" spans="14:15" x14ac:dyDescent="0.35">
      <c r="N275" s="18" t="s">
        <v>3122</v>
      </c>
      <c r="O275" s="10">
        <v>1</v>
      </c>
    </row>
    <row r="276" spans="14:15" x14ac:dyDescent="0.35">
      <c r="N276" s="18" t="s">
        <v>3071</v>
      </c>
      <c r="O276" s="10">
        <v>1</v>
      </c>
    </row>
    <row r="277" spans="14:15" x14ac:dyDescent="0.35">
      <c r="N277" s="18" t="s">
        <v>3066</v>
      </c>
      <c r="O277" s="10">
        <v>1</v>
      </c>
    </row>
    <row r="278" spans="14:15" x14ac:dyDescent="0.35">
      <c r="N278" s="18" t="s">
        <v>3060</v>
      </c>
      <c r="O278" s="10">
        <v>1</v>
      </c>
    </row>
    <row r="279" spans="14:15" x14ac:dyDescent="0.35">
      <c r="N279" s="18" t="s">
        <v>2</v>
      </c>
      <c r="O279" s="10">
        <v>1175</v>
      </c>
    </row>
  </sheetData>
  <pageMargins left="0.7" right="0.7" top="0.75" bottom="0.75" header="0.3" footer="0.3"/>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F5455-3A76-4A8A-84E2-17A4158F9732}">
  <dimension ref="B1:H2"/>
  <sheetViews>
    <sheetView showGridLines="0" tabSelected="1" zoomScale="80" zoomScaleNormal="80" workbookViewId="0">
      <selection activeCell="R36" sqref="R36"/>
    </sheetView>
  </sheetViews>
  <sheetFormatPr defaultColWidth="8.7265625" defaultRowHeight="14.5" x14ac:dyDescent="0.35"/>
  <cols>
    <col min="1" max="1" width="1" style="3" customWidth="1"/>
    <col min="2" max="16384" width="8.7265625" style="3"/>
  </cols>
  <sheetData>
    <row r="1" spans="2:8" ht="14.5" customHeight="1" x14ac:dyDescent="0.35">
      <c r="B1" s="45" t="s">
        <v>3434</v>
      </c>
      <c r="C1" s="45"/>
      <c r="D1" s="45"/>
      <c r="E1" s="45"/>
      <c r="F1" s="45"/>
      <c r="G1" s="45"/>
      <c r="H1" s="4"/>
    </row>
    <row r="2" spans="2:8" ht="14.5" customHeight="1" x14ac:dyDescent="0.35">
      <c r="B2" s="45"/>
      <c r="C2" s="45"/>
      <c r="D2" s="45"/>
      <c r="E2" s="45"/>
      <c r="F2" s="45"/>
      <c r="G2" s="45"/>
      <c r="H2" s="4"/>
    </row>
  </sheetData>
  <mergeCells count="1">
    <mergeCell ref="B1:G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76"/>
  <sheetViews>
    <sheetView zoomScale="80" zoomScaleNormal="80" workbookViewId="0">
      <pane ySplit="1" topLeftCell="A2" activePane="bottomLeft" state="frozen"/>
      <selection pane="bottomLeft" activeCell="C7" sqref="C7"/>
    </sheetView>
  </sheetViews>
  <sheetFormatPr defaultRowHeight="18" customHeight="1" x14ac:dyDescent="0.35"/>
  <cols>
    <col min="1" max="1" width="12" style="1" customWidth="1"/>
    <col min="2" max="2" width="20.54296875" style="1" customWidth="1"/>
    <col min="3" max="3" width="11.81640625" style="2" customWidth="1"/>
    <col min="4" max="4" width="27" style="2" bestFit="1" customWidth="1"/>
    <col min="5" max="5" width="20.26953125" style="1" customWidth="1"/>
    <col min="6" max="6" width="9.1796875" style="1" bestFit="1" customWidth="1"/>
    <col min="7" max="7" width="5.08984375" style="1" bestFit="1" customWidth="1"/>
    <col min="8" max="8" width="6.90625" style="1" bestFit="1" customWidth="1"/>
    <col min="9" max="9" width="10.81640625" style="1" customWidth="1"/>
    <col min="10" max="10" width="20.453125" style="1" customWidth="1"/>
    <col min="11" max="11" width="10.08984375" style="1" bestFit="1" customWidth="1"/>
    <col min="12" max="12" width="18.1796875" style="1" bestFit="1" customWidth="1"/>
    <col min="13" max="13" width="25.453125" style="1" customWidth="1"/>
    <col min="14" max="14" width="25.453125" style="6" customWidth="1"/>
    <col min="15" max="15" width="17.81640625" customWidth="1"/>
    <col min="16" max="16" width="18.81640625" customWidth="1"/>
    <col min="17" max="17" width="24.36328125" customWidth="1"/>
    <col min="18" max="18" width="18.1796875" customWidth="1"/>
    <col min="19" max="20" width="19.08984375" bestFit="1" customWidth="1"/>
    <col min="21" max="21" width="21.26953125" style="5" customWidth="1"/>
    <col min="22" max="22" width="10" style="1" bestFit="1" customWidth="1"/>
  </cols>
  <sheetData>
    <row r="1" spans="1:22" ht="18" customHeight="1" thickBot="1" x14ac:dyDescent="0.4">
      <c r="A1" s="32" t="s">
        <v>3</v>
      </c>
      <c r="B1" s="33" t="s">
        <v>4</v>
      </c>
      <c r="C1" s="34" t="s">
        <v>5</v>
      </c>
      <c r="D1" s="35" t="s">
        <v>6</v>
      </c>
      <c r="E1" s="33" t="s">
        <v>7</v>
      </c>
      <c r="F1" s="33" t="s">
        <v>8</v>
      </c>
      <c r="G1" s="33" t="s">
        <v>9</v>
      </c>
      <c r="H1" s="33" t="s">
        <v>10</v>
      </c>
      <c r="I1" s="33" t="s">
        <v>11</v>
      </c>
      <c r="J1" s="33" t="s">
        <v>12</v>
      </c>
      <c r="K1" s="33" t="s">
        <v>13</v>
      </c>
      <c r="L1" s="33" t="s">
        <v>14</v>
      </c>
      <c r="M1" s="33" t="s">
        <v>15</v>
      </c>
      <c r="N1" s="36" t="s">
        <v>16</v>
      </c>
      <c r="O1" s="33" t="s">
        <v>17</v>
      </c>
      <c r="P1" s="33" t="s">
        <v>18</v>
      </c>
      <c r="Q1" s="33" t="s">
        <v>19</v>
      </c>
      <c r="R1" s="33" t="s">
        <v>20</v>
      </c>
      <c r="S1" s="33" t="s">
        <v>2917</v>
      </c>
      <c r="T1" s="33" t="s">
        <v>2918</v>
      </c>
      <c r="U1" s="37" t="s">
        <v>21</v>
      </c>
      <c r="V1" s="38" t="s">
        <v>22</v>
      </c>
    </row>
    <row r="2" spans="1:22" ht="18" customHeight="1" x14ac:dyDescent="0.35">
      <c r="A2" s="26" t="s">
        <v>47</v>
      </c>
      <c r="B2" s="26" t="s">
        <v>3157</v>
      </c>
      <c r="C2" s="27" t="s">
        <v>2923</v>
      </c>
      <c r="D2" s="27" t="s">
        <v>35</v>
      </c>
      <c r="E2" s="28">
        <v>46022.958333333336</v>
      </c>
      <c r="F2" s="26" t="str">
        <f>TEXT(events[[#This Row],[Start Date]],"DDD")</f>
        <v>Wed</v>
      </c>
      <c r="G2" s="26">
        <f>YEAR(events[[#This Row],[Start Date]])</f>
        <v>2025</v>
      </c>
      <c r="H2" s="26" t="str">
        <f>TEXT(events[[#This Row],[Start Date]],"mmm")</f>
        <v>Dec</v>
      </c>
      <c r="I2" s="26" t="str">
        <f>CONCATENATE("WK_",WEEKNUM(events[[#This Row],[Start Date]]))</f>
        <v>WK_53</v>
      </c>
      <c r="J2" s="28">
        <v>45658.062627314815</v>
      </c>
      <c r="K2" s="26">
        <v>151.4</v>
      </c>
      <c r="L2" s="26" t="s">
        <v>36</v>
      </c>
      <c r="M2" s="26" t="s">
        <v>753</v>
      </c>
      <c r="N2" s="29">
        <f t="shared" ref="N2:N65" si="0">HOUR(M2)*60+MINUTE(M2)+SECOND(M2)/60</f>
        <v>150.18333333333334</v>
      </c>
      <c r="O2" s="30" t="s">
        <v>231</v>
      </c>
      <c r="P2" s="30" t="s">
        <v>27</v>
      </c>
      <c r="Q2" s="30" t="s">
        <v>754</v>
      </c>
      <c r="R2" s="30" t="s">
        <v>755</v>
      </c>
      <c r="S2" s="30" t="s">
        <v>756</v>
      </c>
      <c r="T2" s="30" t="s">
        <v>757</v>
      </c>
      <c r="U2" s="31">
        <v>97</v>
      </c>
      <c r="V2" s="26">
        <v>1</v>
      </c>
    </row>
    <row r="3" spans="1:22" ht="18" customHeight="1" x14ac:dyDescent="0.35">
      <c r="A3" s="10" t="s">
        <v>86</v>
      </c>
      <c r="B3" s="10" t="s">
        <v>3158</v>
      </c>
      <c r="C3" s="11" t="s">
        <v>2924</v>
      </c>
      <c r="D3" s="11" t="s">
        <v>24</v>
      </c>
      <c r="E3" s="12">
        <v>46022.725243055553</v>
      </c>
      <c r="F3" s="10" t="str">
        <f>TEXT(events[[#This Row],[Start Date]],"DDD")</f>
        <v>Wed</v>
      </c>
      <c r="G3" s="10">
        <f>YEAR(events[[#This Row],[Start Date]])</f>
        <v>2025</v>
      </c>
      <c r="H3" s="10" t="str">
        <f>TEXT(events[[#This Row],[Start Date]],"mmm")</f>
        <v>Dec</v>
      </c>
      <c r="I3" s="10" t="str">
        <f>CONCATENATE("WK_",WEEKNUM(events[[#This Row],[Start Date]]))</f>
        <v>WK_53</v>
      </c>
      <c r="J3" s="12">
        <v>46022.725439814814</v>
      </c>
      <c r="K3" s="10">
        <v>41</v>
      </c>
      <c r="L3" s="10" t="s">
        <v>25</v>
      </c>
      <c r="M3" s="10" t="s">
        <v>775</v>
      </c>
      <c r="N3" s="13">
        <f t="shared" si="0"/>
        <v>0.28333333333333333</v>
      </c>
      <c r="O3" s="14" t="s">
        <v>38</v>
      </c>
      <c r="P3" s="14" t="s">
        <v>38</v>
      </c>
      <c r="Q3" s="14" t="s">
        <v>776</v>
      </c>
      <c r="R3" s="14" t="s">
        <v>776</v>
      </c>
      <c r="S3" s="14" t="s">
        <v>777</v>
      </c>
      <c r="T3" s="14" t="s">
        <v>778</v>
      </c>
      <c r="U3" s="15">
        <v>0.25</v>
      </c>
      <c r="V3" s="10">
        <v>1</v>
      </c>
    </row>
    <row r="4" spans="1:22" ht="18" customHeight="1" x14ac:dyDescent="0.35">
      <c r="A4" s="10" t="s">
        <v>47</v>
      </c>
      <c r="B4" s="10" t="s">
        <v>3159</v>
      </c>
      <c r="C4" s="11" t="s">
        <v>2925</v>
      </c>
      <c r="D4" s="11" t="s">
        <v>24</v>
      </c>
      <c r="E4" s="12">
        <v>46022.706250000003</v>
      </c>
      <c r="F4" s="10" t="str">
        <f>TEXT(events[[#This Row],[Start Date]],"DDD")</f>
        <v>Wed</v>
      </c>
      <c r="G4" s="10">
        <f>YEAR(events[[#This Row],[Start Date]])</f>
        <v>2025</v>
      </c>
      <c r="H4" s="10" t="str">
        <f>TEXT(events[[#This Row],[Start Date]],"mmm")</f>
        <v>Dec</v>
      </c>
      <c r="I4" s="10" t="str">
        <f>CONCATENATE("WK_",WEEKNUM(events[[#This Row],[Start Date]]))</f>
        <v>WK_53</v>
      </c>
      <c r="J4" s="12">
        <v>46022.706284722219</v>
      </c>
      <c r="K4" s="10">
        <v>41</v>
      </c>
      <c r="L4" s="10" t="s">
        <v>25</v>
      </c>
      <c r="M4" s="10" t="s">
        <v>75</v>
      </c>
      <c r="N4" s="13">
        <f t="shared" si="0"/>
        <v>0.05</v>
      </c>
      <c r="O4" s="14" t="s">
        <v>231</v>
      </c>
      <c r="P4" s="14" t="s">
        <v>231</v>
      </c>
      <c r="Q4" s="14" t="s">
        <v>740</v>
      </c>
      <c r="R4" s="14" t="s">
        <v>740</v>
      </c>
      <c r="S4" s="14" t="s">
        <v>741</v>
      </c>
      <c r="T4" s="14" t="s">
        <v>742</v>
      </c>
      <c r="U4" s="15">
        <v>9.4E-2</v>
      </c>
      <c r="V4" s="10">
        <v>1</v>
      </c>
    </row>
    <row r="5" spans="1:22" ht="18" customHeight="1" x14ac:dyDescent="0.35">
      <c r="A5" s="10" t="s">
        <v>123</v>
      </c>
      <c r="B5" s="10" t="s">
        <v>3160</v>
      </c>
      <c r="C5" s="11" t="s">
        <v>2926</v>
      </c>
      <c r="D5" s="11" t="s">
        <v>74</v>
      </c>
      <c r="E5" s="12">
        <v>46022.557592592595</v>
      </c>
      <c r="F5" s="10" t="str">
        <f>TEXT(events[[#This Row],[Start Date]],"DDD")</f>
        <v>Wed</v>
      </c>
      <c r="G5" s="10">
        <f>YEAR(events[[#This Row],[Start Date]])</f>
        <v>2025</v>
      </c>
      <c r="H5" s="10" t="str">
        <f>TEXT(events[[#This Row],[Start Date]],"mmm")</f>
        <v>Dec</v>
      </c>
      <c r="I5" s="10" t="str">
        <f>CONCATENATE("WK_",WEEKNUM(events[[#This Row],[Start Date]]))</f>
        <v>WK_53</v>
      </c>
      <c r="J5" s="12">
        <v>46022.55909722222</v>
      </c>
      <c r="K5" s="10">
        <v>95</v>
      </c>
      <c r="L5" s="10" t="s">
        <v>25</v>
      </c>
      <c r="M5" s="10" t="s">
        <v>717</v>
      </c>
      <c r="N5" s="13">
        <f t="shared" si="0"/>
        <v>2.15</v>
      </c>
      <c r="O5" s="14"/>
      <c r="P5" s="14"/>
      <c r="Q5" s="14" t="s">
        <v>556</v>
      </c>
      <c r="R5" s="14" t="s">
        <v>556</v>
      </c>
      <c r="S5" s="14" t="s">
        <v>789</v>
      </c>
      <c r="T5" s="14" t="s">
        <v>790</v>
      </c>
      <c r="U5" s="15">
        <v>3</v>
      </c>
      <c r="V5" s="10">
        <v>1</v>
      </c>
    </row>
    <row r="6" spans="1:22" ht="18" customHeight="1" x14ac:dyDescent="0.35">
      <c r="A6" s="10" t="s">
        <v>123</v>
      </c>
      <c r="B6" s="10" t="s">
        <v>3161</v>
      </c>
      <c r="C6" s="11" t="s">
        <v>2927</v>
      </c>
      <c r="D6" s="11" t="s">
        <v>74</v>
      </c>
      <c r="E6" s="12">
        <v>46022.396493055552</v>
      </c>
      <c r="F6" s="10" t="str">
        <f>TEXT(events[[#This Row],[Start Date]],"DDD")</f>
        <v>Wed</v>
      </c>
      <c r="G6" s="10">
        <f>YEAR(events[[#This Row],[Start Date]])</f>
        <v>2025</v>
      </c>
      <c r="H6" s="10" t="str">
        <f>TEXT(events[[#This Row],[Start Date]],"mmm")</f>
        <v>Dec</v>
      </c>
      <c r="I6" s="10" t="str">
        <f>CONCATENATE("WK_",WEEKNUM(events[[#This Row],[Start Date]]))</f>
        <v>WK_53</v>
      </c>
      <c r="J6" s="12">
        <v>46022.397534722222</v>
      </c>
      <c r="K6" s="10">
        <v>97</v>
      </c>
      <c r="L6" s="10" t="s">
        <v>25</v>
      </c>
      <c r="M6" s="10" t="s">
        <v>365</v>
      </c>
      <c r="N6" s="13">
        <f t="shared" si="0"/>
        <v>1.5</v>
      </c>
      <c r="O6" s="14"/>
      <c r="P6" s="14"/>
      <c r="Q6" s="14" t="s">
        <v>791</v>
      </c>
      <c r="R6" s="14" t="s">
        <v>791</v>
      </c>
      <c r="S6" s="14" t="s">
        <v>792</v>
      </c>
      <c r="T6" s="14" t="s">
        <v>793</v>
      </c>
      <c r="U6" s="15">
        <v>2.2000000000000002</v>
      </c>
      <c r="V6" s="10">
        <v>1</v>
      </c>
    </row>
    <row r="7" spans="1:22" ht="18" customHeight="1" x14ac:dyDescent="0.35">
      <c r="A7" s="10" t="s">
        <v>23</v>
      </c>
      <c r="B7" s="10" t="s">
        <v>3162</v>
      </c>
      <c r="C7" s="11" t="s">
        <v>2928</v>
      </c>
      <c r="D7" s="11" t="s">
        <v>24</v>
      </c>
      <c r="E7" s="12">
        <v>46021.823611111111</v>
      </c>
      <c r="F7" s="10" t="str">
        <f>TEXT(events[[#This Row],[Start Date]],"DDD")</f>
        <v>Tue</v>
      </c>
      <c r="G7" s="10">
        <f>YEAR(events[[#This Row],[Start Date]])</f>
        <v>2025</v>
      </c>
      <c r="H7" s="10" t="str">
        <f>TEXT(events[[#This Row],[Start Date]],"mmm")</f>
        <v>Dec</v>
      </c>
      <c r="I7" s="10" t="str">
        <f>CONCATENATE("WK_",WEEKNUM(events[[#This Row],[Start Date]]))</f>
        <v>WK_53</v>
      </c>
      <c r="J7" s="12">
        <v>46021.823680555557</v>
      </c>
      <c r="K7" s="10">
        <v>35</v>
      </c>
      <c r="L7" s="10" t="s">
        <v>25</v>
      </c>
      <c r="M7" s="10" t="s">
        <v>328</v>
      </c>
      <c r="N7" s="13">
        <f t="shared" si="0"/>
        <v>0.1</v>
      </c>
      <c r="O7" s="14" t="s">
        <v>38</v>
      </c>
      <c r="P7" s="14" t="s">
        <v>38</v>
      </c>
      <c r="Q7" s="14" t="s">
        <v>735</v>
      </c>
      <c r="R7" s="14" t="s">
        <v>735</v>
      </c>
      <c r="S7" s="14" t="s">
        <v>736</v>
      </c>
      <c r="T7" s="14" t="s">
        <v>737</v>
      </c>
      <c r="U7" s="15">
        <v>0</v>
      </c>
      <c r="V7" s="10">
        <v>1</v>
      </c>
    </row>
    <row r="8" spans="1:22" ht="18" customHeight="1" x14ac:dyDescent="0.35">
      <c r="A8" s="10" t="s">
        <v>23</v>
      </c>
      <c r="B8" s="10" t="s">
        <v>3163</v>
      </c>
      <c r="C8" s="11" t="s">
        <v>2929</v>
      </c>
      <c r="D8" s="11" t="s">
        <v>82</v>
      </c>
      <c r="E8" s="12">
        <v>46021.779444444444</v>
      </c>
      <c r="F8" s="10" t="str">
        <f>TEXT(events[[#This Row],[Start Date]],"DDD")</f>
        <v>Tue</v>
      </c>
      <c r="G8" s="10">
        <f>YEAR(events[[#This Row],[Start Date]])</f>
        <v>2025</v>
      </c>
      <c r="H8" s="10" t="str">
        <f>TEXT(events[[#This Row],[Start Date]],"mmm")</f>
        <v>Dec</v>
      </c>
      <c r="I8" s="10" t="str">
        <f>CONCATENATE("WK_",WEEKNUM(events[[#This Row],[Start Date]]))</f>
        <v>WK_53</v>
      </c>
      <c r="J8" s="12">
        <v>46021.779456018521</v>
      </c>
      <c r="K8" s="10">
        <v>26</v>
      </c>
      <c r="L8" s="10" t="s">
        <v>83</v>
      </c>
      <c r="M8" s="10" t="s">
        <v>26</v>
      </c>
      <c r="N8" s="13">
        <f t="shared" si="0"/>
        <v>1.6666666666666666E-2</v>
      </c>
      <c r="O8" s="14" t="s">
        <v>108</v>
      </c>
      <c r="P8" s="14"/>
      <c r="Q8" s="14" t="s">
        <v>109</v>
      </c>
      <c r="R8" s="14"/>
      <c r="S8" s="14" t="s">
        <v>716</v>
      </c>
      <c r="T8" s="14"/>
      <c r="U8" s="15">
        <v>0</v>
      </c>
      <c r="V8" s="10">
        <v>1</v>
      </c>
    </row>
    <row r="9" spans="1:22" ht="18" customHeight="1" x14ac:dyDescent="0.35">
      <c r="A9" s="10" t="s">
        <v>86</v>
      </c>
      <c r="B9" s="10" t="s">
        <v>3164</v>
      </c>
      <c r="C9" s="11" t="s">
        <v>2930</v>
      </c>
      <c r="D9" s="11" t="s">
        <v>74</v>
      </c>
      <c r="E9" s="12">
        <v>46021.55201388889</v>
      </c>
      <c r="F9" s="10" t="str">
        <f>TEXT(events[[#This Row],[Start Date]],"DDD")</f>
        <v>Tue</v>
      </c>
      <c r="G9" s="10">
        <f>YEAR(events[[#This Row],[Start Date]])</f>
        <v>2025</v>
      </c>
      <c r="H9" s="10" t="str">
        <f>TEXT(events[[#This Row],[Start Date]],"mmm")</f>
        <v>Dec</v>
      </c>
      <c r="I9" s="10" t="str">
        <f>CONCATENATE("WK_",WEEKNUM(events[[#This Row],[Start Date]]))</f>
        <v>WK_53</v>
      </c>
      <c r="J9" s="12">
        <v>46021.552094907405</v>
      </c>
      <c r="K9" s="10">
        <v>83</v>
      </c>
      <c r="L9" s="10" t="s">
        <v>25</v>
      </c>
      <c r="M9" s="10" t="s">
        <v>115</v>
      </c>
      <c r="N9" s="13">
        <f t="shared" si="0"/>
        <v>0.11666666666666667</v>
      </c>
      <c r="O9" s="14" t="s">
        <v>27</v>
      </c>
      <c r="P9" s="14" t="s">
        <v>27</v>
      </c>
      <c r="Q9" s="14" t="s">
        <v>758</v>
      </c>
      <c r="R9" s="14" t="s">
        <v>332</v>
      </c>
      <c r="S9" s="14" t="s">
        <v>759</v>
      </c>
      <c r="T9" s="14" t="s">
        <v>760</v>
      </c>
      <c r="U9" s="15">
        <v>0.10199999999999999</v>
      </c>
      <c r="V9" s="10">
        <v>1</v>
      </c>
    </row>
    <row r="10" spans="1:22" ht="18" customHeight="1" x14ac:dyDescent="0.35">
      <c r="A10" s="10" t="s">
        <v>47</v>
      </c>
      <c r="B10" s="10" t="s">
        <v>3165</v>
      </c>
      <c r="C10" s="11" t="s">
        <v>2931</v>
      </c>
      <c r="D10" s="11" t="s">
        <v>678</v>
      </c>
      <c r="E10" s="12">
        <v>46021.534733796296</v>
      </c>
      <c r="F10" s="10" t="str">
        <f>TEXT(events[[#This Row],[Start Date]],"DDD")</f>
        <v>Tue</v>
      </c>
      <c r="G10" s="10">
        <f>YEAR(events[[#This Row],[Start Date]])</f>
        <v>2025</v>
      </c>
      <c r="H10" s="10" t="str">
        <f>TEXT(events[[#This Row],[Start Date]],"mmm")</f>
        <v>Dec</v>
      </c>
      <c r="I10" s="10" t="str">
        <f>CONCATENATE("WK_",WEEKNUM(events[[#This Row],[Start Date]]))</f>
        <v>WK_53</v>
      </c>
      <c r="J10" s="12">
        <v>46021.534745370373</v>
      </c>
      <c r="K10" s="10">
        <v>13</v>
      </c>
      <c r="L10" s="10" t="s">
        <v>83</v>
      </c>
      <c r="M10" s="10" t="s">
        <v>26</v>
      </c>
      <c r="N10" s="13">
        <f t="shared" si="0"/>
        <v>1.6666666666666666E-2</v>
      </c>
      <c r="O10" s="14" t="s">
        <v>92</v>
      </c>
      <c r="P10" s="14"/>
      <c r="Q10" s="14" t="s">
        <v>738</v>
      </c>
      <c r="R10" s="14"/>
      <c r="S10" s="14" t="s">
        <v>739</v>
      </c>
      <c r="T10" s="14"/>
      <c r="U10" s="15">
        <v>0</v>
      </c>
      <c r="V10" s="10">
        <v>1</v>
      </c>
    </row>
    <row r="11" spans="1:22" ht="18" customHeight="1" x14ac:dyDescent="0.35">
      <c r="A11" s="10" t="s">
        <v>123</v>
      </c>
      <c r="B11" s="10" t="s">
        <v>3166</v>
      </c>
      <c r="C11" s="11" t="s">
        <v>2932</v>
      </c>
      <c r="D11" s="11" t="s">
        <v>74</v>
      </c>
      <c r="E11" s="12">
        <v>46021.437696759262</v>
      </c>
      <c r="F11" s="10" t="str">
        <f>TEXT(events[[#This Row],[Start Date]],"DDD")</f>
        <v>Tue</v>
      </c>
      <c r="G11" s="10">
        <f>YEAR(events[[#This Row],[Start Date]])</f>
        <v>2025</v>
      </c>
      <c r="H11" s="10" t="str">
        <f>TEXT(events[[#This Row],[Start Date]],"mmm")</f>
        <v>Dec</v>
      </c>
      <c r="I11" s="10" t="str">
        <f>CONCATENATE("WK_",WEEKNUM(events[[#This Row],[Start Date]]))</f>
        <v>WK_53</v>
      </c>
      <c r="J11" s="12">
        <v>46021.439282407409</v>
      </c>
      <c r="K11" s="10">
        <v>84</v>
      </c>
      <c r="L11" s="10" t="s">
        <v>25</v>
      </c>
      <c r="M11" s="10" t="s">
        <v>814</v>
      </c>
      <c r="N11" s="13">
        <f t="shared" si="0"/>
        <v>2.2833333333333332</v>
      </c>
      <c r="O11" s="14"/>
      <c r="P11" s="14"/>
      <c r="Q11" s="14" t="s">
        <v>815</v>
      </c>
      <c r="R11" s="14" t="s">
        <v>815</v>
      </c>
      <c r="S11" s="14" t="s">
        <v>816</v>
      </c>
      <c r="T11" s="14" t="s">
        <v>817</v>
      </c>
      <c r="U11" s="15">
        <v>3.2</v>
      </c>
      <c r="V11" s="10">
        <v>1</v>
      </c>
    </row>
    <row r="12" spans="1:22" ht="18" customHeight="1" x14ac:dyDescent="0.35">
      <c r="A12" s="10" t="s">
        <v>86</v>
      </c>
      <c r="B12" s="10" t="s">
        <v>3167</v>
      </c>
      <c r="C12" s="11" t="s">
        <v>2933</v>
      </c>
      <c r="D12" s="11" t="s">
        <v>678</v>
      </c>
      <c r="E12" s="12">
        <v>46021.397256944445</v>
      </c>
      <c r="F12" s="10" t="str">
        <f>TEXT(events[[#This Row],[Start Date]],"DDD")</f>
        <v>Tue</v>
      </c>
      <c r="G12" s="10">
        <f>YEAR(events[[#This Row],[Start Date]])</f>
        <v>2025</v>
      </c>
      <c r="H12" s="10" t="str">
        <f>TEXT(events[[#This Row],[Start Date]],"mmm")</f>
        <v>Dec</v>
      </c>
      <c r="I12" s="10" t="str">
        <f>CONCATENATE("WK_",WEEKNUM(events[[#This Row],[Start Date]]))</f>
        <v>WK_53</v>
      </c>
      <c r="J12" s="12">
        <v>46021.397256944445</v>
      </c>
      <c r="K12" s="10">
        <v>16</v>
      </c>
      <c r="L12" s="10" t="s">
        <v>83</v>
      </c>
      <c r="M12" s="10" t="s">
        <v>87</v>
      </c>
      <c r="N12" s="13">
        <f t="shared" si="0"/>
        <v>0</v>
      </c>
      <c r="O12" s="14" t="s">
        <v>92</v>
      </c>
      <c r="P12" s="14" t="s">
        <v>92</v>
      </c>
      <c r="Q12" s="14" t="s">
        <v>762</v>
      </c>
      <c r="R12" s="14" t="s">
        <v>762</v>
      </c>
      <c r="S12" s="14" t="s">
        <v>788</v>
      </c>
      <c r="T12" s="14" t="s">
        <v>788</v>
      </c>
      <c r="U12" s="15">
        <v>0</v>
      </c>
      <c r="V12" s="10">
        <v>1</v>
      </c>
    </row>
    <row r="13" spans="1:22" ht="18" customHeight="1" x14ac:dyDescent="0.35">
      <c r="A13" s="10" t="s">
        <v>123</v>
      </c>
      <c r="B13" s="10" t="s">
        <v>3168</v>
      </c>
      <c r="C13" s="11" t="s">
        <v>2934</v>
      </c>
      <c r="D13" s="11" t="s">
        <v>74</v>
      </c>
      <c r="E13" s="12">
        <v>46021.394212962965</v>
      </c>
      <c r="F13" s="10" t="str">
        <f>TEXT(events[[#This Row],[Start Date]],"DDD")</f>
        <v>Tue</v>
      </c>
      <c r="G13" s="10">
        <f>YEAR(events[[#This Row],[Start Date]])</f>
        <v>2025</v>
      </c>
      <c r="H13" s="10" t="str">
        <f>TEXT(events[[#This Row],[Start Date]],"mmm")</f>
        <v>Dec</v>
      </c>
      <c r="I13" s="10" t="str">
        <f>CONCATENATE("WK_",WEEKNUM(events[[#This Row],[Start Date]]))</f>
        <v>WK_53</v>
      </c>
      <c r="J13" s="12">
        <v>46021.394907407404</v>
      </c>
      <c r="K13" s="10">
        <v>105</v>
      </c>
      <c r="L13" s="10" t="s">
        <v>25</v>
      </c>
      <c r="M13" s="10" t="s">
        <v>177</v>
      </c>
      <c r="N13" s="13">
        <f t="shared" si="0"/>
        <v>1</v>
      </c>
      <c r="O13" s="14"/>
      <c r="P13" s="14"/>
      <c r="Q13" s="14" t="s">
        <v>801</v>
      </c>
      <c r="R13" s="14" t="s">
        <v>801</v>
      </c>
      <c r="S13" s="14" t="s">
        <v>818</v>
      </c>
      <c r="T13" s="14" t="s">
        <v>819</v>
      </c>
      <c r="U13" s="15">
        <v>1.5</v>
      </c>
      <c r="V13" s="10">
        <v>1</v>
      </c>
    </row>
    <row r="14" spans="1:22" ht="18" customHeight="1" x14ac:dyDescent="0.35">
      <c r="A14" s="10" t="s">
        <v>47</v>
      </c>
      <c r="B14" s="10" t="s">
        <v>3157</v>
      </c>
      <c r="C14" s="11" t="s">
        <v>2923</v>
      </c>
      <c r="D14" s="11" t="s">
        <v>35</v>
      </c>
      <c r="E14" s="12">
        <v>46020.99900462963</v>
      </c>
      <c r="F14" s="10" t="str">
        <f>TEXT(events[[#This Row],[Start Date]],"DDD")</f>
        <v>Mon</v>
      </c>
      <c r="G14" s="10">
        <f>YEAR(events[[#This Row],[Start Date]])</f>
        <v>2025</v>
      </c>
      <c r="H14" s="10" t="str">
        <f>TEXT(events[[#This Row],[Start Date]],"mmm")</f>
        <v>Dec</v>
      </c>
      <c r="I14" s="10" t="str">
        <f>CONCATENATE("WK_",WEEKNUM(events[[#This Row],[Start Date]]))</f>
        <v>WK_53</v>
      </c>
      <c r="J14" s="12">
        <v>46021.007777777777</v>
      </c>
      <c r="K14" s="10">
        <v>10.199999999999999</v>
      </c>
      <c r="L14" s="10" t="s">
        <v>36</v>
      </c>
      <c r="M14" s="10" t="s">
        <v>748</v>
      </c>
      <c r="N14" s="13">
        <f t="shared" si="0"/>
        <v>12.633333333333333</v>
      </c>
      <c r="O14" s="14" t="s">
        <v>92</v>
      </c>
      <c r="P14" s="14" t="s">
        <v>92</v>
      </c>
      <c r="Q14" s="14" t="s">
        <v>749</v>
      </c>
      <c r="R14" s="14" t="s">
        <v>750</v>
      </c>
      <c r="S14" s="14" t="s">
        <v>751</v>
      </c>
      <c r="T14" s="14" t="s">
        <v>752</v>
      </c>
      <c r="U14" s="15">
        <v>10</v>
      </c>
      <c r="V14" s="10">
        <v>1</v>
      </c>
    </row>
    <row r="15" spans="1:22" ht="18" customHeight="1" x14ac:dyDescent="0.35">
      <c r="A15" s="10" t="s">
        <v>86</v>
      </c>
      <c r="B15" s="10" t="s">
        <v>3169</v>
      </c>
      <c r="C15" s="11" t="s">
        <v>2935</v>
      </c>
      <c r="D15" s="11" t="s">
        <v>35</v>
      </c>
      <c r="E15" s="12">
        <v>46020.958344907405</v>
      </c>
      <c r="F15" s="10" t="str">
        <f>TEXT(events[[#This Row],[Start Date]],"DDD")</f>
        <v>Mon</v>
      </c>
      <c r="G15" s="10">
        <f>YEAR(events[[#This Row],[Start Date]])</f>
        <v>2025</v>
      </c>
      <c r="H15" s="10" t="str">
        <f>TEXT(events[[#This Row],[Start Date]],"mmm")</f>
        <v>Dec</v>
      </c>
      <c r="I15" s="10" t="str">
        <f>CONCATENATE("WK_",WEEKNUM(events[[#This Row],[Start Date]]))</f>
        <v>WK_53</v>
      </c>
      <c r="J15" s="12">
        <v>46020.987847222219</v>
      </c>
      <c r="K15" s="10">
        <v>53.7</v>
      </c>
      <c r="L15" s="10" t="s">
        <v>36</v>
      </c>
      <c r="M15" s="10" t="s">
        <v>779</v>
      </c>
      <c r="N15" s="13">
        <f t="shared" si="0"/>
        <v>42.483333333333334</v>
      </c>
      <c r="O15" s="14" t="s">
        <v>138</v>
      </c>
      <c r="P15" s="14" t="s">
        <v>92</v>
      </c>
      <c r="Q15" s="14" t="s">
        <v>780</v>
      </c>
      <c r="R15" s="14" t="s">
        <v>750</v>
      </c>
      <c r="S15" s="14" t="s">
        <v>781</v>
      </c>
      <c r="T15" s="14" t="s">
        <v>782</v>
      </c>
      <c r="U15" s="15">
        <v>25.398</v>
      </c>
      <c r="V15" s="10">
        <v>1</v>
      </c>
    </row>
    <row r="16" spans="1:22" ht="18" customHeight="1" x14ac:dyDescent="0.35">
      <c r="A16" s="10" t="s">
        <v>47</v>
      </c>
      <c r="B16" s="10" t="s">
        <v>3157</v>
      </c>
      <c r="C16" s="11" t="s">
        <v>2923</v>
      </c>
      <c r="D16" s="11" t="s">
        <v>35</v>
      </c>
      <c r="E16" s="12">
        <v>46020.958333333336</v>
      </c>
      <c r="F16" s="10" t="str">
        <f>TEXT(events[[#This Row],[Start Date]],"DDD")</f>
        <v>Mon</v>
      </c>
      <c r="G16" s="10">
        <f>YEAR(events[[#This Row],[Start Date]])</f>
        <v>2025</v>
      </c>
      <c r="H16" s="10" t="str">
        <f>TEXT(events[[#This Row],[Start Date]],"mmm")</f>
        <v>Dec</v>
      </c>
      <c r="I16" s="10" t="str">
        <f>CONCATENATE("WK_",WEEKNUM(events[[#This Row],[Start Date]]))</f>
        <v>WK_53</v>
      </c>
      <c r="J16" s="12">
        <v>46020.962743055556</v>
      </c>
      <c r="K16" s="10">
        <v>129.80000000000001</v>
      </c>
      <c r="L16" s="10" t="s">
        <v>36</v>
      </c>
      <c r="M16" s="10" t="s">
        <v>743</v>
      </c>
      <c r="N16" s="13">
        <f t="shared" si="0"/>
        <v>6.35</v>
      </c>
      <c r="O16" s="14" t="s">
        <v>92</v>
      </c>
      <c r="P16" s="14" t="s">
        <v>92</v>
      </c>
      <c r="Q16" s="14" t="s">
        <v>744</v>
      </c>
      <c r="R16" s="14" t="s">
        <v>745</v>
      </c>
      <c r="S16" s="14" t="s">
        <v>746</v>
      </c>
      <c r="T16" s="14" t="s">
        <v>747</v>
      </c>
      <c r="U16" s="15">
        <v>1</v>
      </c>
      <c r="V16" s="10">
        <v>1</v>
      </c>
    </row>
    <row r="17" spans="1:22" ht="18" customHeight="1" x14ac:dyDescent="0.35">
      <c r="A17" s="10" t="s">
        <v>123</v>
      </c>
      <c r="B17" s="10" t="s">
        <v>3170</v>
      </c>
      <c r="C17" s="11" t="s">
        <v>2936</v>
      </c>
      <c r="D17" s="11" t="s">
        <v>74</v>
      </c>
      <c r="E17" s="12">
        <v>46020.324930555558</v>
      </c>
      <c r="F17" s="10" t="str">
        <f>TEXT(events[[#This Row],[Start Date]],"DDD")</f>
        <v>Mon</v>
      </c>
      <c r="G17" s="10">
        <f>YEAR(events[[#This Row],[Start Date]])</f>
        <v>2025</v>
      </c>
      <c r="H17" s="10" t="str">
        <f>TEXT(events[[#This Row],[Start Date]],"mmm")</f>
        <v>Dec</v>
      </c>
      <c r="I17" s="10" t="str">
        <f>CONCATENATE("WK_",WEEKNUM(events[[#This Row],[Start Date]]))</f>
        <v>WK_53</v>
      </c>
      <c r="J17" s="12">
        <v>46020.325509259259</v>
      </c>
      <c r="K17" s="10">
        <v>99</v>
      </c>
      <c r="L17" s="10" t="s">
        <v>25</v>
      </c>
      <c r="M17" s="10" t="s">
        <v>580</v>
      </c>
      <c r="N17" s="13">
        <f t="shared" si="0"/>
        <v>0.83333333333333337</v>
      </c>
      <c r="O17" s="14"/>
      <c r="P17" s="14"/>
      <c r="Q17" s="14" t="s">
        <v>820</v>
      </c>
      <c r="R17" s="14" t="s">
        <v>820</v>
      </c>
      <c r="S17" s="14" t="s">
        <v>821</v>
      </c>
      <c r="T17" s="14" t="s">
        <v>822</v>
      </c>
      <c r="U17" s="15">
        <v>1.3</v>
      </c>
      <c r="V17" s="10">
        <v>1</v>
      </c>
    </row>
    <row r="18" spans="1:22" ht="18" customHeight="1" x14ac:dyDescent="0.35">
      <c r="A18" s="10" t="s">
        <v>86</v>
      </c>
      <c r="B18" s="10" t="s">
        <v>3171</v>
      </c>
      <c r="C18" s="11" t="s">
        <v>2937</v>
      </c>
      <c r="D18" s="11" t="s">
        <v>74</v>
      </c>
      <c r="E18" s="12">
        <v>46020.304085648146</v>
      </c>
      <c r="F18" s="10" t="str">
        <f>TEXT(events[[#This Row],[Start Date]],"DDD")</f>
        <v>Mon</v>
      </c>
      <c r="G18" s="10">
        <f>YEAR(events[[#This Row],[Start Date]])</f>
        <v>2025</v>
      </c>
      <c r="H18" s="10" t="str">
        <f>TEXT(events[[#This Row],[Start Date]],"mmm")</f>
        <v>Dec</v>
      </c>
      <c r="I18" s="10" t="str">
        <f>CONCATENATE("WK_",WEEKNUM(events[[#This Row],[Start Date]]))</f>
        <v>WK_53</v>
      </c>
      <c r="J18" s="12">
        <v>46020.304143518515</v>
      </c>
      <c r="K18" s="10">
        <v>83</v>
      </c>
      <c r="L18" s="10" t="s">
        <v>25</v>
      </c>
      <c r="M18" s="10" t="s">
        <v>431</v>
      </c>
      <c r="N18" s="13">
        <f t="shared" si="0"/>
        <v>8.3333333333333329E-2</v>
      </c>
      <c r="O18" s="14" t="s">
        <v>27</v>
      </c>
      <c r="P18" s="14" t="s">
        <v>27</v>
      </c>
      <c r="Q18" s="14" t="s">
        <v>767</v>
      </c>
      <c r="R18" s="14" t="s">
        <v>768</v>
      </c>
      <c r="S18" s="14" t="s">
        <v>769</v>
      </c>
      <c r="T18" s="14" t="s">
        <v>770</v>
      </c>
      <c r="U18" s="15">
        <v>9.4E-2</v>
      </c>
      <c r="V18" s="10">
        <v>1</v>
      </c>
    </row>
    <row r="19" spans="1:22" ht="18" customHeight="1" x14ac:dyDescent="0.35">
      <c r="A19" s="10" t="s">
        <v>86</v>
      </c>
      <c r="B19" s="10" t="s">
        <v>3171</v>
      </c>
      <c r="C19" s="11" t="s">
        <v>2937</v>
      </c>
      <c r="D19" s="11" t="s">
        <v>74</v>
      </c>
      <c r="E19" s="12">
        <v>46020.299861111111</v>
      </c>
      <c r="F19" s="10" t="str">
        <f>TEXT(events[[#This Row],[Start Date]],"DDD")</f>
        <v>Mon</v>
      </c>
      <c r="G19" s="10">
        <f>YEAR(events[[#This Row],[Start Date]])</f>
        <v>2025</v>
      </c>
      <c r="H19" s="10" t="str">
        <f>TEXT(events[[#This Row],[Start Date]],"mmm")</f>
        <v>Dec</v>
      </c>
      <c r="I19" s="10" t="str">
        <f>CONCATENATE("WK_",WEEKNUM(events[[#This Row],[Start Date]]))</f>
        <v>WK_53</v>
      </c>
      <c r="J19" s="12">
        <v>46020.299895833334</v>
      </c>
      <c r="K19" s="10">
        <v>82</v>
      </c>
      <c r="L19" s="10" t="s">
        <v>25</v>
      </c>
      <c r="M19" s="10" t="s">
        <v>75</v>
      </c>
      <c r="N19" s="13">
        <f t="shared" si="0"/>
        <v>0.05</v>
      </c>
      <c r="O19" s="14" t="s">
        <v>27</v>
      </c>
      <c r="P19" s="14" t="s">
        <v>27</v>
      </c>
      <c r="Q19" s="14" t="s">
        <v>764</v>
      </c>
      <c r="R19" s="14" t="s">
        <v>28</v>
      </c>
      <c r="S19" s="14" t="s">
        <v>765</v>
      </c>
      <c r="T19" s="14" t="s">
        <v>766</v>
      </c>
      <c r="U19" s="15">
        <v>0.109</v>
      </c>
      <c r="V19" s="10">
        <v>1</v>
      </c>
    </row>
    <row r="20" spans="1:22" ht="18" customHeight="1" x14ac:dyDescent="0.35">
      <c r="A20" s="10" t="s">
        <v>86</v>
      </c>
      <c r="B20" s="10" t="s">
        <v>3171</v>
      </c>
      <c r="C20" s="11" t="s">
        <v>2938</v>
      </c>
      <c r="D20" s="11" t="s">
        <v>678</v>
      </c>
      <c r="E20" s="12">
        <v>46019.961631944447</v>
      </c>
      <c r="F20" s="10" t="str">
        <f>TEXT(events[[#This Row],[Start Date]],"DDD")</f>
        <v>Sun</v>
      </c>
      <c r="G20" s="10">
        <f>YEAR(events[[#This Row],[Start Date]])</f>
        <v>2025</v>
      </c>
      <c r="H20" s="10" t="str">
        <f>TEXT(events[[#This Row],[Start Date]],"mmm")</f>
        <v>Dec</v>
      </c>
      <c r="I20" s="10" t="str">
        <f>CONCATENATE("WK_",WEEKNUM(events[[#This Row],[Start Date]]))</f>
        <v>WK_53</v>
      </c>
      <c r="J20" s="12">
        <v>46019.961643518516</v>
      </c>
      <c r="K20" s="10">
        <v>11</v>
      </c>
      <c r="L20" s="10" t="s">
        <v>83</v>
      </c>
      <c r="M20" s="10" t="s">
        <v>26</v>
      </c>
      <c r="N20" s="13">
        <f t="shared" si="0"/>
        <v>1.6666666666666666E-2</v>
      </c>
      <c r="O20" s="14" t="s">
        <v>92</v>
      </c>
      <c r="P20" s="14"/>
      <c r="Q20" s="14" t="s">
        <v>762</v>
      </c>
      <c r="R20" s="14"/>
      <c r="S20" s="14" t="s">
        <v>763</v>
      </c>
      <c r="T20" s="14"/>
      <c r="U20" s="15">
        <v>0</v>
      </c>
      <c r="V20" s="10">
        <v>1</v>
      </c>
    </row>
    <row r="21" spans="1:22" ht="18" customHeight="1" x14ac:dyDescent="0.35">
      <c r="A21" s="10" t="s">
        <v>23</v>
      </c>
      <c r="B21" s="10" t="s">
        <v>3172</v>
      </c>
      <c r="C21" s="11" t="s">
        <v>2939</v>
      </c>
      <c r="D21" s="11" t="s">
        <v>35</v>
      </c>
      <c r="E21" s="12">
        <v>46019.958333333336</v>
      </c>
      <c r="F21" s="10" t="str">
        <f>TEXT(events[[#This Row],[Start Date]],"DDD")</f>
        <v>Sun</v>
      </c>
      <c r="G21" s="10">
        <f>YEAR(events[[#This Row],[Start Date]])</f>
        <v>2025</v>
      </c>
      <c r="H21" s="10" t="str">
        <f>TEXT(events[[#This Row],[Start Date]],"mmm")</f>
        <v>Dec</v>
      </c>
      <c r="I21" s="10" t="str">
        <f>CONCATENATE("WK_",WEEKNUM(events[[#This Row],[Start Date]]))</f>
        <v>WK_53</v>
      </c>
      <c r="J21" s="12">
        <v>46019.971655092595</v>
      </c>
      <c r="K21" s="10">
        <v>93.8</v>
      </c>
      <c r="L21" s="10" t="s">
        <v>36</v>
      </c>
      <c r="M21" s="10" t="s">
        <v>722</v>
      </c>
      <c r="N21" s="13">
        <f t="shared" si="0"/>
        <v>19.183333333333334</v>
      </c>
      <c r="O21" s="14" t="s">
        <v>231</v>
      </c>
      <c r="P21" s="14" t="s">
        <v>231</v>
      </c>
      <c r="Q21" s="14" t="s">
        <v>723</v>
      </c>
      <c r="R21" s="14" t="s">
        <v>724</v>
      </c>
      <c r="S21" s="14" t="s">
        <v>725</v>
      </c>
      <c r="T21" s="14" t="s">
        <v>726</v>
      </c>
      <c r="U21" s="15">
        <v>11.281000000000001</v>
      </c>
      <c r="V21" s="10">
        <v>1</v>
      </c>
    </row>
    <row r="22" spans="1:22" ht="18" customHeight="1" x14ac:dyDescent="0.35">
      <c r="A22" s="10" t="s">
        <v>123</v>
      </c>
      <c r="B22" s="10" t="s">
        <v>3168</v>
      </c>
      <c r="C22" s="11" t="s">
        <v>2934</v>
      </c>
      <c r="D22" s="11" t="s">
        <v>74</v>
      </c>
      <c r="E22" s="12">
        <v>46019.930127314816</v>
      </c>
      <c r="F22" s="10" t="str">
        <f>TEXT(events[[#This Row],[Start Date]],"DDD")</f>
        <v>Sun</v>
      </c>
      <c r="G22" s="10">
        <f>YEAR(events[[#This Row],[Start Date]])</f>
        <v>2025</v>
      </c>
      <c r="H22" s="10" t="str">
        <f>TEXT(events[[#This Row],[Start Date]],"mmm")</f>
        <v>Dec</v>
      </c>
      <c r="I22" s="10" t="str">
        <f>CONCATENATE("WK_",WEEKNUM(events[[#This Row],[Start Date]]))</f>
        <v>WK_53</v>
      </c>
      <c r="J22" s="12">
        <v>46019.930590277778</v>
      </c>
      <c r="K22" s="10">
        <v>92</v>
      </c>
      <c r="L22" s="10" t="s">
        <v>25</v>
      </c>
      <c r="M22" s="10" t="s">
        <v>219</v>
      </c>
      <c r="N22" s="13">
        <f t="shared" si="0"/>
        <v>0.66666666666666663</v>
      </c>
      <c r="O22" s="14"/>
      <c r="P22" s="14"/>
      <c r="Q22" s="14" t="s">
        <v>800</v>
      </c>
      <c r="R22" s="14" t="s">
        <v>801</v>
      </c>
      <c r="S22" s="14" t="s">
        <v>802</v>
      </c>
      <c r="T22" s="14" t="s">
        <v>803</v>
      </c>
      <c r="U22" s="15">
        <v>1</v>
      </c>
      <c r="V22" s="10">
        <v>1</v>
      </c>
    </row>
    <row r="23" spans="1:22" ht="18" customHeight="1" x14ac:dyDescent="0.35">
      <c r="A23" s="10" t="s">
        <v>123</v>
      </c>
      <c r="B23" s="10" t="s">
        <v>3173</v>
      </c>
      <c r="C23" s="11" t="s">
        <v>2940</v>
      </c>
      <c r="D23" s="11" t="s">
        <v>74</v>
      </c>
      <c r="E23" s="12">
        <v>46019.879803240743</v>
      </c>
      <c r="F23" s="10" t="str">
        <f>TEXT(events[[#This Row],[Start Date]],"DDD")</f>
        <v>Sun</v>
      </c>
      <c r="G23" s="10">
        <f>YEAR(events[[#This Row],[Start Date]])</f>
        <v>2025</v>
      </c>
      <c r="H23" s="10" t="str">
        <f>TEXT(events[[#This Row],[Start Date]],"mmm")</f>
        <v>Dec</v>
      </c>
      <c r="I23" s="10" t="str">
        <f>CONCATENATE("WK_",WEEKNUM(events[[#This Row],[Start Date]]))</f>
        <v>WK_53</v>
      </c>
      <c r="J23" s="12">
        <v>46019.881192129629</v>
      </c>
      <c r="K23" s="10">
        <v>92</v>
      </c>
      <c r="L23" s="10" t="s">
        <v>25</v>
      </c>
      <c r="M23" s="10" t="s">
        <v>794</v>
      </c>
      <c r="N23" s="13">
        <f t="shared" si="0"/>
        <v>1.9833333333333334</v>
      </c>
      <c r="O23" s="14"/>
      <c r="P23" s="14"/>
      <c r="Q23" s="14" t="s">
        <v>409</v>
      </c>
      <c r="R23" s="14" t="s">
        <v>409</v>
      </c>
      <c r="S23" s="14" t="s">
        <v>795</v>
      </c>
      <c r="T23" s="14" t="s">
        <v>796</v>
      </c>
      <c r="U23" s="15">
        <v>3</v>
      </c>
      <c r="V23" s="10">
        <v>1</v>
      </c>
    </row>
    <row r="24" spans="1:22" ht="18" customHeight="1" x14ac:dyDescent="0.35">
      <c r="A24" s="10" t="s">
        <v>23</v>
      </c>
      <c r="B24" s="10" t="s">
        <v>3174</v>
      </c>
      <c r="C24" s="11" t="s">
        <v>2941</v>
      </c>
      <c r="D24" s="11" t="s">
        <v>82</v>
      </c>
      <c r="E24" s="12">
        <v>46019.752881944441</v>
      </c>
      <c r="F24" s="10" t="str">
        <f>TEXT(events[[#This Row],[Start Date]],"DDD")</f>
        <v>Sun</v>
      </c>
      <c r="G24" s="10">
        <f>YEAR(events[[#This Row],[Start Date]])</f>
        <v>2025</v>
      </c>
      <c r="H24" s="10" t="str">
        <f>TEXT(events[[#This Row],[Start Date]],"mmm")</f>
        <v>Dec</v>
      </c>
      <c r="I24" s="10" t="str">
        <f>CONCATENATE("WK_",WEEKNUM(events[[#This Row],[Start Date]]))</f>
        <v>WK_53</v>
      </c>
      <c r="J24" s="12">
        <v>46019.752893518518</v>
      </c>
      <c r="K24" s="10">
        <v>29</v>
      </c>
      <c r="L24" s="10" t="s">
        <v>83</v>
      </c>
      <c r="M24" s="10" t="s">
        <v>26</v>
      </c>
      <c r="N24" s="13">
        <f t="shared" si="0"/>
        <v>1.6666666666666666E-2</v>
      </c>
      <c r="O24" s="14" t="s">
        <v>458</v>
      </c>
      <c r="P24" s="14"/>
      <c r="Q24" s="14" t="s">
        <v>728</v>
      </c>
      <c r="R24" s="14"/>
      <c r="S24" s="14" t="s">
        <v>729</v>
      </c>
      <c r="T24" s="14"/>
      <c r="U24" s="15">
        <v>0</v>
      </c>
      <c r="V24" s="10">
        <v>1</v>
      </c>
    </row>
    <row r="25" spans="1:22" ht="18" customHeight="1" x14ac:dyDescent="0.35">
      <c r="A25" s="10" t="s">
        <v>123</v>
      </c>
      <c r="B25" s="10" t="s">
        <v>3175</v>
      </c>
      <c r="C25" s="11" t="s">
        <v>2942</v>
      </c>
      <c r="D25" s="11" t="s">
        <v>74</v>
      </c>
      <c r="E25" s="12">
        <v>46019.747337962966</v>
      </c>
      <c r="F25" s="10" t="str">
        <f>TEXT(events[[#This Row],[Start Date]],"DDD")</f>
        <v>Sun</v>
      </c>
      <c r="G25" s="10">
        <f>YEAR(events[[#This Row],[Start Date]])</f>
        <v>2025</v>
      </c>
      <c r="H25" s="10" t="str">
        <f>TEXT(events[[#This Row],[Start Date]],"mmm")</f>
        <v>Dec</v>
      </c>
      <c r="I25" s="10" t="str">
        <f>CONCATENATE("WK_",WEEKNUM(events[[#This Row],[Start Date]]))</f>
        <v>WK_53</v>
      </c>
      <c r="J25" s="12">
        <v>46019.74759259259</v>
      </c>
      <c r="K25" s="10">
        <v>98</v>
      </c>
      <c r="L25" s="10" t="s">
        <v>25</v>
      </c>
      <c r="M25" s="10" t="s">
        <v>369</v>
      </c>
      <c r="N25" s="13">
        <f t="shared" si="0"/>
        <v>0.35</v>
      </c>
      <c r="O25" s="14"/>
      <c r="P25" s="14"/>
      <c r="Q25" s="14" t="s">
        <v>797</v>
      </c>
      <c r="R25" s="14" t="s">
        <v>797</v>
      </c>
      <c r="S25" s="14" t="s">
        <v>798</v>
      </c>
      <c r="T25" s="14" t="s">
        <v>799</v>
      </c>
      <c r="U25" s="15">
        <v>0.7</v>
      </c>
      <c r="V25" s="10">
        <v>1</v>
      </c>
    </row>
    <row r="26" spans="1:22" ht="18" customHeight="1" x14ac:dyDescent="0.35">
      <c r="A26" s="10" t="s">
        <v>86</v>
      </c>
      <c r="B26" s="10" t="s">
        <v>3176</v>
      </c>
      <c r="C26" s="11" t="s">
        <v>2943</v>
      </c>
      <c r="D26" s="11" t="s">
        <v>678</v>
      </c>
      <c r="E26" s="12">
        <v>46019.702731481484</v>
      </c>
      <c r="F26" s="10" t="str">
        <f>TEXT(events[[#This Row],[Start Date]],"DDD")</f>
        <v>Sun</v>
      </c>
      <c r="G26" s="10">
        <f>YEAR(events[[#This Row],[Start Date]])</f>
        <v>2025</v>
      </c>
      <c r="H26" s="10" t="str">
        <f>TEXT(events[[#This Row],[Start Date]],"mmm")</f>
        <v>Dec</v>
      </c>
      <c r="I26" s="10" t="str">
        <f>CONCATENATE("WK_",WEEKNUM(events[[#This Row],[Start Date]]))</f>
        <v>WK_53</v>
      </c>
      <c r="J26" s="12">
        <v>46019.702731481484</v>
      </c>
      <c r="K26" s="10">
        <v>11</v>
      </c>
      <c r="L26" s="10" t="s">
        <v>83</v>
      </c>
      <c r="M26" s="10" t="s">
        <v>87</v>
      </c>
      <c r="N26" s="13">
        <f t="shared" si="0"/>
        <v>0</v>
      </c>
      <c r="O26" s="14" t="s">
        <v>92</v>
      </c>
      <c r="P26" s="14" t="s">
        <v>92</v>
      </c>
      <c r="Q26" s="14" t="s">
        <v>93</v>
      </c>
      <c r="R26" s="14" t="s">
        <v>93</v>
      </c>
      <c r="S26" s="14" t="s">
        <v>761</v>
      </c>
      <c r="T26" s="14" t="s">
        <v>761</v>
      </c>
      <c r="U26" s="15">
        <v>0</v>
      </c>
      <c r="V26" s="10">
        <v>1</v>
      </c>
    </row>
    <row r="27" spans="1:22" ht="18" customHeight="1" x14ac:dyDescent="0.35">
      <c r="A27" s="10" t="s">
        <v>23</v>
      </c>
      <c r="B27" s="10" t="s">
        <v>3174</v>
      </c>
      <c r="C27" s="11" t="s">
        <v>2941</v>
      </c>
      <c r="D27" s="11" t="s">
        <v>35</v>
      </c>
      <c r="E27" s="12">
        <v>46019.165208333332</v>
      </c>
      <c r="F27" s="10" t="str">
        <f>TEXT(events[[#This Row],[Start Date]],"DDD")</f>
        <v>Sun</v>
      </c>
      <c r="G27" s="10">
        <f>YEAR(events[[#This Row],[Start Date]])</f>
        <v>2025</v>
      </c>
      <c r="H27" s="10" t="str">
        <f>TEXT(events[[#This Row],[Start Date]],"mmm")</f>
        <v>Dec</v>
      </c>
      <c r="I27" s="10" t="str">
        <f>CONCATENATE("WK_",WEEKNUM(events[[#This Row],[Start Date]]))</f>
        <v>WK_53</v>
      </c>
      <c r="J27" s="12">
        <v>46019.166643518518</v>
      </c>
      <c r="K27" s="10">
        <v>1.2</v>
      </c>
      <c r="L27" s="10" t="s">
        <v>36</v>
      </c>
      <c r="M27" s="10" t="s">
        <v>730</v>
      </c>
      <c r="N27" s="13">
        <f t="shared" si="0"/>
        <v>2.0666666666666669</v>
      </c>
      <c r="O27" s="14" t="s">
        <v>38</v>
      </c>
      <c r="P27" s="14" t="s">
        <v>38</v>
      </c>
      <c r="Q27" s="14" t="s">
        <v>731</v>
      </c>
      <c r="R27" s="14" t="s">
        <v>732</v>
      </c>
      <c r="S27" s="14" t="s">
        <v>733</v>
      </c>
      <c r="T27" s="14" t="s">
        <v>734</v>
      </c>
      <c r="U27" s="15">
        <v>1</v>
      </c>
      <c r="V27" s="10">
        <v>1</v>
      </c>
    </row>
    <row r="28" spans="1:22" ht="18" customHeight="1" x14ac:dyDescent="0.35">
      <c r="A28" s="10" t="s">
        <v>123</v>
      </c>
      <c r="B28" s="10" t="s">
        <v>3177</v>
      </c>
      <c r="C28" s="11" t="s">
        <v>2944</v>
      </c>
      <c r="D28" s="11" t="s">
        <v>74</v>
      </c>
      <c r="E28" s="12">
        <v>46018.714699074073</v>
      </c>
      <c r="F28" s="10" t="str">
        <f>TEXT(events[[#This Row],[Start Date]],"DDD")</f>
        <v>Sat</v>
      </c>
      <c r="G28" s="10">
        <f>YEAR(events[[#This Row],[Start Date]])</f>
        <v>2025</v>
      </c>
      <c r="H28" s="10" t="str">
        <f>TEXT(events[[#This Row],[Start Date]],"mmm")</f>
        <v>Dec</v>
      </c>
      <c r="I28" s="10" t="str">
        <f>CONCATENATE("WK_",WEEKNUM(events[[#This Row],[Start Date]]))</f>
        <v>WK_52</v>
      </c>
      <c r="J28" s="12">
        <v>46018.715277777781</v>
      </c>
      <c r="K28" s="10">
        <v>91</v>
      </c>
      <c r="L28" s="10" t="s">
        <v>25</v>
      </c>
      <c r="M28" s="10" t="s">
        <v>489</v>
      </c>
      <c r="N28" s="13">
        <f t="shared" si="0"/>
        <v>0.81666666666666665</v>
      </c>
      <c r="O28" s="14"/>
      <c r="P28" s="14"/>
      <c r="Q28" s="14" t="s">
        <v>549</v>
      </c>
      <c r="R28" s="14" t="s">
        <v>550</v>
      </c>
      <c r="S28" s="14" t="s">
        <v>826</v>
      </c>
      <c r="T28" s="14" t="s">
        <v>827</v>
      </c>
      <c r="U28" s="15">
        <v>1.2</v>
      </c>
      <c r="V28" s="10">
        <v>1</v>
      </c>
    </row>
    <row r="29" spans="1:22" ht="18" customHeight="1" x14ac:dyDescent="0.35">
      <c r="A29" s="10" t="s">
        <v>23</v>
      </c>
      <c r="B29" s="10" t="s">
        <v>3174</v>
      </c>
      <c r="C29" s="11" t="s">
        <v>2941</v>
      </c>
      <c r="D29" s="11" t="s">
        <v>678</v>
      </c>
      <c r="E29" s="12">
        <v>46018.632326388892</v>
      </c>
      <c r="F29" s="10" t="str">
        <f>TEXT(events[[#This Row],[Start Date]],"DDD")</f>
        <v>Sat</v>
      </c>
      <c r="G29" s="10">
        <f>YEAR(events[[#This Row],[Start Date]])</f>
        <v>2025</v>
      </c>
      <c r="H29" s="10" t="str">
        <f>TEXT(events[[#This Row],[Start Date]],"mmm")</f>
        <v>Dec</v>
      </c>
      <c r="I29" s="10" t="str">
        <f>CONCATENATE("WK_",WEEKNUM(events[[#This Row],[Start Date]]))</f>
        <v>WK_52</v>
      </c>
      <c r="J29" s="12">
        <v>46018.632326388892</v>
      </c>
      <c r="K29" s="10">
        <v>39</v>
      </c>
      <c r="L29" s="10" t="s">
        <v>83</v>
      </c>
      <c r="M29" s="10" t="s">
        <v>87</v>
      </c>
      <c r="N29" s="13">
        <f t="shared" si="0"/>
        <v>0</v>
      </c>
      <c r="O29" s="14" t="s">
        <v>92</v>
      </c>
      <c r="P29" s="14"/>
      <c r="Q29" s="14" t="s">
        <v>468</v>
      </c>
      <c r="R29" s="14"/>
      <c r="S29" s="14" t="s">
        <v>727</v>
      </c>
      <c r="T29" s="14"/>
      <c r="U29" s="15">
        <v>0</v>
      </c>
      <c r="V29" s="10">
        <v>1</v>
      </c>
    </row>
    <row r="30" spans="1:22" ht="18" customHeight="1" x14ac:dyDescent="0.35">
      <c r="A30" s="10" t="s">
        <v>123</v>
      </c>
      <c r="B30" s="10" t="s">
        <v>3178</v>
      </c>
      <c r="C30" s="11" t="s">
        <v>2945</v>
      </c>
      <c r="D30" s="11" t="s">
        <v>74</v>
      </c>
      <c r="E30" s="12">
        <v>46018.580567129633</v>
      </c>
      <c r="F30" s="10" t="str">
        <f>TEXT(events[[#This Row],[Start Date]],"DDD")</f>
        <v>Sat</v>
      </c>
      <c r="G30" s="10">
        <f>YEAR(events[[#This Row],[Start Date]])</f>
        <v>2025</v>
      </c>
      <c r="H30" s="10" t="str">
        <f>TEXT(events[[#This Row],[Start Date]],"mmm")</f>
        <v>Dec</v>
      </c>
      <c r="I30" s="10" t="str">
        <f>CONCATENATE("WK_",WEEKNUM(events[[#This Row],[Start Date]]))</f>
        <v>WK_52</v>
      </c>
      <c r="J30" s="12">
        <v>46018.580752314818</v>
      </c>
      <c r="K30" s="10">
        <v>89</v>
      </c>
      <c r="L30" s="10" t="s">
        <v>25</v>
      </c>
      <c r="M30" s="10" t="s">
        <v>353</v>
      </c>
      <c r="N30" s="13">
        <f t="shared" si="0"/>
        <v>0.26666666666666666</v>
      </c>
      <c r="O30" s="14"/>
      <c r="P30" s="14"/>
      <c r="Q30" s="14" t="s">
        <v>831</v>
      </c>
      <c r="R30" s="14" t="s">
        <v>831</v>
      </c>
      <c r="S30" s="14" t="s">
        <v>832</v>
      </c>
      <c r="T30" s="14" t="s">
        <v>833</v>
      </c>
      <c r="U30" s="15">
        <v>0.5</v>
      </c>
      <c r="V30" s="10">
        <v>1</v>
      </c>
    </row>
    <row r="31" spans="1:22" ht="18" customHeight="1" x14ac:dyDescent="0.35">
      <c r="A31" s="10" t="s">
        <v>123</v>
      </c>
      <c r="B31" s="10" t="s">
        <v>3179</v>
      </c>
      <c r="C31" s="11" t="s">
        <v>2946</v>
      </c>
      <c r="D31" s="11" t="s">
        <v>74</v>
      </c>
      <c r="E31" s="12">
        <v>46018.436111111114</v>
      </c>
      <c r="F31" s="10" t="str">
        <f>TEXT(events[[#This Row],[Start Date]],"DDD")</f>
        <v>Sat</v>
      </c>
      <c r="G31" s="10">
        <f>YEAR(events[[#This Row],[Start Date]])</f>
        <v>2025</v>
      </c>
      <c r="H31" s="10" t="str">
        <f>TEXT(events[[#This Row],[Start Date]],"mmm")</f>
        <v>Dec</v>
      </c>
      <c r="I31" s="10" t="str">
        <f>CONCATENATE("WK_",WEEKNUM(events[[#This Row],[Start Date]]))</f>
        <v>WK_52</v>
      </c>
      <c r="J31" s="12">
        <v>46018.436921296299</v>
      </c>
      <c r="K31" s="10">
        <v>98</v>
      </c>
      <c r="L31" s="10" t="s">
        <v>25</v>
      </c>
      <c r="M31" s="10" t="s">
        <v>828</v>
      </c>
      <c r="N31" s="13">
        <f t="shared" si="0"/>
        <v>1.1666666666666667</v>
      </c>
      <c r="O31" s="14"/>
      <c r="P31" s="14"/>
      <c r="Q31" s="14" t="s">
        <v>801</v>
      </c>
      <c r="R31" s="14" t="s">
        <v>801</v>
      </c>
      <c r="S31" s="14" t="s">
        <v>829</v>
      </c>
      <c r="T31" s="14" t="s">
        <v>830</v>
      </c>
      <c r="U31" s="15">
        <v>1.8</v>
      </c>
      <c r="V31" s="10">
        <v>1</v>
      </c>
    </row>
    <row r="32" spans="1:22" ht="18" customHeight="1" x14ac:dyDescent="0.35">
      <c r="A32" s="10" t="s">
        <v>123</v>
      </c>
      <c r="B32" s="10" t="s">
        <v>3180</v>
      </c>
      <c r="C32" s="11" t="s">
        <v>2947</v>
      </c>
      <c r="D32" s="11" t="s">
        <v>74</v>
      </c>
      <c r="E32" s="12">
        <v>46018.400196759256</v>
      </c>
      <c r="F32" s="10" t="str">
        <f>TEXT(events[[#This Row],[Start Date]],"DDD")</f>
        <v>Sat</v>
      </c>
      <c r="G32" s="10">
        <f>YEAR(events[[#This Row],[Start Date]])</f>
        <v>2025</v>
      </c>
      <c r="H32" s="10" t="str">
        <f>TEXT(events[[#This Row],[Start Date]],"mmm")</f>
        <v>Dec</v>
      </c>
      <c r="I32" s="10" t="str">
        <f>CONCATENATE("WK_",WEEKNUM(events[[#This Row],[Start Date]]))</f>
        <v>WK_52</v>
      </c>
      <c r="J32" s="12">
        <v>46018.400648148148</v>
      </c>
      <c r="K32" s="10">
        <v>103</v>
      </c>
      <c r="L32" s="10" t="s">
        <v>25</v>
      </c>
      <c r="M32" s="10" t="s">
        <v>823</v>
      </c>
      <c r="N32" s="13">
        <f t="shared" si="0"/>
        <v>0.65</v>
      </c>
      <c r="O32" s="14"/>
      <c r="P32" s="14"/>
      <c r="Q32" s="14" t="s">
        <v>801</v>
      </c>
      <c r="R32" s="14" t="s">
        <v>801</v>
      </c>
      <c r="S32" s="14" t="s">
        <v>824</v>
      </c>
      <c r="T32" s="14" t="s">
        <v>825</v>
      </c>
      <c r="U32" s="15">
        <v>1</v>
      </c>
      <c r="V32" s="10">
        <v>1</v>
      </c>
    </row>
    <row r="33" spans="1:22" ht="18" customHeight="1" x14ac:dyDescent="0.35">
      <c r="A33" s="10" t="s">
        <v>86</v>
      </c>
      <c r="B33" s="10" t="s">
        <v>3181</v>
      </c>
      <c r="C33" s="11" t="s">
        <v>2948</v>
      </c>
      <c r="D33" s="11" t="s">
        <v>24</v>
      </c>
      <c r="E33" s="12">
        <v>46017.710821759261</v>
      </c>
      <c r="F33" s="10" t="str">
        <f>TEXT(events[[#This Row],[Start Date]],"DDD")</f>
        <v>Fri</v>
      </c>
      <c r="G33" s="10">
        <f>YEAR(events[[#This Row],[Start Date]])</f>
        <v>2025</v>
      </c>
      <c r="H33" s="10" t="str">
        <f>TEXT(events[[#This Row],[Start Date]],"mmm")</f>
        <v>Dec</v>
      </c>
      <c r="I33" s="10" t="str">
        <f>CONCATENATE("WK_",WEEKNUM(events[[#This Row],[Start Date]]))</f>
        <v>WK_52</v>
      </c>
      <c r="J33" s="12">
        <v>46017.710821759261</v>
      </c>
      <c r="K33" s="10">
        <v>35</v>
      </c>
      <c r="L33" s="10" t="s">
        <v>25</v>
      </c>
      <c r="M33" s="10" t="s">
        <v>87</v>
      </c>
      <c r="N33" s="13">
        <f t="shared" si="0"/>
        <v>0</v>
      </c>
      <c r="O33" s="14" t="s">
        <v>65</v>
      </c>
      <c r="P33" s="14" t="s">
        <v>65</v>
      </c>
      <c r="Q33" s="14" t="s">
        <v>783</v>
      </c>
      <c r="R33" s="14" t="s">
        <v>783</v>
      </c>
      <c r="S33" s="14" t="s">
        <v>784</v>
      </c>
      <c r="T33" s="14" t="s">
        <v>784</v>
      </c>
      <c r="U33" s="15">
        <v>0</v>
      </c>
      <c r="V33" s="10">
        <v>1</v>
      </c>
    </row>
    <row r="34" spans="1:22" ht="18" customHeight="1" x14ac:dyDescent="0.35">
      <c r="A34" s="10" t="s">
        <v>123</v>
      </c>
      <c r="B34" s="10" t="s">
        <v>3161</v>
      </c>
      <c r="C34" s="11" t="s">
        <v>2927</v>
      </c>
      <c r="D34" s="11" t="s">
        <v>74</v>
      </c>
      <c r="E34" s="12">
        <v>46017.500833333332</v>
      </c>
      <c r="F34" s="10" t="str">
        <f>TEXT(events[[#This Row],[Start Date]],"DDD")</f>
        <v>Fri</v>
      </c>
      <c r="G34" s="10">
        <f>YEAR(events[[#This Row],[Start Date]])</f>
        <v>2025</v>
      </c>
      <c r="H34" s="10" t="str">
        <f>TEXT(events[[#This Row],[Start Date]],"mmm")</f>
        <v>Dec</v>
      </c>
      <c r="I34" s="10" t="str">
        <f>CONCATENATE("WK_",WEEKNUM(events[[#This Row],[Start Date]]))</f>
        <v>WK_52</v>
      </c>
      <c r="J34" s="12">
        <v>46017.501851851855</v>
      </c>
      <c r="K34" s="10">
        <v>93</v>
      </c>
      <c r="L34" s="10" t="s">
        <v>25</v>
      </c>
      <c r="M34" s="10" t="s">
        <v>804</v>
      </c>
      <c r="N34" s="13">
        <f t="shared" si="0"/>
        <v>1.45</v>
      </c>
      <c r="O34" s="14"/>
      <c r="P34" s="14"/>
      <c r="Q34" s="14" t="s">
        <v>174</v>
      </c>
      <c r="R34" s="14" t="s">
        <v>805</v>
      </c>
      <c r="S34" s="14" t="s">
        <v>806</v>
      </c>
      <c r="T34" s="14" t="s">
        <v>807</v>
      </c>
      <c r="U34" s="15">
        <v>2.1</v>
      </c>
      <c r="V34" s="10">
        <v>1</v>
      </c>
    </row>
    <row r="35" spans="1:22" ht="18" customHeight="1" x14ac:dyDescent="0.35">
      <c r="A35" s="10" t="s">
        <v>123</v>
      </c>
      <c r="B35" s="10" t="s">
        <v>3168</v>
      </c>
      <c r="C35" s="11" t="s">
        <v>2934</v>
      </c>
      <c r="D35" s="11" t="s">
        <v>74</v>
      </c>
      <c r="E35" s="12">
        <v>46017.004421296297</v>
      </c>
      <c r="F35" s="10" t="str">
        <f>TEXT(events[[#This Row],[Start Date]],"DDD")</f>
        <v>Fri</v>
      </c>
      <c r="G35" s="10">
        <f>YEAR(events[[#This Row],[Start Date]])</f>
        <v>2025</v>
      </c>
      <c r="H35" s="10" t="str">
        <f>TEXT(events[[#This Row],[Start Date]],"mmm")</f>
        <v>Dec</v>
      </c>
      <c r="I35" s="10" t="str">
        <f>CONCATENATE("WK_",WEEKNUM(events[[#This Row],[Start Date]]))</f>
        <v>WK_52</v>
      </c>
      <c r="J35" s="12">
        <v>46017.005231481482</v>
      </c>
      <c r="K35" s="10">
        <v>93</v>
      </c>
      <c r="L35" s="10" t="s">
        <v>25</v>
      </c>
      <c r="M35" s="10" t="s">
        <v>712</v>
      </c>
      <c r="N35" s="13">
        <f t="shared" si="0"/>
        <v>1.1499999999999999</v>
      </c>
      <c r="O35" s="14"/>
      <c r="P35" s="14"/>
      <c r="Q35" s="14" t="s">
        <v>808</v>
      </c>
      <c r="R35" s="14" t="s">
        <v>809</v>
      </c>
      <c r="S35" s="14" t="s">
        <v>810</v>
      </c>
      <c r="T35" s="14" t="s">
        <v>811</v>
      </c>
      <c r="U35" s="15">
        <v>1.7</v>
      </c>
      <c r="V35" s="10">
        <v>1</v>
      </c>
    </row>
    <row r="36" spans="1:22" ht="18" customHeight="1" x14ac:dyDescent="0.35">
      <c r="A36" s="10" t="s">
        <v>86</v>
      </c>
      <c r="B36" s="10" t="s">
        <v>3182</v>
      </c>
      <c r="C36" s="11" t="s">
        <v>2949</v>
      </c>
      <c r="D36" s="11" t="s">
        <v>35</v>
      </c>
      <c r="E36" s="12">
        <v>46016.958344907405</v>
      </c>
      <c r="F36" s="10" t="str">
        <f>TEXT(events[[#This Row],[Start Date]],"DDD")</f>
        <v>Thu</v>
      </c>
      <c r="G36" s="10">
        <f>YEAR(events[[#This Row],[Start Date]])</f>
        <v>2025</v>
      </c>
      <c r="H36" s="10" t="str">
        <f>TEXT(events[[#This Row],[Start Date]],"mmm")</f>
        <v>Dec</v>
      </c>
      <c r="I36" s="10" t="str">
        <f>CONCATENATE("WK_",WEEKNUM(events[[#This Row],[Start Date]]))</f>
        <v>WK_52</v>
      </c>
      <c r="J36" s="12">
        <v>46016.964907407404</v>
      </c>
      <c r="K36" s="10">
        <v>56</v>
      </c>
      <c r="L36" s="10" t="s">
        <v>36</v>
      </c>
      <c r="M36" s="10" t="s">
        <v>771</v>
      </c>
      <c r="N36" s="13">
        <f t="shared" si="0"/>
        <v>9.4499999999999993</v>
      </c>
      <c r="O36" s="14" t="s">
        <v>92</v>
      </c>
      <c r="P36" s="14" t="s">
        <v>92</v>
      </c>
      <c r="Q36" s="14" t="s">
        <v>772</v>
      </c>
      <c r="R36" s="14" t="s">
        <v>750</v>
      </c>
      <c r="S36" s="14" t="s">
        <v>773</v>
      </c>
      <c r="T36" s="14" t="s">
        <v>774</v>
      </c>
      <c r="U36" s="15">
        <v>7.6020000000000003</v>
      </c>
      <c r="V36" s="10">
        <v>1</v>
      </c>
    </row>
    <row r="37" spans="1:22" ht="18" customHeight="1" x14ac:dyDescent="0.35">
      <c r="A37" s="10" t="s">
        <v>86</v>
      </c>
      <c r="B37" s="10" t="s">
        <v>3183</v>
      </c>
      <c r="C37" s="11" t="s">
        <v>2950</v>
      </c>
      <c r="D37" s="11" t="s">
        <v>24</v>
      </c>
      <c r="E37" s="12">
        <v>46016.724421296298</v>
      </c>
      <c r="F37" s="10" t="str">
        <f>TEXT(events[[#This Row],[Start Date]],"DDD")</f>
        <v>Thu</v>
      </c>
      <c r="G37" s="10">
        <f>YEAR(events[[#This Row],[Start Date]])</f>
        <v>2025</v>
      </c>
      <c r="H37" s="10" t="str">
        <f>TEXT(events[[#This Row],[Start Date]],"mmm")</f>
        <v>Dec</v>
      </c>
      <c r="I37" s="10" t="str">
        <f>CONCATENATE("WK_",WEEKNUM(events[[#This Row],[Start Date]]))</f>
        <v>WK_52</v>
      </c>
      <c r="J37" s="12">
        <v>46016.724432870367</v>
      </c>
      <c r="K37" s="10">
        <v>39</v>
      </c>
      <c r="L37" s="10" t="s">
        <v>25</v>
      </c>
      <c r="M37" s="10" t="s">
        <v>26</v>
      </c>
      <c r="N37" s="13">
        <f t="shared" si="0"/>
        <v>1.6666666666666666E-2</v>
      </c>
      <c r="O37" s="14" t="s">
        <v>92</v>
      </c>
      <c r="P37" s="14" t="s">
        <v>92</v>
      </c>
      <c r="Q37" s="14" t="s">
        <v>785</v>
      </c>
      <c r="R37" s="14" t="s">
        <v>785</v>
      </c>
      <c r="S37" s="14" t="s">
        <v>786</v>
      </c>
      <c r="T37" s="14" t="s">
        <v>787</v>
      </c>
      <c r="U37" s="15">
        <v>0</v>
      </c>
      <c r="V37" s="10">
        <v>1</v>
      </c>
    </row>
    <row r="38" spans="1:22" ht="18" customHeight="1" x14ac:dyDescent="0.35">
      <c r="A38" s="10" t="s">
        <v>123</v>
      </c>
      <c r="B38" s="10" t="s">
        <v>3160</v>
      </c>
      <c r="C38" s="11" t="s">
        <v>2926</v>
      </c>
      <c r="D38" s="11" t="s">
        <v>74</v>
      </c>
      <c r="E38" s="12">
        <v>46016.538680555554</v>
      </c>
      <c r="F38" s="10" t="str">
        <f>TEXT(events[[#This Row],[Start Date]],"DDD")</f>
        <v>Thu</v>
      </c>
      <c r="G38" s="10">
        <f>YEAR(events[[#This Row],[Start Date]])</f>
        <v>2025</v>
      </c>
      <c r="H38" s="10" t="str">
        <f>TEXT(events[[#This Row],[Start Date]],"mmm")</f>
        <v>Dec</v>
      </c>
      <c r="I38" s="10" t="str">
        <f>CONCATENATE("WK_",WEEKNUM(events[[#This Row],[Start Date]]))</f>
        <v>WK_52</v>
      </c>
      <c r="J38" s="12">
        <v>46016.539490740739</v>
      </c>
      <c r="K38" s="10">
        <v>95</v>
      </c>
      <c r="L38" s="10" t="s">
        <v>25</v>
      </c>
      <c r="M38" s="10" t="s">
        <v>712</v>
      </c>
      <c r="N38" s="13">
        <f t="shared" si="0"/>
        <v>1.1499999999999999</v>
      </c>
      <c r="O38" s="14"/>
      <c r="P38" s="14"/>
      <c r="Q38" s="14" t="s">
        <v>174</v>
      </c>
      <c r="R38" s="14" t="s">
        <v>174</v>
      </c>
      <c r="S38" s="14" t="s">
        <v>812</v>
      </c>
      <c r="T38" s="14" t="s">
        <v>813</v>
      </c>
      <c r="U38" s="15">
        <v>1.8</v>
      </c>
      <c r="V38" s="10">
        <v>1</v>
      </c>
    </row>
    <row r="39" spans="1:22" ht="18" customHeight="1" x14ac:dyDescent="0.35">
      <c r="A39" s="10" t="s">
        <v>23</v>
      </c>
      <c r="B39" s="10" t="s">
        <v>3163</v>
      </c>
      <c r="C39" s="11" t="s">
        <v>2929</v>
      </c>
      <c r="D39" s="11" t="s">
        <v>35</v>
      </c>
      <c r="E39" s="12">
        <v>46016.165150462963</v>
      </c>
      <c r="F39" s="10" t="str">
        <f>TEXT(events[[#This Row],[Start Date]],"DDD")</f>
        <v>Thu</v>
      </c>
      <c r="G39" s="10">
        <f>YEAR(events[[#This Row],[Start Date]])</f>
        <v>2025</v>
      </c>
      <c r="H39" s="10" t="str">
        <f>TEXT(events[[#This Row],[Start Date]],"mmm")</f>
        <v>Dec</v>
      </c>
      <c r="I39" s="10" t="str">
        <f>CONCATENATE("WK_",WEEKNUM(events[[#This Row],[Start Date]]))</f>
        <v>WK_52</v>
      </c>
      <c r="J39" s="12">
        <v>46016.166643518518</v>
      </c>
      <c r="K39" s="10">
        <v>6.3</v>
      </c>
      <c r="L39" s="10" t="s">
        <v>36</v>
      </c>
      <c r="M39" s="10" t="s">
        <v>717</v>
      </c>
      <c r="N39" s="13">
        <f t="shared" si="0"/>
        <v>2.15</v>
      </c>
      <c r="O39" s="14" t="s">
        <v>92</v>
      </c>
      <c r="P39" s="14" t="s">
        <v>92</v>
      </c>
      <c r="Q39" s="14" t="s">
        <v>718</v>
      </c>
      <c r="R39" s="14" t="s">
        <v>719</v>
      </c>
      <c r="S39" s="14" t="s">
        <v>720</v>
      </c>
      <c r="T39" s="14" t="s">
        <v>721</v>
      </c>
      <c r="U39" s="15">
        <v>1.625</v>
      </c>
      <c r="V39" s="10">
        <v>1</v>
      </c>
    </row>
    <row r="40" spans="1:22" ht="18" customHeight="1" x14ac:dyDescent="0.35">
      <c r="A40" s="10" t="s">
        <v>123</v>
      </c>
      <c r="B40" s="10" t="s">
        <v>3184</v>
      </c>
      <c r="C40" s="11" t="s">
        <v>2951</v>
      </c>
      <c r="D40" s="11" t="s">
        <v>74</v>
      </c>
      <c r="E40" s="12">
        <v>46015.834733796299</v>
      </c>
      <c r="F40" s="10" t="str">
        <f>TEXT(events[[#This Row],[Start Date]],"DDD")</f>
        <v>Wed</v>
      </c>
      <c r="G40" s="10">
        <f>YEAR(events[[#This Row],[Start Date]])</f>
        <v>2025</v>
      </c>
      <c r="H40" s="10" t="str">
        <f>TEXT(events[[#This Row],[Start Date]],"mmm")</f>
        <v>Dec</v>
      </c>
      <c r="I40" s="10" t="str">
        <f>CONCATENATE("WK_",WEEKNUM(events[[#This Row],[Start Date]]))</f>
        <v>WK_52</v>
      </c>
      <c r="J40" s="12">
        <v>46015.834918981483</v>
      </c>
      <c r="K40" s="10">
        <v>91</v>
      </c>
      <c r="L40" s="10" t="s">
        <v>25</v>
      </c>
      <c r="M40" s="10" t="s">
        <v>353</v>
      </c>
      <c r="N40" s="13">
        <f t="shared" si="0"/>
        <v>0.26666666666666666</v>
      </c>
      <c r="O40" s="14"/>
      <c r="P40" s="14"/>
      <c r="Q40" s="14" t="s">
        <v>917</v>
      </c>
      <c r="R40" s="14" t="s">
        <v>917</v>
      </c>
      <c r="S40" s="14" t="s">
        <v>918</v>
      </c>
      <c r="T40" s="14" t="s">
        <v>919</v>
      </c>
      <c r="U40" s="15">
        <v>0.5</v>
      </c>
      <c r="V40" s="10">
        <v>1</v>
      </c>
    </row>
    <row r="41" spans="1:22" ht="18" customHeight="1" x14ac:dyDescent="0.35">
      <c r="A41" s="10" t="s">
        <v>123</v>
      </c>
      <c r="B41" s="10" t="s">
        <v>3173</v>
      </c>
      <c r="C41" s="11" t="s">
        <v>2940</v>
      </c>
      <c r="D41" s="11" t="s">
        <v>74</v>
      </c>
      <c r="E41" s="12">
        <v>46015.767233796294</v>
      </c>
      <c r="F41" s="10" t="str">
        <f>TEXT(events[[#This Row],[Start Date]],"DDD")</f>
        <v>Wed</v>
      </c>
      <c r="G41" s="10">
        <f>YEAR(events[[#This Row],[Start Date]])</f>
        <v>2025</v>
      </c>
      <c r="H41" s="10" t="str">
        <f>TEXT(events[[#This Row],[Start Date]],"mmm")</f>
        <v>Dec</v>
      </c>
      <c r="I41" s="10" t="str">
        <f>CONCATENATE("WK_",WEEKNUM(events[[#This Row],[Start Date]]))</f>
        <v>WK_52</v>
      </c>
      <c r="J41" s="12">
        <v>46015.767835648148</v>
      </c>
      <c r="K41" s="10">
        <v>89</v>
      </c>
      <c r="L41" s="10" t="s">
        <v>25</v>
      </c>
      <c r="M41" s="10" t="s">
        <v>311</v>
      </c>
      <c r="N41" s="13">
        <f t="shared" si="0"/>
        <v>0.85</v>
      </c>
      <c r="O41" s="14"/>
      <c r="P41" s="14"/>
      <c r="Q41" s="14" t="s">
        <v>438</v>
      </c>
      <c r="R41" s="14" t="s">
        <v>438</v>
      </c>
      <c r="S41" s="14" t="s">
        <v>915</v>
      </c>
      <c r="T41" s="14" t="s">
        <v>916</v>
      </c>
      <c r="U41" s="15">
        <v>1.4</v>
      </c>
      <c r="V41" s="10">
        <v>1</v>
      </c>
    </row>
    <row r="42" spans="1:22" ht="18" customHeight="1" x14ac:dyDescent="0.35">
      <c r="A42" s="10" t="s">
        <v>86</v>
      </c>
      <c r="B42" s="10" t="s">
        <v>3171</v>
      </c>
      <c r="C42" s="11" t="s">
        <v>2952</v>
      </c>
      <c r="D42" s="11" t="s">
        <v>24</v>
      </c>
      <c r="E42" s="12">
        <v>46015.709687499999</v>
      </c>
      <c r="F42" s="10" t="str">
        <f>TEXT(events[[#This Row],[Start Date]],"DDD")</f>
        <v>Wed</v>
      </c>
      <c r="G42" s="10">
        <f>YEAR(events[[#This Row],[Start Date]])</f>
        <v>2025</v>
      </c>
      <c r="H42" s="10" t="str">
        <f>TEXT(events[[#This Row],[Start Date]],"mmm")</f>
        <v>Dec</v>
      </c>
      <c r="I42" s="10" t="str">
        <f>CONCATENATE("WK_",WEEKNUM(events[[#This Row],[Start Date]]))</f>
        <v>WK_52</v>
      </c>
      <c r="J42" s="12">
        <v>46015.709687499999</v>
      </c>
      <c r="K42" s="10">
        <v>40</v>
      </c>
      <c r="L42" s="10" t="s">
        <v>25</v>
      </c>
      <c r="M42" s="10" t="s">
        <v>87</v>
      </c>
      <c r="N42" s="13">
        <f t="shared" si="0"/>
        <v>0</v>
      </c>
      <c r="O42" s="14" t="s">
        <v>92</v>
      </c>
      <c r="P42" s="14" t="s">
        <v>92</v>
      </c>
      <c r="Q42" s="14" t="s">
        <v>881</v>
      </c>
      <c r="R42" s="14" t="s">
        <v>881</v>
      </c>
      <c r="S42" s="14" t="s">
        <v>882</v>
      </c>
      <c r="T42" s="14" t="s">
        <v>882</v>
      </c>
      <c r="U42" s="15">
        <v>0</v>
      </c>
      <c r="V42" s="10">
        <v>1</v>
      </c>
    </row>
    <row r="43" spans="1:22" ht="18" customHeight="1" x14ac:dyDescent="0.35">
      <c r="A43" s="10" t="s">
        <v>86</v>
      </c>
      <c r="B43" s="10" t="s">
        <v>3171</v>
      </c>
      <c r="C43" s="11" t="s">
        <v>2952</v>
      </c>
      <c r="D43" s="11" t="s">
        <v>24</v>
      </c>
      <c r="E43" s="12">
        <v>46015.696851851855</v>
      </c>
      <c r="F43" s="10" t="str">
        <f>TEXT(events[[#This Row],[Start Date]],"DDD")</f>
        <v>Wed</v>
      </c>
      <c r="G43" s="10">
        <f>YEAR(events[[#This Row],[Start Date]])</f>
        <v>2025</v>
      </c>
      <c r="H43" s="10" t="str">
        <f>TEXT(events[[#This Row],[Start Date]],"mmm")</f>
        <v>Dec</v>
      </c>
      <c r="I43" s="10" t="str">
        <f>CONCATENATE("WK_",WEEKNUM(events[[#This Row],[Start Date]]))</f>
        <v>WK_52</v>
      </c>
      <c r="J43" s="12">
        <v>46015.696863425925</v>
      </c>
      <c r="K43" s="10">
        <v>41</v>
      </c>
      <c r="L43" s="10" t="s">
        <v>25</v>
      </c>
      <c r="M43" s="10" t="s">
        <v>26</v>
      </c>
      <c r="N43" s="13">
        <f t="shared" si="0"/>
        <v>1.6666666666666666E-2</v>
      </c>
      <c r="O43" s="14" t="s">
        <v>92</v>
      </c>
      <c r="P43" s="14" t="s">
        <v>92</v>
      </c>
      <c r="Q43" s="14" t="s">
        <v>878</v>
      </c>
      <c r="R43" s="14" t="s">
        <v>878</v>
      </c>
      <c r="S43" s="14" t="s">
        <v>879</v>
      </c>
      <c r="T43" s="14" t="s">
        <v>880</v>
      </c>
      <c r="U43" s="15">
        <v>0</v>
      </c>
      <c r="V43" s="10">
        <v>1</v>
      </c>
    </row>
    <row r="44" spans="1:22" ht="18" customHeight="1" x14ac:dyDescent="0.35">
      <c r="A44" s="10" t="s">
        <v>123</v>
      </c>
      <c r="B44" s="10" t="s">
        <v>3185</v>
      </c>
      <c r="C44" s="11" t="s">
        <v>2953</v>
      </c>
      <c r="D44" s="11" t="s">
        <v>74</v>
      </c>
      <c r="E44" s="12">
        <v>46015.385497685187</v>
      </c>
      <c r="F44" s="10" t="str">
        <f>TEXT(events[[#This Row],[Start Date]],"DDD")</f>
        <v>Wed</v>
      </c>
      <c r="G44" s="10">
        <f>YEAR(events[[#This Row],[Start Date]])</f>
        <v>2025</v>
      </c>
      <c r="H44" s="10" t="str">
        <f>TEXT(events[[#This Row],[Start Date]],"mmm")</f>
        <v>Dec</v>
      </c>
      <c r="I44" s="10" t="str">
        <f>CONCATENATE("WK_",WEEKNUM(events[[#This Row],[Start Date]]))</f>
        <v>WK_52</v>
      </c>
      <c r="J44" s="12">
        <v>46015.385798611111</v>
      </c>
      <c r="K44" s="10">
        <v>88</v>
      </c>
      <c r="L44" s="10" t="s">
        <v>25</v>
      </c>
      <c r="M44" s="10" t="s">
        <v>222</v>
      </c>
      <c r="N44" s="13">
        <f t="shared" si="0"/>
        <v>0.43333333333333335</v>
      </c>
      <c r="O44" s="14"/>
      <c r="P44" s="14"/>
      <c r="Q44" s="14" t="s">
        <v>304</v>
      </c>
      <c r="R44" s="14" t="s">
        <v>920</v>
      </c>
      <c r="S44" s="14" t="s">
        <v>921</v>
      </c>
      <c r="T44" s="14" t="s">
        <v>922</v>
      </c>
      <c r="U44" s="15">
        <v>0.7</v>
      </c>
      <c r="V44" s="10">
        <v>1</v>
      </c>
    </row>
    <row r="45" spans="1:22" ht="18" customHeight="1" x14ac:dyDescent="0.35">
      <c r="A45" s="10" t="s">
        <v>47</v>
      </c>
      <c r="B45" s="10" t="s">
        <v>3186</v>
      </c>
      <c r="C45" s="11" t="s">
        <v>2954</v>
      </c>
      <c r="D45" s="11" t="s">
        <v>74</v>
      </c>
      <c r="E45" s="12">
        <v>46015.367175925923</v>
      </c>
      <c r="F45" s="10" t="str">
        <f>TEXT(events[[#This Row],[Start Date]],"DDD")</f>
        <v>Wed</v>
      </c>
      <c r="G45" s="10">
        <f>YEAR(events[[#This Row],[Start Date]])</f>
        <v>2025</v>
      </c>
      <c r="H45" s="10" t="str">
        <f>TEXT(events[[#This Row],[Start Date]],"mmm")</f>
        <v>Dec</v>
      </c>
      <c r="I45" s="10" t="str">
        <f>CONCATENATE("WK_",WEEKNUM(events[[#This Row],[Start Date]]))</f>
        <v>WK_52</v>
      </c>
      <c r="J45" s="12">
        <v>46015.367268518516</v>
      </c>
      <c r="K45" s="10">
        <v>84</v>
      </c>
      <c r="L45" s="10" t="s">
        <v>25</v>
      </c>
      <c r="M45" s="10" t="s">
        <v>357</v>
      </c>
      <c r="N45" s="13">
        <f t="shared" si="0"/>
        <v>0.13333333333333333</v>
      </c>
      <c r="O45" s="14" t="s">
        <v>843</v>
      </c>
      <c r="P45" s="14" t="s">
        <v>843</v>
      </c>
      <c r="Q45" s="14" t="s">
        <v>844</v>
      </c>
      <c r="R45" s="14" t="s">
        <v>844</v>
      </c>
      <c r="S45" s="14" t="s">
        <v>845</v>
      </c>
      <c r="T45" s="14" t="s">
        <v>846</v>
      </c>
      <c r="U45" s="15">
        <v>0.188</v>
      </c>
      <c r="V45" s="10">
        <v>1</v>
      </c>
    </row>
    <row r="46" spans="1:22" ht="18" customHeight="1" x14ac:dyDescent="0.35">
      <c r="A46" s="10" t="s">
        <v>123</v>
      </c>
      <c r="B46" s="10" t="s">
        <v>3187</v>
      </c>
      <c r="C46" s="11" t="s">
        <v>2955</v>
      </c>
      <c r="D46" s="11" t="s">
        <v>74</v>
      </c>
      <c r="E46" s="12">
        <v>46014.9921875</v>
      </c>
      <c r="F46" s="10" t="str">
        <f>TEXT(events[[#This Row],[Start Date]],"DDD")</f>
        <v>Tue</v>
      </c>
      <c r="G46" s="10">
        <f>YEAR(events[[#This Row],[Start Date]])</f>
        <v>2025</v>
      </c>
      <c r="H46" s="10" t="str">
        <f>TEXT(events[[#This Row],[Start Date]],"mmm")</f>
        <v>Dec</v>
      </c>
      <c r="I46" s="10" t="str">
        <f>CONCATENATE("WK_",WEEKNUM(events[[#This Row],[Start Date]]))</f>
        <v>WK_52</v>
      </c>
      <c r="J46" s="12">
        <v>46014.993113425924</v>
      </c>
      <c r="K46" s="10">
        <v>93</v>
      </c>
      <c r="L46" s="10" t="s">
        <v>25</v>
      </c>
      <c r="M46" s="10" t="s">
        <v>441</v>
      </c>
      <c r="N46" s="13">
        <f t="shared" si="0"/>
        <v>1.3166666666666667</v>
      </c>
      <c r="O46" s="14"/>
      <c r="P46" s="14"/>
      <c r="Q46" s="14" t="s">
        <v>438</v>
      </c>
      <c r="R46" s="14" t="s">
        <v>438</v>
      </c>
      <c r="S46" s="14" t="s">
        <v>927</v>
      </c>
      <c r="T46" s="14" t="s">
        <v>928</v>
      </c>
      <c r="U46" s="15">
        <v>1.9</v>
      </c>
      <c r="V46" s="10">
        <v>1</v>
      </c>
    </row>
    <row r="47" spans="1:22" ht="18" customHeight="1" x14ac:dyDescent="0.35">
      <c r="A47" s="10" t="s">
        <v>123</v>
      </c>
      <c r="B47" s="10" t="s">
        <v>3185</v>
      </c>
      <c r="C47" s="11" t="s">
        <v>2953</v>
      </c>
      <c r="D47" s="11" t="s">
        <v>74</v>
      </c>
      <c r="E47" s="12">
        <v>46014.956365740742</v>
      </c>
      <c r="F47" s="10" t="str">
        <f>TEXT(events[[#This Row],[Start Date]],"DDD")</f>
        <v>Tue</v>
      </c>
      <c r="G47" s="10">
        <f>YEAR(events[[#This Row],[Start Date]])</f>
        <v>2025</v>
      </c>
      <c r="H47" s="10" t="str">
        <f>TEXT(events[[#This Row],[Start Date]],"mmm")</f>
        <v>Dec</v>
      </c>
      <c r="I47" s="10" t="str">
        <f>CONCATENATE("WK_",WEEKNUM(events[[#This Row],[Start Date]]))</f>
        <v>WK_52</v>
      </c>
      <c r="J47" s="12">
        <v>46014.95716435185</v>
      </c>
      <c r="K47" s="10">
        <v>92</v>
      </c>
      <c r="L47" s="10" t="s">
        <v>25</v>
      </c>
      <c r="M47" s="10" t="s">
        <v>712</v>
      </c>
      <c r="N47" s="13">
        <f t="shared" si="0"/>
        <v>1.1499999999999999</v>
      </c>
      <c r="O47" s="14"/>
      <c r="P47" s="14"/>
      <c r="Q47" s="14" t="s">
        <v>923</v>
      </c>
      <c r="R47" s="14" t="s">
        <v>924</v>
      </c>
      <c r="S47" s="14" t="s">
        <v>925</v>
      </c>
      <c r="T47" s="14" t="s">
        <v>926</v>
      </c>
      <c r="U47" s="15">
        <v>1.7</v>
      </c>
      <c r="V47" s="10">
        <v>1</v>
      </c>
    </row>
    <row r="48" spans="1:22" ht="18" customHeight="1" x14ac:dyDescent="0.35">
      <c r="A48" s="10" t="s">
        <v>123</v>
      </c>
      <c r="B48" s="10" t="s">
        <v>3184</v>
      </c>
      <c r="C48" s="11" t="s">
        <v>2951</v>
      </c>
      <c r="D48" s="11" t="s">
        <v>74</v>
      </c>
      <c r="E48" s="12">
        <v>46014.534699074073</v>
      </c>
      <c r="F48" s="10" t="str">
        <f>TEXT(events[[#This Row],[Start Date]],"DDD")</f>
        <v>Tue</v>
      </c>
      <c r="G48" s="10">
        <f>YEAR(events[[#This Row],[Start Date]])</f>
        <v>2025</v>
      </c>
      <c r="H48" s="10" t="str">
        <f>TEXT(events[[#This Row],[Start Date]],"mmm")</f>
        <v>Dec</v>
      </c>
      <c r="I48" s="10" t="str">
        <f>CONCATENATE("WK_",WEEKNUM(events[[#This Row],[Start Date]]))</f>
        <v>WK_52</v>
      </c>
      <c r="J48" s="12">
        <v>46014.535219907404</v>
      </c>
      <c r="K48" s="10">
        <v>95</v>
      </c>
      <c r="L48" s="10" t="s">
        <v>25</v>
      </c>
      <c r="M48" s="10" t="s">
        <v>929</v>
      </c>
      <c r="N48" s="13">
        <f t="shared" si="0"/>
        <v>0.75</v>
      </c>
      <c r="O48" s="14"/>
      <c r="P48" s="14"/>
      <c r="Q48" s="14" t="s">
        <v>930</v>
      </c>
      <c r="R48" s="14" t="s">
        <v>129</v>
      </c>
      <c r="S48" s="14" t="s">
        <v>931</v>
      </c>
      <c r="T48" s="14" t="s">
        <v>932</v>
      </c>
      <c r="U48" s="15">
        <v>1.2</v>
      </c>
      <c r="V48" s="10">
        <v>1</v>
      </c>
    </row>
    <row r="49" spans="1:22" ht="18" customHeight="1" x14ac:dyDescent="0.35">
      <c r="A49" s="10" t="s">
        <v>86</v>
      </c>
      <c r="B49" s="10" t="s">
        <v>3188</v>
      </c>
      <c r="C49" s="11" t="s">
        <v>2952</v>
      </c>
      <c r="D49" s="11" t="s">
        <v>24</v>
      </c>
      <c r="E49" s="12">
        <v>46014.512152777781</v>
      </c>
      <c r="F49" s="10" t="str">
        <f>TEXT(events[[#This Row],[Start Date]],"DDD")</f>
        <v>Tue</v>
      </c>
      <c r="G49" s="10">
        <f>YEAR(events[[#This Row],[Start Date]])</f>
        <v>2025</v>
      </c>
      <c r="H49" s="10" t="str">
        <f>TEXT(events[[#This Row],[Start Date]],"mmm")</f>
        <v>Dec</v>
      </c>
      <c r="I49" s="10" t="str">
        <f>CONCATENATE("WK_",WEEKNUM(events[[#This Row],[Start Date]]))</f>
        <v>WK_52</v>
      </c>
      <c r="J49" s="12">
        <v>46014.512199074074</v>
      </c>
      <c r="K49" s="10">
        <v>32</v>
      </c>
      <c r="L49" s="10" t="s">
        <v>25</v>
      </c>
      <c r="M49" s="10" t="s">
        <v>275</v>
      </c>
      <c r="N49" s="13">
        <f t="shared" si="0"/>
        <v>6.6666666666666666E-2</v>
      </c>
      <c r="O49" s="14" t="s">
        <v>27</v>
      </c>
      <c r="P49" s="14" t="s">
        <v>27</v>
      </c>
      <c r="Q49" s="14" t="s">
        <v>312</v>
      </c>
      <c r="R49" s="14" t="s">
        <v>312</v>
      </c>
      <c r="S49" s="14" t="s">
        <v>876</v>
      </c>
      <c r="T49" s="14" t="s">
        <v>877</v>
      </c>
      <c r="U49" s="15">
        <v>0.10199999999999999</v>
      </c>
      <c r="V49" s="10">
        <v>1</v>
      </c>
    </row>
    <row r="50" spans="1:22" ht="18" customHeight="1" x14ac:dyDescent="0.35">
      <c r="A50" s="10" t="s">
        <v>86</v>
      </c>
      <c r="B50" s="10" t="s">
        <v>3188</v>
      </c>
      <c r="C50" s="11" t="s">
        <v>2952</v>
      </c>
      <c r="D50" s="11" t="s">
        <v>24</v>
      </c>
      <c r="E50" s="12">
        <v>46014.483587962961</v>
      </c>
      <c r="F50" s="10" t="str">
        <f>TEXT(events[[#This Row],[Start Date]],"DDD")</f>
        <v>Tue</v>
      </c>
      <c r="G50" s="10">
        <f>YEAR(events[[#This Row],[Start Date]])</f>
        <v>2025</v>
      </c>
      <c r="H50" s="10" t="str">
        <f>TEXT(events[[#This Row],[Start Date]],"mmm")</f>
        <v>Dec</v>
      </c>
      <c r="I50" s="10" t="str">
        <f>CONCATENATE("WK_",WEEKNUM(events[[#This Row],[Start Date]]))</f>
        <v>WK_52</v>
      </c>
      <c r="J50" s="12">
        <v>46014.483587962961</v>
      </c>
      <c r="K50" s="10">
        <v>33</v>
      </c>
      <c r="L50" s="10" t="s">
        <v>25</v>
      </c>
      <c r="M50" s="10" t="s">
        <v>87</v>
      </c>
      <c r="N50" s="13">
        <f t="shared" si="0"/>
        <v>0</v>
      </c>
      <c r="O50" s="14" t="s">
        <v>38</v>
      </c>
      <c r="P50" s="14" t="s">
        <v>38</v>
      </c>
      <c r="Q50" s="14" t="s">
        <v>501</v>
      </c>
      <c r="R50" s="14" t="s">
        <v>501</v>
      </c>
      <c r="S50" s="14" t="s">
        <v>875</v>
      </c>
      <c r="T50" s="14" t="s">
        <v>875</v>
      </c>
      <c r="U50" s="15">
        <v>0</v>
      </c>
      <c r="V50" s="10">
        <v>1</v>
      </c>
    </row>
    <row r="51" spans="1:22" ht="18" customHeight="1" x14ac:dyDescent="0.35">
      <c r="A51" s="10" t="s">
        <v>86</v>
      </c>
      <c r="B51" s="10" t="s">
        <v>3189</v>
      </c>
      <c r="C51" s="11" t="s">
        <v>2956</v>
      </c>
      <c r="D51" s="11" t="s">
        <v>24</v>
      </c>
      <c r="E51" s="12">
        <v>46013.896226851852</v>
      </c>
      <c r="F51" s="10" t="str">
        <f>TEXT(events[[#This Row],[Start Date]],"DDD")</f>
        <v>Mon</v>
      </c>
      <c r="G51" s="10">
        <f>YEAR(events[[#This Row],[Start Date]])</f>
        <v>2025</v>
      </c>
      <c r="H51" s="10" t="str">
        <f>TEXT(events[[#This Row],[Start Date]],"mmm")</f>
        <v>Dec</v>
      </c>
      <c r="I51" s="10" t="str">
        <f>CONCATENATE("WK_",WEEKNUM(events[[#This Row],[Start Date]]))</f>
        <v>WK_52</v>
      </c>
      <c r="J51" s="12">
        <v>46013.896261574075</v>
      </c>
      <c r="K51" s="10">
        <v>32</v>
      </c>
      <c r="L51" s="10" t="s">
        <v>25</v>
      </c>
      <c r="M51" s="10" t="s">
        <v>75</v>
      </c>
      <c r="N51" s="13">
        <f t="shared" si="0"/>
        <v>0.05</v>
      </c>
      <c r="O51" s="14" t="s">
        <v>92</v>
      </c>
      <c r="P51" s="14" t="s">
        <v>92</v>
      </c>
      <c r="Q51" s="14" t="s">
        <v>885</v>
      </c>
      <c r="R51" s="14" t="s">
        <v>885</v>
      </c>
      <c r="S51" s="14" t="s">
        <v>886</v>
      </c>
      <c r="T51" s="14" t="s">
        <v>887</v>
      </c>
      <c r="U51" s="15">
        <v>0</v>
      </c>
      <c r="V51" s="10">
        <v>1</v>
      </c>
    </row>
    <row r="52" spans="1:22" ht="18" customHeight="1" x14ac:dyDescent="0.35">
      <c r="A52" s="10" t="s">
        <v>86</v>
      </c>
      <c r="B52" s="10" t="s">
        <v>3188</v>
      </c>
      <c r="C52" s="11" t="s">
        <v>2952</v>
      </c>
      <c r="D52" s="11" t="s">
        <v>24</v>
      </c>
      <c r="E52" s="12">
        <v>46013.769375000003</v>
      </c>
      <c r="F52" s="10" t="str">
        <f>TEXT(events[[#This Row],[Start Date]],"DDD")</f>
        <v>Mon</v>
      </c>
      <c r="G52" s="10">
        <f>YEAR(events[[#This Row],[Start Date]])</f>
        <v>2025</v>
      </c>
      <c r="H52" s="10" t="str">
        <f>TEXT(events[[#This Row],[Start Date]],"mmm")</f>
        <v>Dec</v>
      </c>
      <c r="I52" s="10" t="str">
        <f>CONCATENATE("WK_",WEEKNUM(events[[#This Row],[Start Date]]))</f>
        <v>WK_52</v>
      </c>
      <c r="J52" s="12">
        <v>46013.769456018519</v>
      </c>
      <c r="K52" s="10">
        <v>33</v>
      </c>
      <c r="L52" s="10" t="s">
        <v>25</v>
      </c>
      <c r="M52" s="10" t="s">
        <v>115</v>
      </c>
      <c r="N52" s="13">
        <f t="shared" si="0"/>
        <v>0.11666666666666667</v>
      </c>
      <c r="O52" s="14" t="s">
        <v>108</v>
      </c>
      <c r="P52" s="14" t="s">
        <v>108</v>
      </c>
      <c r="Q52" s="14" t="s">
        <v>109</v>
      </c>
      <c r="R52" s="14" t="s">
        <v>109</v>
      </c>
      <c r="S52" s="14" t="s">
        <v>873</v>
      </c>
      <c r="T52" s="14" t="s">
        <v>874</v>
      </c>
      <c r="U52" s="15">
        <v>9.8000000000000004E-2</v>
      </c>
      <c r="V52" s="10">
        <v>1</v>
      </c>
    </row>
    <row r="53" spans="1:22" ht="18" customHeight="1" x14ac:dyDescent="0.35">
      <c r="A53" s="10" t="s">
        <v>86</v>
      </c>
      <c r="B53" s="10" t="s">
        <v>3188</v>
      </c>
      <c r="C53" s="11" t="s">
        <v>2952</v>
      </c>
      <c r="D53" s="11" t="s">
        <v>24</v>
      </c>
      <c r="E53" s="12">
        <v>46013.769097222219</v>
      </c>
      <c r="F53" s="10" t="str">
        <f>TEXT(events[[#This Row],[Start Date]],"DDD")</f>
        <v>Mon</v>
      </c>
      <c r="G53" s="10">
        <f>YEAR(events[[#This Row],[Start Date]])</f>
        <v>2025</v>
      </c>
      <c r="H53" s="10" t="str">
        <f>TEXT(events[[#This Row],[Start Date]],"mmm")</f>
        <v>Dec</v>
      </c>
      <c r="I53" s="10" t="str">
        <f>CONCATENATE("WK_",WEEKNUM(events[[#This Row],[Start Date]]))</f>
        <v>WK_52</v>
      </c>
      <c r="J53" s="12">
        <v>46013.769131944442</v>
      </c>
      <c r="K53" s="10">
        <v>32</v>
      </c>
      <c r="L53" s="10" t="s">
        <v>25</v>
      </c>
      <c r="M53" s="10" t="s">
        <v>75</v>
      </c>
      <c r="N53" s="13">
        <f t="shared" si="0"/>
        <v>0.05</v>
      </c>
      <c r="O53" s="14" t="s">
        <v>108</v>
      </c>
      <c r="P53" s="14" t="s">
        <v>108</v>
      </c>
      <c r="Q53" s="14" t="s">
        <v>109</v>
      </c>
      <c r="R53" s="14" t="s">
        <v>109</v>
      </c>
      <c r="S53" s="14" t="s">
        <v>871</v>
      </c>
      <c r="T53" s="14" t="s">
        <v>872</v>
      </c>
      <c r="U53" s="15">
        <v>0</v>
      </c>
      <c r="V53" s="10">
        <v>1</v>
      </c>
    </row>
    <row r="54" spans="1:22" ht="18" customHeight="1" x14ac:dyDescent="0.35">
      <c r="A54" s="10" t="s">
        <v>47</v>
      </c>
      <c r="B54" s="10" t="s">
        <v>3190</v>
      </c>
      <c r="C54" s="11" t="s">
        <v>2957</v>
      </c>
      <c r="D54" s="11" t="s">
        <v>678</v>
      </c>
      <c r="E54" s="12">
        <v>46013.693611111114</v>
      </c>
      <c r="F54" s="10" t="str">
        <f>TEXT(events[[#This Row],[Start Date]],"DDD")</f>
        <v>Mon</v>
      </c>
      <c r="G54" s="10">
        <f>YEAR(events[[#This Row],[Start Date]])</f>
        <v>2025</v>
      </c>
      <c r="H54" s="10" t="str">
        <f>TEXT(events[[#This Row],[Start Date]],"mmm")</f>
        <v>Dec</v>
      </c>
      <c r="I54" s="10" t="str">
        <f>CONCATENATE("WK_",WEEKNUM(events[[#This Row],[Start Date]]))</f>
        <v>WK_52</v>
      </c>
      <c r="J54" s="12">
        <v>46013.693611111114</v>
      </c>
      <c r="K54" s="10">
        <v>12</v>
      </c>
      <c r="L54" s="10" t="s">
        <v>83</v>
      </c>
      <c r="M54" s="10" t="s">
        <v>87</v>
      </c>
      <c r="N54" s="13">
        <f t="shared" si="0"/>
        <v>0</v>
      </c>
      <c r="O54" s="14" t="s">
        <v>27</v>
      </c>
      <c r="P54" s="14" t="s">
        <v>27</v>
      </c>
      <c r="Q54" s="14" t="s">
        <v>332</v>
      </c>
      <c r="R54" s="14" t="s">
        <v>332</v>
      </c>
      <c r="S54" s="14" t="s">
        <v>850</v>
      </c>
      <c r="T54" s="14" t="s">
        <v>850</v>
      </c>
      <c r="U54" s="15">
        <v>0</v>
      </c>
      <c r="V54" s="10">
        <v>1</v>
      </c>
    </row>
    <row r="55" spans="1:22" ht="18" customHeight="1" x14ac:dyDescent="0.35">
      <c r="A55" s="10" t="s">
        <v>86</v>
      </c>
      <c r="B55" s="10" t="s">
        <v>3188</v>
      </c>
      <c r="C55" s="11" t="s">
        <v>2952</v>
      </c>
      <c r="D55" s="11" t="s">
        <v>24</v>
      </c>
      <c r="E55" s="12">
        <v>46013.605451388888</v>
      </c>
      <c r="F55" s="10" t="str">
        <f>TEXT(events[[#This Row],[Start Date]],"DDD")</f>
        <v>Mon</v>
      </c>
      <c r="G55" s="10">
        <f>YEAR(events[[#This Row],[Start Date]])</f>
        <v>2025</v>
      </c>
      <c r="H55" s="10" t="str">
        <f>TEXT(events[[#This Row],[Start Date]],"mmm")</f>
        <v>Dec</v>
      </c>
      <c r="I55" s="10" t="str">
        <f>CONCATENATE("WK_",WEEKNUM(events[[#This Row],[Start Date]]))</f>
        <v>WK_52</v>
      </c>
      <c r="J55" s="12">
        <v>46013.605578703704</v>
      </c>
      <c r="K55" s="10">
        <v>33</v>
      </c>
      <c r="L55" s="10" t="s">
        <v>25</v>
      </c>
      <c r="M55" s="10" t="s">
        <v>212</v>
      </c>
      <c r="N55" s="13">
        <f t="shared" si="0"/>
        <v>0.18333333333333332</v>
      </c>
      <c r="O55" s="14" t="s">
        <v>108</v>
      </c>
      <c r="P55" s="14" t="s">
        <v>108</v>
      </c>
      <c r="Q55" s="14" t="s">
        <v>868</v>
      </c>
      <c r="R55" s="14" t="s">
        <v>868</v>
      </c>
      <c r="S55" s="14" t="s">
        <v>869</v>
      </c>
      <c r="T55" s="14" t="s">
        <v>870</v>
      </c>
      <c r="U55" s="15">
        <v>0.10199999999999999</v>
      </c>
      <c r="V55" s="10">
        <v>1</v>
      </c>
    </row>
    <row r="56" spans="1:22" ht="18" customHeight="1" x14ac:dyDescent="0.35">
      <c r="A56" s="10" t="s">
        <v>86</v>
      </c>
      <c r="B56" s="10" t="s">
        <v>3183</v>
      </c>
      <c r="C56" s="11" t="s">
        <v>2950</v>
      </c>
      <c r="D56" s="11" t="s">
        <v>24</v>
      </c>
      <c r="E56" s="12">
        <v>46013.558923611112</v>
      </c>
      <c r="F56" s="10" t="str">
        <f>TEXT(events[[#This Row],[Start Date]],"DDD")</f>
        <v>Mon</v>
      </c>
      <c r="G56" s="10">
        <f>YEAR(events[[#This Row],[Start Date]])</f>
        <v>2025</v>
      </c>
      <c r="H56" s="10" t="str">
        <f>TEXT(events[[#This Row],[Start Date]],"mmm")</f>
        <v>Dec</v>
      </c>
      <c r="I56" s="10" t="str">
        <f>CONCATENATE("WK_",WEEKNUM(events[[#This Row],[Start Date]]))</f>
        <v>WK_52</v>
      </c>
      <c r="J56" s="12">
        <v>46013.558935185189</v>
      </c>
      <c r="K56" s="10">
        <v>33</v>
      </c>
      <c r="L56" s="10" t="s">
        <v>25</v>
      </c>
      <c r="M56" s="10" t="s">
        <v>26</v>
      </c>
      <c r="N56" s="13">
        <f t="shared" si="0"/>
        <v>1.6666666666666666E-2</v>
      </c>
      <c r="O56" s="14" t="s">
        <v>27</v>
      </c>
      <c r="P56" s="14" t="s">
        <v>27</v>
      </c>
      <c r="Q56" s="14" t="s">
        <v>888</v>
      </c>
      <c r="R56" s="14" t="s">
        <v>889</v>
      </c>
      <c r="S56" s="14" t="s">
        <v>890</v>
      </c>
      <c r="T56" s="14" t="s">
        <v>891</v>
      </c>
      <c r="U56" s="15">
        <v>0</v>
      </c>
      <c r="V56" s="10">
        <v>1</v>
      </c>
    </row>
    <row r="57" spans="1:22" ht="18" customHeight="1" x14ac:dyDescent="0.35">
      <c r="A57" s="10" t="s">
        <v>86</v>
      </c>
      <c r="B57" s="10" t="s">
        <v>3188</v>
      </c>
      <c r="C57" s="11" t="s">
        <v>2952</v>
      </c>
      <c r="D57" s="11" t="s">
        <v>24</v>
      </c>
      <c r="E57" s="12">
        <v>46013.551030092596</v>
      </c>
      <c r="F57" s="10" t="str">
        <f>TEXT(events[[#This Row],[Start Date]],"DDD")</f>
        <v>Mon</v>
      </c>
      <c r="G57" s="10">
        <f>YEAR(events[[#This Row],[Start Date]])</f>
        <v>2025</v>
      </c>
      <c r="H57" s="10" t="str">
        <f>TEXT(events[[#This Row],[Start Date]],"mmm")</f>
        <v>Dec</v>
      </c>
      <c r="I57" s="10" t="str">
        <f>CONCATENATE("WK_",WEEKNUM(events[[#This Row],[Start Date]]))</f>
        <v>WK_52</v>
      </c>
      <c r="J57" s="12">
        <v>46013.551203703704</v>
      </c>
      <c r="K57" s="10">
        <v>34</v>
      </c>
      <c r="L57" s="10" t="s">
        <v>25</v>
      </c>
      <c r="M57" s="10" t="s">
        <v>394</v>
      </c>
      <c r="N57" s="13">
        <f t="shared" si="0"/>
        <v>0.25</v>
      </c>
      <c r="O57" s="14" t="s">
        <v>861</v>
      </c>
      <c r="P57" s="14" t="s">
        <v>861</v>
      </c>
      <c r="Q57" s="14" t="s">
        <v>865</v>
      </c>
      <c r="R57" s="14" t="s">
        <v>865</v>
      </c>
      <c r="S57" s="14" t="s">
        <v>866</v>
      </c>
      <c r="T57" s="14" t="s">
        <v>867</v>
      </c>
      <c r="U57" s="15">
        <v>9.8000000000000004E-2</v>
      </c>
      <c r="V57" s="10">
        <v>1</v>
      </c>
    </row>
    <row r="58" spans="1:22" ht="18" customHeight="1" x14ac:dyDescent="0.35">
      <c r="A58" s="10" t="s">
        <v>86</v>
      </c>
      <c r="B58" s="10" t="s">
        <v>3188</v>
      </c>
      <c r="C58" s="11" t="s">
        <v>2952</v>
      </c>
      <c r="D58" s="11" t="s">
        <v>24</v>
      </c>
      <c r="E58" s="12">
        <v>46013.54791666667</v>
      </c>
      <c r="F58" s="10" t="str">
        <f>TEXT(events[[#This Row],[Start Date]],"DDD")</f>
        <v>Mon</v>
      </c>
      <c r="G58" s="10">
        <f>YEAR(events[[#This Row],[Start Date]])</f>
        <v>2025</v>
      </c>
      <c r="H58" s="10" t="str">
        <f>TEXT(events[[#This Row],[Start Date]],"mmm")</f>
        <v>Dec</v>
      </c>
      <c r="I58" s="10" t="str">
        <f>CONCATENATE("WK_",WEEKNUM(events[[#This Row],[Start Date]]))</f>
        <v>WK_52</v>
      </c>
      <c r="J58" s="12">
        <v>46013.547951388886</v>
      </c>
      <c r="K58" s="10">
        <v>33</v>
      </c>
      <c r="L58" s="10" t="s">
        <v>25</v>
      </c>
      <c r="M58" s="10" t="s">
        <v>75</v>
      </c>
      <c r="N58" s="13">
        <f t="shared" si="0"/>
        <v>0.05</v>
      </c>
      <c r="O58" s="14" t="s">
        <v>861</v>
      </c>
      <c r="P58" s="14" t="s">
        <v>861</v>
      </c>
      <c r="Q58" s="14" t="s">
        <v>862</v>
      </c>
      <c r="R58" s="14" t="s">
        <v>862</v>
      </c>
      <c r="S58" s="14" t="s">
        <v>863</v>
      </c>
      <c r="T58" s="14" t="s">
        <v>864</v>
      </c>
      <c r="U58" s="15">
        <v>0</v>
      </c>
      <c r="V58" s="10">
        <v>1</v>
      </c>
    </row>
    <row r="59" spans="1:22" ht="18" customHeight="1" x14ac:dyDescent="0.35">
      <c r="A59" s="10" t="s">
        <v>47</v>
      </c>
      <c r="B59" s="10" t="s">
        <v>3190</v>
      </c>
      <c r="C59" s="11" t="s">
        <v>2957</v>
      </c>
      <c r="D59" s="11" t="s">
        <v>678</v>
      </c>
      <c r="E59" s="12">
        <v>46013.533553240741</v>
      </c>
      <c r="F59" s="10" t="str">
        <f>TEXT(events[[#This Row],[Start Date]],"DDD")</f>
        <v>Mon</v>
      </c>
      <c r="G59" s="10">
        <f>YEAR(events[[#This Row],[Start Date]])</f>
        <v>2025</v>
      </c>
      <c r="H59" s="10" t="str">
        <f>TEXT(events[[#This Row],[Start Date]],"mmm")</f>
        <v>Dec</v>
      </c>
      <c r="I59" s="10" t="str">
        <f>CONCATENATE("WK_",WEEKNUM(events[[#This Row],[Start Date]]))</f>
        <v>WK_52</v>
      </c>
      <c r="J59" s="12">
        <v>46013.533553240741</v>
      </c>
      <c r="K59" s="10">
        <v>11</v>
      </c>
      <c r="L59" s="10" t="s">
        <v>83</v>
      </c>
      <c r="M59" s="10" t="s">
        <v>87</v>
      </c>
      <c r="N59" s="13">
        <f t="shared" si="0"/>
        <v>0</v>
      </c>
      <c r="O59" s="14" t="s">
        <v>92</v>
      </c>
      <c r="P59" s="14" t="s">
        <v>92</v>
      </c>
      <c r="Q59" s="14" t="s">
        <v>332</v>
      </c>
      <c r="R59" s="14" t="s">
        <v>332</v>
      </c>
      <c r="S59" s="14" t="s">
        <v>849</v>
      </c>
      <c r="T59" s="14" t="s">
        <v>849</v>
      </c>
      <c r="U59" s="15">
        <v>0</v>
      </c>
      <c r="V59" s="10">
        <v>1</v>
      </c>
    </row>
    <row r="60" spans="1:22" ht="18" customHeight="1" x14ac:dyDescent="0.35">
      <c r="A60" s="10" t="s">
        <v>123</v>
      </c>
      <c r="B60" s="10" t="s">
        <v>3179</v>
      </c>
      <c r="C60" s="11" t="s">
        <v>2946</v>
      </c>
      <c r="D60" s="11" t="s">
        <v>74</v>
      </c>
      <c r="E60" s="12">
        <v>46013.046793981484</v>
      </c>
      <c r="F60" s="10" t="str">
        <f>TEXT(events[[#This Row],[Start Date]],"DDD")</f>
        <v>Mon</v>
      </c>
      <c r="G60" s="10">
        <f>YEAR(events[[#This Row],[Start Date]])</f>
        <v>2025</v>
      </c>
      <c r="H60" s="10" t="str">
        <f>TEXT(events[[#This Row],[Start Date]],"mmm")</f>
        <v>Dec</v>
      </c>
      <c r="I60" s="10" t="str">
        <f>CONCATENATE("WK_",WEEKNUM(events[[#This Row],[Start Date]]))</f>
        <v>WK_52</v>
      </c>
      <c r="J60" s="12">
        <v>46013.048530092594</v>
      </c>
      <c r="K60" s="10">
        <v>98</v>
      </c>
      <c r="L60" s="10" t="s">
        <v>25</v>
      </c>
      <c r="M60" s="10" t="s">
        <v>892</v>
      </c>
      <c r="N60" s="13">
        <f t="shared" si="0"/>
        <v>2.5</v>
      </c>
      <c r="O60" s="14"/>
      <c r="P60" s="14"/>
      <c r="Q60" s="14" t="s">
        <v>801</v>
      </c>
      <c r="R60" s="14" t="s">
        <v>801</v>
      </c>
      <c r="S60" s="14" t="s">
        <v>893</v>
      </c>
      <c r="T60" s="14" t="s">
        <v>894</v>
      </c>
      <c r="U60" s="15">
        <v>3.8</v>
      </c>
      <c r="V60" s="10">
        <v>1</v>
      </c>
    </row>
    <row r="61" spans="1:22" ht="18" customHeight="1" x14ac:dyDescent="0.35">
      <c r="A61" s="10" t="s">
        <v>47</v>
      </c>
      <c r="B61" s="10" t="s">
        <v>3191</v>
      </c>
      <c r="C61" s="11" t="s">
        <v>2958</v>
      </c>
      <c r="D61" s="11" t="s">
        <v>82</v>
      </c>
      <c r="E61" s="12">
        <v>46012.821701388886</v>
      </c>
      <c r="F61" s="10" t="str">
        <f>TEXT(events[[#This Row],[Start Date]],"DDD")</f>
        <v>Sun</v>
      </c>
      <c r="G61" s="10">
        <f>YEAR(events[[#This Row],[Start Date]])</f>
        <v>2025</v>
      </c>
      <c r="H61" s="10" t="str">
        <f>TEXT(events[[#This Row],[Start Date]],"mmm")</f>
        <v>Dec</v>
      </c>
      <c r="I61" s="10" t="str">
        <f>CONCATENATE("WK_",WEEKNUM(events[[#This Row],[Start Date]]))</f>
        <v>WK_52</v>
      </c>
      <c r="J61" s="12">
        <v>46012.821712962963</v>
      </c>
      <c r="K61" s="10">
        <v>17</v>
      </c>
      <c r="L61" s="10" t="s">
        <v>83</v>
      </c>
      <c r="M61" s="10" t="s">
        <v>26</v>
      </c>
      <c r="N61" s="13">
        <f t="shared" si="0"/>
        <v>1.6666666666666666E-2</v>
      </c>
      <c r="O61" s="14" t="s">
        <v>27</v>
      </c>
      <c r="P61" s="14"/>
      <c r="Q61" s="14" t="s">
        <v>847</v>
      </c>
      <c r="R61" s="14"/>
      <c r="S61" s="14" t="s">
        <v>848</v>
      </c>
      <c r="T61" s="14"/>
      <c r="U61" s="15">
        <v>0</v>
      </c>
      <c r="V61" s="10">
        <v>1</v>
      </c>
    </row>
    <row r="62" spans="1:22" ht="18" customHeight="1" x14ac:dyDescent="0.35">
      <c r="A62" s="10" t="s">
        <v>123</v>
      </c>
      <c r="B62" s="10" t="s">
        <v>3192</v>
      </c>
      <c r="C62" s="11" t="s">
        <v>2959</v>
      </c>
      <c r="D62" s="11" t="s">
        <v>74</v>
      </c>
      <c r="E62" s="12">
        <v>46012.778043981481</v>
      </c>
      <c r="F62" s="10" t="str">
        <f>TEXT(events[[#This Row],[Start Date]],"DDD")</f>
        <v>Sun</v>
      </c>
      <c r="G62" s="10">
        <f>YEAR(events[[#This Row],[Start Date]])</f>
        <v>2025</v>
      </c>
      <c r="H62" s="10" t="str">
        <f>TEXT(events[[#This Row],[Start Date]],"mmm")</f>
        <v>Dec</v>
      </c>
      <c r="I62" s="10" t="str">
        <f>CONCATENATE("WK_",WEEKNUM(events[[#This Row],[Start Date]]))</f>
        <v>WK_52</v>
      </c>
      <c r="J62" s="12">
        <v>46012.779085648152</v>
      </c>
      <c r="K62" s="10">
        <v>94</v>
      </c>
      <c r="L62" s="10" t="s">
        <v>25</v>
      </c>
      <c r="M62" s="10" t="s">
        <v>900</v>
      </c>
      <c r="N62" s="13">
        <f t="shared" si="0"/>
        <v>1.4833333333333334</v>
      </c>
      <c r="O62" s="14"/>
      <c r="P62" s="14"/>
      <c r="Q62" s="14" t="s">
        <v>304</v>
      </c>
      <c r="R62" s="14" t="s">
        <v>304</v>
      </c>
      <c r="S62" s="14" t="s">
        <v>901</v>
      </c>
      <c r="T62" s="14" t="s">
        <v>902</v>
      </c>
      <c r="U62" s="15">
        <v>2.1</v>
      </c>
      <c r="V62" s="10">
        <v>1</v>
      </c>
    </row>
    <row r="63" spans="1:22" ht="18" customHeight="1" x14ac:dyDescent="0.35">
      <c r="A63" s="10" t="s">
        <v>47</v>
      </c>
      <c r="B63" s="10" t="s">
        <v>3186</v>
      </c>
      <c r="C63" s="11" t="s">
        <v>2954</v>
      </c>
      <c r="D63" s="11" t="s">
        <v>24</v>
      </c>
      <c r="E63" s="12">
        <v>46012.743564814817</v>
      </c>
      <c r="F63" s="10" t="str">
        <f>TEXT(events[[#This Row],[Start Date]],"DDD")</f>
        <v>Sun</v>
      </c>
      <c r="G63" s="10">
        <f>YEAR(events[[#This Row],[Start Date]])</f>
        <v>2025</v>
      </c>
      <c r="H63" s="10" t="str">
        <f>TEXT(events[[#This Row],[Start Date]],"mmm")</f>
        <v>Dec</v>
      </c>
      <c r="I63" s="10" t="str">
        <f>CONCATENATE("WK_",WEEKNUM(events[[#This Row],[Start Date]]))</f>
        <v>WK_52</v>
      </c>
      <c r="J63" s="12">
        <v>46012.743923611109</v>
      </c>
      <c r="K63" s="10">
        <v>79</v>
      </c>
      <c r="L63" s="10" t="s">
        <v>25</v>
      </c>
      <c r="M63" s="10" t="s">
        <v>838</v>
      </c>
      <c r="N63" s="13">
        <f t="shared" si="0"/>
        <v>0.51666666666666672</v>
      </c>
      <c r="O63" s="14" t="s">
        <v>231</v>
      </c>
      <c r="P63" s="14" t="s">
        <v>65</v>
      </c>
      <c r="Q63" s="14" t="s">
        <v>839</v>
      </c>
      <c r="R63" s="14" t="s">
        <v>840</v>
      </c>
      <c r="S63" s="14" t="s">
        <v>841</v>
      </c>
      <c r="T63" s="14" t="s">
        <v>842</v>
      </c>
      <c r="U63" s="15">
        <v>0.68799999999999994</v>
      </c>
      <c r="V63" s="10">
        <v>1</v>
      </c>
    </row>
    <row r="64" spans="1:22" ht="18" customHeight="1" x14ac:dyDescent="0.35">
      <c r="A64" s="10" t="s">
        <v>86</v>
      </c>
      <c r="B64" s="10" t="s">
        <v>3188</v>
      </c>
      <c r="C64" s="11" t="s">
        <v>2952</v>
      </c>
      <c r="D64" s="11" t="s">
        <v>24</v>
      </c>
      <c r="E64" s="12">
        <v>46012.592106481483</v>
      </c>
      <c r="F64" s="10" t="str">
        <f>TEXT(events[[#This Row],[Start Date]],"DDD")</f>
        <v>Sun</v>
      </c>
      <c r="G64" s="10">
        <f>YEAR(events[[#This Row],[Start Date]])</f>
        <v>2025</v>
      </c>
      <c r="H64" s="10" t="str">
        <f>TEXT(events[[#This Row],[Start Date]],"mmm")</f>
        <v>Dec</v>
      </c>
      <c r="I64" s="10" t="str">
        <f>CONCATENATE("WK_",WEEKNUM(events[[#This Row],[Start Date]]))</f>
        <v>WK_52</v>
      </c>
      <c r="J64" s="12">
        <v>46012.592141203706</v>
      </c>
      <c r="K64" s="10">
        <v>34</v>
      </c>
      <c r="L64" s="10" t="s">
        <v>25</v>
      </c>
      <c r="M64" s="10" t="s">
        <v>75</v>
      </c>
      <c r="N64" s="13">
        <f t="shared" si="0"/>
        <v>0.05</v>
      </c>
      <c r="O64" s="14" t="s">
        <v>108</v>
      </c>
      <c r="P64" s="14" t="s">
        <v>108</v>
      </c>
      <c r="Q64" s="14" t="s">
        <v>858</v>
      </c>
      <c r="R64" s="14" t="s">
        <v>858</v>
      </c>
      <c r="S64" s="14" t="s">
        <v>859</v>
      </c>
      <c r="T64" s="14" t="s">
        <v>860</v>
      </c>
      <c r="U64" s="15">
        <v>0</v>
      </c>
      <c r="V64" s="10">
        <v>1</v>
      </c>
    </row>
    <row r="65" spans="1:22" ht="18" customHeight="1" x14ac:dyDescent="0.35">
      <c r="A65" s="10" t="s">
        <v>86</v>
      </c>
      <c r="B65" s="10" t="s">
        <v>3193</v>
      </c>
      <c r="C65" s="11" t="s">
        <v>2960</v>
      </c>
      <c r="D65" s="11" t="s">
        <v>24</v>
      </c>
      <c r="E65" s="12">
        <v>46012.486875000002</v>
      </c>
      <c r="F65" s="10" t="str">
        <f>TEXT(events[[#This Row],[Start Date]],"DDD")</f>
        <v>Sun</v>
      </c>
      <c r="G65" s="10">
        <f>YEAR(events[[#This Row],[Start Date]])</f>
        <v>2025</v>
      </c>
      <c r="H65" s="10" t="str">
        <f>TEXT(events[[#This Row],[Start Date]],"mmm")</f>
        <v>Dec</v>
      </c>
      <c r="I65" s="10" t="str">
        <f>CONCATENATE("WK_",WEEKNUM(events[[#This Row],[Start Date]]))</f>
        <v>WK_52</v>
      </c>
      <c r="J65" s="12">
        <v>46012.486875000002</v>
      </c>
      <c r="K65" s="10">
        <v>37</v>
      </c>
      <c r="L65" s="10" t="s">
        <v>25</v>
      </c>
      <c r="M65" s="10" t="s">
        <v>87</v>
      </c>
      <c r="N65" s="13">
        <f t="shared" si="0"/>
        <v>0</v>
      </c>
      <c r="O65" s="14" t="s">
        <v>861</v>
      </c>
      <c r="P65" s="14" t="s">
        <v>861</v>
      </c>
      <c r="Q65" s="14" t="s">
        <v>883</v>
      </c>
      <c r="R65" s="14" t="s">
        <v>883</v>
      </c>
      <c r="S65" s="14" t="s">
        <v>884</v>
      </c>
      <c r="T65" s="14" t="s">
        <v>884</v>
      </c>
      <c r="U65" s="15">
        <v>0</v>
      </c>
      <c r="V65" s="10">
        <v>1</v>
      </c>
    </row>
    <row r="66" spans="1:22" ht="18" customHeight="1" x14ac:dyDescent="0.35">
      <c r="A66" s="10" t="s">
        <v>123</v>
      </c>
      <c r="B66" s="10" t="s">
        <v>3194</v>
      </c>
      <c r="C66" s="11" t="s">
        <v>2961</v>
      </c>
      <c r="D66" s="11" t="s">
        <v>74</v>
      </c>
      <c r="E66" s="12">
        <v>46012.305046296293</v>
      </c>
      <c r="F66" s="10" t="str">
        <f>TEXT(events[[#This Row],[Start Date]],"DDD")</f>
        <v>Sun</v>
      </c>
      <c r="G66" s="10">
        <f>YEAR(events[[#This Row],[Start Date]])</f>
        <v>2025</v>
      </c>
      <c r="H66" s="10" t="str">
        <f>TEXT(events[[#This Row],[Start Date]],"mmm")</f>
        <v>Dec</v>
      </c>
      <c r="I66" s="10" t="str">
        <f>CONCATENATE("WK_",WEEKNUM(events[[#This Row],[Start Date]]))</f>
        <v>WK_52</v>
      </c>
      <c r="J66" s="12">
        <v>46012.307939814818</v>
      </c>
      <c r="K66" s="10">
        <v>86</v>
      </c>
      <c r="L66" s="10" t="s">
        <v>25</v>
      </c>
      <c r="M66" s="10" t="s">
        <v>897</v>
      </c>
      <c r="N66" s="13">
        <f t="shared" ref="N66:N129" si="1">HOUR(M66)*60+MINUTE(M66)+SECOND(M66)/60</f>
        <v>4.166666666666667</v>
      </c>
      <c r="O66" s="14"/>
      <c r="P66" s="14"/>
      <c r="Q66" s="14" t="s">
        <v>451</v>
      </c>
      <c r="R66" s="14" t="s">
        <v>451</v>
      </c>
      <c r="S66" s="14" t="s">
        <v>898</v>
      </c>
      <c r="T66" s="14" t="s">
        <v>899</v>
      </c>
      <c r="U66" s="15">
        <v>5.8</v>
      </c>
      <c r="V66" s="10">
        <v>1</v>
      </c>
    </row>
    <row r="67" spans="1:22" ht="18" customHeight="1" x14ac:dyDescent="0.35">
      <c r="A67" s="10" t="s">
        <v>123</v>
      </c>
      <c r="B67" s="10" t="s">
        <v>3195</v>
      </c>
      <c r="C67" s="11" t="s">
        <v>2962</v>
      </c>
      <c r="D67" s="11" t="s">
        <v>74</v>
      </c>
      <c r="E67" s="12">
        <v>46011.888784722221</v>
      </c>
      <c r="F67" s="10" t="str">
        <f>TEXT(events[[#This Row],[Start Date]],"DDD")</f>
        <v>Sat</v>
      </c>
      <c r="G67" s="10">
        <f>YEAR(events[[#This Row],[Start Date]])</f>
        <v>2025</v>
      </c>
      <c r="H67" s="10" t="str">
        <f>TEXT(events[[#This Row],[Start Date]],"mmm")</f>
        <v>Dec</v>
      </c>
      <c r="I67" s="10" t="str">
        <f>CONCATENATE("WK_",WEEKNUM(events[[#This Row],[Start Date]]))</f>
        <v>WK_51</v>
      </c>
      <c r="J67" s="12">
        <v>46011.889097222222</v>
      </c>
      <c r="K67" s="10">
        <v>90</v>
      </c>
      <c r="L67" s="10" t="s">
        <v>25</v>
      </c>
      <c r="M67" s="10" t="s">
        <v>222</v>
      </c>
      <c r="N67" s="13">
        <f t="shared" si="1"/>
        <v>0.43333333333333335</v>
      </c>
      <c r="O67" s="14"/>
      <c r="P67" s="14"/>
      <c r="Q67" s="14" t="s">
        <v>657</v>
      </c>
      <c r="R67" s="14" t="s">
        <v>657</v>
      </c>
      <c r="S67" s="14" t="s">
        <v>895</v>
      </c>
      <c r="T67" s="14" t="s">
        <v>896</v>
      </c>
      <c r="U67" s="15">
        <v>0.7</v>
      </c>
      <c r="V67" s="10">
        <v>1</v>
      </c>
    </row>
    <row r="68" spans="1:22" ht="18" customHeight="1" x14ac:dyDescent="0.35">
      <c r="A68" s="10" t="s">
        <v>123</v>
      </c>
      <c r="B68" s="10" t="s">
        <v>3160</v>
      </c>
      <c r="C68" s="11" t="s">
        <v>2926</v>
      </c>
      <c r="D68" s="11" t="s">
        <v>74</v>
      </c>
      <c r="E68" s="12">
        <v>46010.726875</v>
      </c>
      <c r="F68" s="10" t="str">
        <f>TEXT(events[[#This Row],[Start Date]],"DDD")</f>
        <v>Fri</v>
      </c>
      <c r="G68" s="10">
        <f>YEAR(events[[#This Row],[Start Date]])</f>
        <v>2025</v>
      </c>
      <c r="H68" s="10" t="str">
        <f>TEXT(events[[#This Row],[Start Date]],"mmm")</f>
        <v>Dec</v>
      </c>
      <c r="I68" s="10" t="str">
        <f>CONCATENATE("WK_",WEEKNUM(events[[#This Row],[Start Date]]))</f>
        <v>WK_51</v>
      </c>
      <c r="J68" s="12">
        <v>46010.727453703701</v>
      </c>
      <c r="K68" s="10">
        <v>94</v>
      </c>
      <c r="L68" s="10" t="s">
        <v>25</v>
      </c>
      <c r="M68" s="10" t="s">
        <v>489</v>
      </c>
      <c r="N68" s="13">
        <f t="shared" si="1"/>
        <v>0.81666666666666665</v>
      </c>
      <c r="O68" s="14"/>
      <c r="P68" s="14"/>
      <c r="Q68" s="14" t="s">
        <v>174</v>
      </c>
      <c r="R68" s="14" t="s">
        <v>174</v>
      </c>
      <c r="S68" s="14" t="s">
        <v>910</v>
      </c>
      <c r="T68" s="14" t="s">
        <v>911</v>
      </c>
      <c r="U68" s="15">
        <v>1.2</v>
      </c>
      <c r="V68" s="10">
        <v>1</v>
      </c>
    </row>
    <row r="69" spans="1:22" ht="18" customHeight="1" x14ac:dyDescent="0.35">
      <c r="A69" s="10" t="s">
        <v>47</v>
      </c>
      <c r="B69" s="10" t="s">
        <v>3159</v>
      </c>
      <c r="C69" s="11" t="s">
        <v>2925</v>
      </c>
      <c r="D69" s="11" t="s">
        <v>24</v>
      </c>
      <c r="E69" s="12">
        <v>46010.6016087963</v>
      </c>
      <c r="F69" s="10" t="str">
        <f>TEXT(events[[#This Row],[Start Date]],"DDD")</f>
        <v>Fri</v>
      </c>
      <c r="G69" s="10">
        <f>YEAR(events[[#This Row],[Start Date]])</f>
        <v>2025</v>
      </c>
      <c r="H69" s="10" t="str">
        <f>TEXT(events[[#This Row],[Start Date]],"mmm")</f>
        <v>Dec</v>
      </c>
      <c r="I69" s="10" t="str">
        <f>CONCATENATE("WK_",WEEKNUM(events[[#This Row],[Start Date]]))</f>
        <v>WK_51</v>
      </c>
      <c r="J69" s="12">
        <v>46010.601655092592</v>
      </c>
      <c r="K69" s="10">
        <v>45</v>
      </c>
      <c r="L69" s="10" t="s">
        <v>25</v>
      </c>
      <c r="M69" s="10" t="s">
        <v>275</v>
      </c>
      <c r="N69" s="13">
        <f t="shared" si="1"/>
        <v>6.6666666666666666E-2</v>
      </c>
      <c r="O69" s="14" t="s">
        <v>108</v>
      </c>
      <c r="P69" s="14" t="s">
        <v>108</v>
      </c>
      <c r="Q69" s="14" t="s">
        <v>851</v>
      </c>
      <c r="R69" s="14" t="s">
        <v>852</v>
      </c>
      <c r="S69" s="14" t="s">
        <v>853</v>
      </c>
      <c r="T69" s="14" t="s">
        <v>854</v>
      </c>
      <c r="U69" s="15">
        <v>0</v>
      </c>
      <c r="V69" s="10">
        <v>1</v>
      </c>
    </row>
    <row r="70" spans="1:22" ht="18" customHeight="1" x14ac:dyDescent="0.35">
      <c r="A70" s="10" t="s">
        <v>123</v>
      </c>
      <c r="B70" s="10" t="s">
        <v>3161</v>
      </c>
      <c r="C70" s="11" t="s">
        <v>2927</v>
      </c>
      <c r="D70" s="11" t="s">
        <v>74</v>
      </c>
      <c r="E70" s="12">
        <v>46010.547476851854</v>
      </c>
      <c r="F70" s="10" t="str">
        <f>TEXT(events[[#This Row],[Start Date]],"DDD")</f>
        <v>Fri</v>
      </c>
      <c r="G70" s="10">
        <f>YEAR(events[[#This Row],[Start Date]])</f>
        <v>2025</v>
      </c>
      <c r="H70" s="10" t="str">
        <f>TEXT(events[[#This Row],[Start Date]],"mmm")</f>
        <v>Dec</v>
      </c>
      <c r="I70" s="10" t="str">
        <f>CONCATENATE("WK_",WEEKNUM(events[[#This Row],[Start Date]]))</f>
        <v>WK_51</v>
      </c>
      <c r="J70" s="12">
        <v>46010.54828703704</v>
      </c>
      <c r="K70" s="10">
        <v>93</v>
      </c>
      <c r="L70" s="10" t="s">
        <v>25</v>
      </c>
      <c r="M70" s="10" t="s">
        <v>712</v>
      </c>
      <c r="N70" s="13">
        <f t="shared" si="1"/>
        <v>1.1499999999999999</v>
      </c>
      <c r="O70" s="14"/>
      <c r="P70" s="14"/>
      <c r="Q70" s="14" t="s">
        <v>805</v>
      </c>
      <c r="R70" s="14" t="s">
        <v>805</v>
      </c>
      <c r="S70" s="14" t="s">
        <v>908</v>
      </c>
      <c r="T70" s="14" t="s">
        <v>909</v>
      </c>
      <c r="U70" s="15">
        <v>1.7</v>
      </c>
      <c r="V70" s="10">
        <v>1</v>
      </c>
    </row>
    <row r="71" spans="1:22" ht="18" customHeight="1" x14ac:dyDescent="0.35">
      <c r="A71" s="10" t="s">
        <v>23</v>
      </c>
      <c r="B71" s="10" t="s">
        <v>3196</v>
      </c>
      <c r="C71" s="11" t="s">
        <v>2963</v>
      </c>
      <c r="D71" s="11" t="s">
        <v>24</v>
      </c>
      <c r="E71" s="12">
        <v>46010.450057870374</v>
      </c>
      <c r="F71" s="10" t="str">
        <f>TEXT(events[[#This Row],[Start Date]],"DDD")</f>
        <v>Fri</v>
      </c>
      <c r="G71" s="10">
        <f>YEAR(events[[#This Row],[Start Date]])</f>
        <v>2025</v>
      </c>
      <c r="H71" s="10" t="str">
        <f>TEXT(events[[#This Row],[Start Date]],"mmm")</f>
        <v>Dec</v>
      </c>
      <c r="I71" s="10" t="str">
        <f>CONCATENATE("WK_",WEEKNUM(events[[#This Row],[Start Date]]))</f>
        <v>WK_51</v>
      </c>
      <c r="J71" s="12">
        <v>46010.450069444443</v>
      </c>
      <c r="K71" s="10">
        <v>33</v>
      </c>
      <c r="L71" s="10" t="s">
        <v>25</v>
      </c>
      <c r="M71" s="10" t="s">
        <v>26</v>
      </c>
      <c r="N71" s="13">
        <f t="shared" si="1"/>
        <v>1.6666666666666666E-2</v>
      </c>
      <c r="O71" s="14" t="s">
        <v>50</v>
      </c>
      <c r="P71" s="14" t="s">
        <v>50</v>
      </c>
      <c r="Q71" s="14" t="s">
        <v>534</v>
      </c>
      <c r="R71" s="14" t="s">
        <v>534</v>
      </c>
      <c r="S71" s="14" t="s">
        <v>834</v>
      </c>
      <c r="T71" s="14" t="s">
        <v>835</v>
      </c>
      <c r="U71" s="15">
        <v>0</v>
      </c>
      <c r="V71" s="10">
        <v>1</v>
      </c>
    </row>
    <row r="72" spans="1:22" ht="18" customHeight="1" x14ac:dyDescent="0.35">
      <c r="A72" s="10" t="s">
        <v>123</v>
      </c>
      <c r="B72" s="10" t="s">
        <v>3184</v>
      </c>
      <c r="C72" s="11" t="s">
        <v>2951</v>
      </c>
      <c r="D72" s="11" t="s">
        <v>74</v>
      </c>
      <c r="E72" s="12">
        <v>46010.39266203704</v>
      </c>
      <c r="F72" s="10" t="str">
        <f>TEXT(events[[#This Row],[Start Date]],"DDD")</f>
        <v>Fri</v>
      </c>
      <c r="G72" s="10">
        <f>YEAR(events[[#This Row],[Start Date]])</f>
        <v>2025</v>
      </c>
      <c r="H72" s="10" t="str">
        <f>TEXT(events[[#This Row],[Start Date]],"mmm")</f>
        <v>Dec</v>
      </c>
      <c r="I72" s="10" t="str">
        <f>CONCATENATE("WK_",WEEKNUM(events[[#This Row],[Start Date]]))</f>
        <v>WK_51</v>
      </c>
      <c r="J72" s="12">
        <v>46010.393819444442</v>
      </c>
      <c r="K72" s="10">
        <v>90</v>
      </c>
      <c r="L72" s="10" t="s">
        <v>25</v>
      </c>
      <c r="M72" s="10" t="s">
        <v>905</v>
      </c>
      <c r="N72" s="13">
        <f t="shared" si="1"/>
        <v>1.6666666666666665</v>
      </c>
      <c r="O72" s="14"/>
      <c r="P72" s="14"/>
      <c r="Q72" s="14" t="s">
        <v>178</v>
      </c>
      <c r="R72" s="14" t="s">
        <v>178</v>
      </c>
      <c r="S72" s="14" t="s">
        <v>906</v>
      </c>
      <c r="T72" s="14" t="s">
        <v>907</v>
      </c>
      <c r="U72" s="15">
        <v>2.2999999999999998</v>
      </c>
      <c r="V72" s="10">
        <v>1</v>
      </c>
    </row>
    <row r="73" spans="1:22" ht="18" customHeight="1" x14ac:dyDescent="0.35">
      <c r="A73" s="10" t="s">
        <v>123</v>
      </c>
      <c r="B73" s="10" t="s">
        <v>3170</v>
      </c>
      <c r="C73" s="11" t="s">
        <v>2936</v>
      </c>
      <c r="D73" s="11" t="s">
        <v>74</v>
      </c>
      <c r="E73" s="12">
        <v>46010.377511574072</v>
      </c>
      <c r="F73" s="10" t="str">
        <f>TEXT(events[[#This Row],[Start Date]],"DDD")</f>
        <v>Fri</v>
      </c>
      <c r="G73" s="10">
        <f>YEAR(events[[#This Row],[Start Date]])</f>
        <v>2025</v>
      </c>
      <c r="H73" s="10" t="str">
        <f>TEXT(events[[#This Row],[Start Date]],"mmm")</f>
        <v>Dec</v>
      </c>
      <c r="I73" s="10" t="str">
        <f>CONCATENATE("WK_",WEEKNUM(events[[#This Row],[Start Date]]))</f>
        <v>WK_51</v>
      </c>
      <c r="J73" s="12">
        <v>46010.378136574072</v>
      </c>
      <c r="K73" s="10">
        <v>95</v>
      </c>
      <c r="L73" s="10" t="s">
        <v>25</v>
      </c>
      <c r="M73" s="10" t="s">
        <v>912</v>
      </c>
      <c r="N73" s="13">
        <f t="shared" si="1"/>
        <v>0.9</v>
      </c>
      <c r="O73" s="14"/>
      <c r="P73" s="14"/>
      <c r="Q73" s="14" t="s">
        <v>808</v>
      </c>
      <c r="R73" s="14" t="s">
        <v>809</v>
      </c>
      <c r="S73" s="14" t="s">
        <v>913</v>
      </c>
      <c r="T73" s="14" t="s">
        <v>914</v>
      </c>
      <c r="U73" s="15">
        <v>1.5</v>
      </c>
      <c r="V73" s="10">
        <v>1</v>
      </c>
    </row>
    <row r="74" spans="1:22" ht="18" customHeight="1" x14ac:dyDescent="0.35">
      <c r="A74" s="10" t="s">
        <v>123</v>
      </c>
      <c r="B74" s="10" t="s">
        <v>3170</v>
      </c>
      <c r="C74" s="11" t="s">
        <v>2936</v>
      </c>
      <c r="D74" s="11" t="s">
        <v>74</v>
      </c>
      <c r="E74" s="12">
        <v>46009.913958333331</v>
      </c>
      <c r="F74" s="10" t="str">
        <f>TEXT(events[[#This Row],[Start Date]],"DDD")</f>
        <v>Thu</v>
      </c>
      <c r="G74" s="10">
        <f>YEAR(events[[#This Row],[Start Date]])</f>
        <v>2025</v>
      </c>
      <c r="H74" s="10" t="str">
        <f>TEXT(events[[#This Row],[Start Date]],"mmm")</f>
        <v>Dec</v>
      </c>
      <c r="I74" s="10" t="str">
        <f>CONCATENATE("WK_",WEEKNUM(events[[#This Row],[Start Date]]))</f>
        <v>WK_51</v>
      </c>
      <c r="J74" s="12">
        <v>46009.914537037039</v>
      </c>
      <c r="K74" s="10">
        <v>91</v>
      </c>
      <c r="L74" s="10" t="s">
        <v>25</v>
      </c>
      <c r="M74" s="10" t="s">
        <v>580</v>
      </c>
      <c r="N74" s="13">
        <f t="shared" si="1"/>
        <v>0.83333333333333337</v>
      </c>
      <c r="O74" s="14"/>
      <c r="P74" s="14"/>
      <c r="Q74" s="14" t="s">
        <v>174</v>
      </c>
      <c r="R74" s="14" t="s">
        <v>174</v>
      </c>
      <c r="S74" s="14" t="s">
        <v>903</v>
      </c>
      <c r="T74" s="14" t="s">
        <v>904</v>
      </c>
      <c r="U74" s="15">
        <v>1.2</v>
      </c>
      <c r="V74" s="10">
        <v>1</v>
      </c>
    </row>
    <row r="75" spans="1:22" ht="18" customHeight="1" x14ac:dyDescent="0.35">
      <c r="A75" s="10" t="s">
        <v>47</v>
      </c>
      <c r="B75" s="10" t="s">
        <v>3157</v>
      </c>
      <c r="C75" s="11" t="s">
        <v>2923</v>
      </c>
      <c r="D75" s="11" t="s">
        <v>74</v>
      </c>
      <c r="E75" s="12">
        <v>46009.274895833332</v>
      </c>
      <c r="F75" s="10" t="str">
        <f>TEXT(events[[#This Row],[Start Date]],"DDD")</f>
        <v>Thu</v>
      </c>
      <c r="G75" s="10">
        <f>YEAR(events[[#This Row],[Start Date]])</f>
        <v>2025</v>
      </c>
      <c r="H75" s="10" t="str">
        <f>TEXT(events[[#This Row],[Start Date]],"mmm")</f>
        <v>Dec</v>
      </c>
      <c r="I75" s="10" t="str">
        <f>CONCATENATE("WK_",WEEKNUM(events[[#This Row],[Start Date]]))</f>
        <v>WK_51</v>
      </c>
      <c r="J75" s="12">
        <v>46009.274907407409</v>
      </c>
      <c r="K75" s="10">
        <v>81</v>
      </c>
      <c r="L75" s="10" t="s">
        <v>25</v>
      </c>
      <c r="M75" s="10" t="s">
        <v>26</v>
      </c>
      <c r="N75" s="13">
        <f t="shared" si="1"/>
        <v>1.6666666666666666E-2</v>
      </c>
      <c r="O75" s="14" t="s">
        <v>231</v>
      </c>
      <c r="P75" s="14" t="s">
        <v>231</v>
      </c>
      <c r="Q75" s="14" t="s">
        <v>855</v>
      </c>
      <c r="R75" s="14" t="s">
        <v>855</v>
      </c>
      <c r="S75" s="14" t="s">
        <v>856</v>
      </c>
      <c r="T75" s="14" t="s">
        <v>857</v>
      </c>
      <c r="U75" s="15">
        <v>0</v>
      </c>
      <c r="V75" s="10">
        <v>1</v>
      </c>
    </row>
    <row r="76" spans="1:22" ht="18" customHeight="1" x14ac:dyDescent="0.35">
      <c r="A76" s="10" t="s">
        <v>23</v>
      </c>
      <c r="B76" s="10" t="s">
        <v>3162</v>
      </c>
      <c r="C76" s="11" t="s">
        <v>2928</v>
      </c>
      <c r="D76" s="11" t="s">
        <v>82</v>
      </c>
      <c r="E76" s="12">
        <v>46009.268807870372</v>
      </c>
      <c r="F76" s="10" t="str">
        <f>TEXT(events[[#This Row],[Start Date]],"DDD")</f>
        <v>Thu</v>
      </c>
      <c r="G76" s="10">
        <f>YEAR(events[[#This Row],[Start Date]])</f>
        <v>2025</v>
      </c>
      <c r="H76" s="10" t="str">
        <f>TEXT(events[[#This Row],[Start Date]],"mmm")</f>
        <v>Dec</v>
      </c>
      <c r="I76" s="10" t="str">
        <f>CONCATENATE("WK_",WEEKNUM(events[[#This Row],[Start Date]]))</f>
        <v>WK_51</v>
      </c>
      <c r="J76" s="12">
        <v>46009.268819444442</v>
      </c>
      <c r="K76" s="10">
        <v>20</v>
      </c>
      <c r="L76" s="10" t="s">
        <v>83</v>
      </c>
      <c r="M76" s="10" t="s">
        <v>26</v>
      </c>
      <c r="N76" s="13">
        <f t="shared" si="1"/>
        <v>1.6666666666666666E-2</v>
      </c>
      <c r="O76" s="14" t="s">
        <v>27</v>
      </c>
      <c r="P76" s="14"/>
      <c r="Q76" s="14" t="s">
        <v>836</v>
      </c>
      <c r="R76" s="14"/>
      <c r="S76" s="14" t="s">
        <v>837</v>
      </c>
      <c r="T76" s="14"/>
      <c r="U76" s="15">
        <v>0</v>
      </c>
      <c r="V76" s="10">
        <v>1</v>
      </c>
    </row>
    <row r="77" spans="1:22" ht="18" customHeight="1" x14ac:dyDescent="0.35">
      <c r="A77" s="10" t="s">
        <v>86</v>
      </c>
      <c r="B77" s="10" t="s">
        <v>3197</v>
      </c>
      <c r="C77" s="11" t="s">
        <v>2964</v>
      </c>
      <c r="D77" s="11" t="s">
        <v>24</v>
      </c>
      <c r="E77" s="12">
        <v>46008.598715277774</v>
      </c>
      <c r="F77" s="10" t="str">
        <f>TEXT(events[[#This Row],[Start Date]],"DDD")</f>
        <v>Wed</v>
      </c>
      <c r="G77" s="10">
        <f>YEAR(events[[#This Row],[Start Date]])</f>
        <v>2025</v>
      </c>
      <c r="H77" s="10" t="str">
        <f>TEXT(events[[#This Row],[Start Date]],"mmm")</f>
        <v>Dec</v>
      </c>
      <c r="I77" s="10" t="str">
        <f>CONCATENATE("WK_",WEEKNUM(events[[#This Row],[Start Date]]))</f>
        <v>WK_51</v>
      </c>
      <c r="J77" s="12">
        <v>46008.598738425928</v>
      </c>
      <c r="K77" s="10">
        <v>37</v>
      </c>
      <c r="L77" s="10" t="s">
        <v>25</v>
      </c>
      <c r="M77" s="10" t="s">
        <v>31</v>
      </c>
      <c r="N77" s="13">
        <f t="shared" si="1"/>
        <v>3.3333333333333333E-2</v>
      </c>
      <c r="O77" s="14" t="s">
        <v>965</v>
      </c>
      <c r="P77" s="14" t="s">
        <v>965</v>
      </c>
      <c r="Q77" s="14" t="s">
        <v>966</v>
      </c>
      <c r="R77" s="14" t="s">
        <v>966</v>
      </c>
      <c r="S77" s="14" t="s">
        <v>967</v>
      </c>
      <c r="T77" s="14" t="s">
        <v>968</v>
      </c>
      <c r="U77" s="15">
        <v>0.125</v>
      </c>
      <c r="V77" s="10">
        <v>1</v>
      </c>
    </row>
    <row r="78" spans="1:22" ht="18" customHeight="1" x14ac:dyDescent="0.35">
      <c r="A78" s="10" t="s">
        <v>123</v>
      </c>
      <c r="B78" s="10" t="s">
        <v>3179</v>
      </c>
      <c r="C78" s="11" t="s">
        <v>2946</v>
      </c>
      <c r="D78" s="11" t="s">
        <v>74</v>
      </c>
      <c r="E78" s="12">
        <v>46008.589398148149</v>
      </c>
      <c r="F78" s="10" t="str">
        <f>TEXT(events[[#This Row],[Start Date]],"DDD")</f>
        <v>Wed</v>
      </c>
      <c r="G78" s="10">
        <f>YEAR(events[[#This Row],[Start Date]])</f>
        <v>2025</v>
      </c>
      <c r="H78" s="10" t="str">
        <f>TEXT(events[[#This Row],[Start Date]],"mmm")</f>
        <v>Dec</v>
      </c>
      <c r="I78" s="10" t="str">
        <f>CONCATENATE("WK_",WEEKNUM(events[[#This Row],[Start Date]]))</f>
        <v>WK_51</v>
      </c>
      <c r="J78" s="12">
        <v>46008.590208333335</v>
      </c>
      <c r="K78" s="10">
        <v>91</v>
      </c>
      <c r="L78" s="10" t="s">
        <v>25</v>
      </c>
      <c r="M78" s="10" t="s">
        <v>828</v>
      </c>
      <c r="N78" s="13">
        <f t="shared" si="1"/>
        <v>1.1666666666666667</v>
      </c>
      <c r="O78" s="14"/>
      <c r="P78" s="14"/>
      <c r="Q78" s="14" t="s">
        <v>801</v>
      </c>
      <c r="R78" s="14" t="s">
        <v>801</v>
      </c>
      <c r="S78" s="14" t="s">
        <v>997</v>
      </c>
      <c r="T78" s="14" t="s">
        <v>998</v>
      </c>
      <c r="U78" s="15">
        <v>1.7</v>
      </c>
      <c r="V78" s="10">
        <v>1</v>
      </c>
    </row>
    <row r="79" spans="1:22" ht="18" customHeight="1" x14ac:dyDescent="0.35">
      <c r="A79" s="10" t="s">
        <v>86</v>
      </c>
      <c r="B79" s="10" t="s">
        <v>3197</v>
      </c>
      <c r="C79" s="11" t="s">
        <v>2964</v>
      </c>
      <c r="D79" s="11" t="s">
        <v>678</v>
      </c>
      <c r="E79" s="12">
        <v>46008.543229166666</v>
      </c>
      <c r="F79" s="10" t="str">
        <f>TEXT(events[[#This Row],[Start Date]],"DDD")</f>
        <v>Wed</v>
      </c>
      <c r="G79" s="10">
        <f>YEAR(events[[#This Row],[Start Date]])</f>
        <v>2025</v>
      </c>
      <c r="H79" s="10" t="str">
        <f>TEXT(events[[#This Row],[Start Date]],"mmm")</f>
        <v>Dec</v>
      </c>
      <c r="I79" s="10" t="str">
        <f>CONCATENATE("WK_",WEEKNUM(events[[#This Row],[Start Date]]))</f>
        <v>WK_51</v>
      </c>
      <c r="J79" s="12">
        <v>46008.543229166666</v>
      </c>
      <c r="K79" s="10">
        <v>12</v>
      </c>
      <c r="L79" s="10" t="s">
        <v>83</v>
      </c>
      <c r="M79" s="10" t="s">
        <v>87</v>
      </c>
      <c r="N79" s="13">
        <f t="shared" si="1"/>
        <v>0</v>
      </c>
      <c r="O79" s="14" t="s">
        <v>50</v>
      </c>
      <c r="P79" s="14" t="s">
        <v>50</v>
      </c>
      <c r="Q79" s="14" t="s">
        <v>969</v>
      </c>
      <c r="R79" s="14" t="s">
        <v>969</v>
      </c>
      <c r="S79" s="14" t="s">
        <v>970</v>
      </c>
      <c r="T79" s="14" t="s">
        <v>970</v>
      </c>
      <c r="U79" s="15">
        <v>0</v>
      </c>
      <c r="V79" s="10">
        <v>1</v>
      </c>
    </row>
    <row r="80" spans="1:22" ht="18" customHeight="1" x14ac:dyDescent="0.35">
      <c r="A80" s="10" t="s">
        <v>123</v>
      </c>
      <c r="B80" s="10" t="s">
        <v>3168</v>
      </c>
      <c r="C80" s="11" t="s">
        <v>2934</v>
      </c>
      <c r="D80" s="11" t="s">
        <v>74</v>
      </c>
      <c r="E80" s="12">
        <v>46008.163819444446</v>
      </c>
      <c r="F80" s="10" t="str">
        <f>TEXT(events[[#This Row],[Start Date]],"DDD")</f>
        <v>Wed</v>
      </c>
      <c r="G80" s="10">
        <f>YEAR(events[[#This Row],[Start Date]])</f>
        <v>2025</v>
      </c>
      <c r="H80" s="10" t="str">
        <f>TEXT(events[[#This Row],[Start Date]],"mmm")</f>
        <v>Dec</v>
      </c>
      <c r="I80" s="10" t="str">
        <f>CONCATENATE("WK_",WEEKNUM(events[[#This Row],[Start Date]]))</f>
        <v>WK_51</v>
      </c>
      <c r="J80" s="12">
        <v>46008.164513888885</v>
      </c>
      <c r="K80" s="10">
        <v>92</v>
      </c>
      <c r="L80" s="10" t="s">
        <v>25</v>
      </c>
      <c r="M80" s="10" t="s">
        <v>538</v>
      </c>
      <c r="N80" s="13">
        <f t="shared" si="1"/>
        <v>0.98333333333333328</v>
      </c>
      <c r="O80" s="14"/>
      <c r="P80" s="14"/>
      <c r="Q80" s="14" t="s">
        <v>808</v>
      </c>
      <c r="R80" s="14" t="s">
        <v>809</v>
      </c>
      <c r="S80" s="14" t="s">
        <v>995</v>
      </c>
      <c r="T80" s="14" t="s">
        <v>996</v>
      </c>
      <c r="U80" s="15">
        <v>1.5</v>
      </c>
      <c r="V80" s="10">
        <v>1</v>
      </c>
    </row>
    <row r="81" spans="1:22" ht="18" customHeight="1" x14ac:dyDescent="0.35">
      <c r="A81" s="10" t="s">
        <v>123</v>
      </c>
      <c r="B81" s="10" t="s">
        <v>3168</v>
      </c>
      <c r="C81" s="11" t="s">
        <v>2934</v>
      </c>
      <c r="D81" s="11" t="s">
        <v>74</v>
      </c>
      <c r="E81" s="12">
        <v>46007.69767361111</v>
      </c>
      <c r="F81" s="10" t="str">
        <f>TEXT(events[[#This Row],[Start Date]],"DDD")</f>
        <v>Tue</v>
      </c>
      <c r="G81" s="10">
        <f>YEAR(events[[#This Row],[Start Date]])</f>
        <v>2025</v>
      </c>
      <c r="H81" s="10" t="str">
        <f>TEXT(events[[#This Row],[Start Date]],"mmm")</f>
        <v>Dec</v>
      </c>
      <c r="I81" s="10" t="str">
        <f>CONCATENATE("WK_",WEEKNUM(events[[#This Row],[Start Date]]))</f>
        <v>WK_51</v>
      </c>
      <c r="J81" s="12">
        <v>46007.698020833333</v>
      </c>
      <c r="K81" s="10">
        <v>103</v>
      </c>
      <c r="L81" s="10" t="s">
        <v>25</v>
      </c>
      <c r="M81" s="10" t="s">
        <v>999</v>
      </c>
      <c r="N81" s="13">
        <f t="shared" si="1"/>
        <v>0.5</v>
      </c>
      <c r="O81" s="14"/>
      <c r="P81" s="14"/>
      <c r="Q81" s="14" t="s">
        <v>801</v>
      </c>
      <c r="R81" s="14" t="s">
        <v>801</v>
      </c>
      <c r="S81" s="14" t="s">
        <v>1000</v>
      </c>
      <c r="T81" s="14" t="s">
        <v>1001</v>
      </c>
      <c r="U81" s="15">
        <v>0.8</v>
      </c>
      <c r="V81" s="10">
        <v>1</v>
      </c>
    </row>
    <row r="82" spans="1:22" ht="18" customHeight="1" x14ac:dyDescent="0.35">
      <c r="A82" s="10" t="s">
        <v>123</v>
      </c>
      <c r="B82" s="10" t="s">
        <v>3166</v>
      </c>
      <c r="C82" s="11" t="s">
        <v>2932</v>
      </c>
      <c r="D82" s="11" t="s">
        <v>74</v>
      </c>
      <c r="E82" s="12">
        <v>46007.555787037039</v>
      </c>
      <c r="F82" s="10" t="str">
        <f>TEXT(events[[#This Row],[Start Date]],"DDD")</f>
        <v>Tue</v>
      </c>
      <c r="G82" s="10">
        <f>YEAR(events[[#This Row],[Start Date]])</f>
        <v>2025</v>
      </c>
      <c r="H82" s="10" t="str">
        <f>TEXT(events[[#This Row],[Start Date]],"mmm")</f>
        <v>Dec</v>
      </c>
      <c r="I82" s="10" t="str">
        <f>CONCATENATE("WK_",WEEKNUM(events[[#This Row],[Start Date]]))</f>
        <v>WK_51</v>
      </c>
      <c r="J82" s="12">
        <v>46007.55667824074</v>
      </c>
      <c r="K82" s="10">
        <v>85</v>
      </c>
      <c r="L82" s="10" t="s">
        <v>25</v>
      </c>
      <c r="M82" s="10" t="s">
        <v>1004</v>
      </c>
      <c r="N82" s="13">
        <f t="shared" si="1"/>
        <v>1.2666666666666666</v>
      </c>
      <c r="O82" s="14"/>
      <c r="P82" s="14"/>
      <c r="Q82" s="14" t="s">
        <v>1005</v>
      </c>
      <c r="R82" s="14" t="s">
        <v>1005</v>
      </c>
      <c r="S82" s="14" t="s">
        <v>1006</v>
      </c>
      <c r="T82" s="14" t="s">
        <v>1007</v>
      </c>
      <c r="U82" s="15">
        <v>1.8</v>
      </c>
      <c r="V82" s="10">
        <v>1</v>
      </c>
    </row>
    <row r="83" spans="1:22" ht="18" customHeight="1" x14ac:dyDescent="0.35">
      <c r="A83" s="10" t="s">
        <v>123</v>
      </c>
      <c r="B83" s="10" t="s">
        <v>3198</v>
      </c>
      <c r="C83" s="11" t="s">
        <v>2965</v>
      </c>
      <c r="D83" s="11" t="s">
        <v>74</v>
      </c>
      <c r="E83" s="12">
        <v>46007.158368055556</v>
      </c>
      <c r="F83" s="10" t="str">
        <f>TEXT(events[[#This Row],[Start Date]],"DDD")</f>
        <v>Tue</v>
      </c>
      <c r="G83" s="10">
        <f>YEAR(events[[#This Row],[Start Date]])</f>
        <v>2025</v>
      </c>
      <c r="H83" s="10" t="str">
        <f>TEXT(events[[#This Row],[Start Date]],"mmm")</f>
        <v>Dec</v>
      </c>
      <c r="I83" s="10" t="str">
        <f>CONCATENATE("WK_",WEEKNUM(events[[#This Row],[Start Date]]))</f>
        <v>WK_51</v>
      </c>
      <c r="J83" s="12">
        <v>46007.159062500003</v>
      </c>
      <c r="K83" s="10">
        <v>93</v>
      </c>
      <c r="L83" s="10" t="s">
        <v>25</v>
      </c>
      <c r="M83" s="10" t="s">
        <v>538</v>
      </c>
      <c r="N83" s="13">
        <f t="shared" si="1"/>
        <v>0.98333333333333328</v>
      </c>
      <c r="O83" s="14"/>
      <c r="P83" s="14"/>
      <c r="Q83" s="14" t="s">
        <v>987</v>
      </c>
      <c r="R83" s="14" t="s">
        <v>988</v>
      </c>
      <c r="S83" s="14" t="s">
        <v>1002</v>
      </c>
      <c r="T83" s="14" t="s">
        <v>1003</v>
      </c>
      <c r="U83" s="15">
        <v>1.5</v>
      </c>
      <c r="V83" s="10">
        <v>1</v>
      </c>
    </row>
    <row r="84" spans="1:22" ht="18" customHeight="1" x14ac:dyDescent="0.35">
      <c r="A84" s="10" t="s">
        <v>23</v>
      </c>
      <c r="B84" s="10" t="s">
        <v>3199</v>
      </c>
      <c r="C84" s="11" t="s">
        <v>2966</v>
      </c>
      <c r="D84" s="11" t="s">
        <v>35</v>
      </c>
      <c r="E84" s="12">
        <v>46007.025000000001</v>
      </c>
      <c r="F84" s="10" t="str">
        <f>TEXT(events[[#This Row],[Start Date]],"DDD")</f>
        <v>Tue</v>
      </c>
      <c r="G84" s="10">
        <f>YEAR(events[[#This Row],[Start Date]])</f>
        <v>2025</v>
      </c>
      <c r="H84" s="10" t="str">
        <f>TEXT(events[[#This Row],[Start Date]],"mmm")</f>
        <v>Dec</v>
      </c>
      <c r="I84" s="10" t="str">
        <f>CONCATENATE("WK_",WEEKNUM(events[[#This Row],[Start Date]]))</f>
        <v>WK_51</v>
      </c>
      <c r="J84" s="12">
        <v>46007.08997685185</v>
      </c>
      <c r="K84" s="10">
        <v>52.1</v>
      </c>
      <c r="L84" s="10" t="s">
        <v>36</v>
      </c>
      <c r="M84" s="10" t="s">
        <v>936</v>
      </c>
      <c r="N84" s="13">
        <f t="shared" si="1"/>
        <v>93.566666666666663</v>
      </c>
      <c r="O84" s="14" t="s">
        <v>27</v>
      </c>
      <c r="P84" s="14" t="s">
        <v>92</v>
      </c>
      <c r="Q84" s="14" t="s">
        <v>312</v>
      </c>
      <c r="R84" s="14" t="s">
        <v>750</v>
      </c>
      <c r="S84" s="14" t="s">
        <v>937</v>
      </c>
      <c r="T84" s="14" t="s">
        <v>752</v>
      </c>
      <c r="U84" s="15">
        <v>51.905999999999999</v>
      </c>
      <c r="V84" s="10">
        <v>1</v>
      </c>
    </row>
    <row r="85" spans="1:22" ht="18" customHeight="1" x14ac:dyDescent="0.35">
      <c r="A85" s="10" t="s">
        <v>47</v>
      </c>
      <c r="B85" s="10" t="s">
        <v>3200</v>
      </c>
      <c r="C85" s="11" t="s">
        <v>2967</v>
      </c>
      <c r="D85" s="11" t="s">
        <v>35</v>
      </c>
      <c r="E85" s="12">
        <v>46006.988715277781</v>
      </c>
      <c r="F85" s="10" t="str">
        <f>TEXT(events[[#This Row],[Start Date]],"DDD")</f>
        <v>Mon</v>
      </c>
      <c r="G85" s="10">
        <f>YEAR(events[[#This Row],[Start Date]])</f>
        <v>2025</v>
      </c>
      <c r="H85" s="10" t="str">
        <f>TEXT(events[[#This Row],[Start Date]],"mmm")</f>
        <v>Dec</v>
      </c>
      <c r="I85" s="10" t="str">
        <f>CONCATENATE("WK_",WEEKNUM(events[[#This Row],[Start Date]]))</f>
        <v>WK_51</v>
      </c>
      <c r="J85" s="12">
        <v>46006.990682870368</v>
      </c>
      <c r="K85" s="10">
        <v>52.6</v>
      </c>
      <c r="L85" s="10" t="s">
        <v>36</v>
      </c>
      <c r="M85" s="10" t="s">
        <v>951</v>
      </c>
      <c r="N85" s="13">
        <f t="shared" si="1"/>
        <v>2.8333333333333335</v>
      </c>
      <c r="O85" s="14" t="s">
        <v>92</v>
      </c>
      <c r="P85" s="14" t="s">
        <v>92</v>
      </c>
      <c r="Q85" s="14" t="s">
        <v>952</v>
      </c>
      <c r="R85" s="14" t="s">
        <v>953</v>
      </c>
      <c r="S85" s="14" t="s">
        <v>954</v>
      </c>
      <c r="T85" s="14" t="s">
        <v>955</v>
      </c>
      <c r="U85" s="15">
        <v>0.79700000000000004</v>
      </c>
      <c r="V85" s="10">
        <v>1</v>
      </c>
    </row>
    <row r="86" spans="1:22" ht="18" customHeight="1" x14ac:dyDescent="0.35">
      <c r="A86" s="10" t="s">
        <v>47</v>
      </c>
      <c r="B86" s="10" t="s">
        <v>3200</v>
      </c>
      <c r="C86" s="11" t="s">
        <v>2967</v>
      </c>
      <c r="D86" s="11" t="s">
        <v>35</v>
      </c>
      <c r="E86" s="12">
        <v>46006.958344907405</v>
      </c>
      <c r="F86" s="10" t="str">
        <f>TEXT(events[[#This Row],[Start Date]],"DDD")</f>
        <v>Mon</v>
      </c>
      <c r="G86" s="10">
        <f>YEAR(events[[#This Row],[Start Date]])</f>
        <v>2025</v>
      </c>
      <c r="H86" s="10" t="str">
        <f>TEXT(events[[#This Row],[Start Date]],"mmm")</f>
        <v>Dec</v>
      </c>
      <c r="I86" s="10" t="str">
        <f>CONCATENATE("WK_",WEEKNUM(events[[#This Row],[Start Date]]))</f>
        <v>WK_51</v>
      </c>
      <c r="J86" s="12">
        <v>46006.986909722225</v>
      </c>
      <c r="K86" s="10">
        <v>50</v>
      </c>
      <c r="L86" s="10" t="s">
        <v>36</v>
      </c>
      <c r="M86" s="10" t="s">
        <v>947</v>
      </c>
      <c r="N86" s="13">
        <f t="shared" si="1"/>
        <v>41.133333333333333</v>
      </c>
      <c r="O86" s="14" t="s">
        <v>65</v>
      </c>
      <c r="P86" s="14" t="s">
        <v>92</v>
      </c>
      <c r="Q86" s="14" t="s">
        <v>948</v>
      </c>
      <c r="R86" s="14" t="s">
        <v>93</v>
      </c>
      <c r="S86" s="14" t="s">
        <v>949</v>
      </c>
      <c r="T86" s="14" t="s">
        <v>950</v>
      </c>
      <c r="U86" s="15">
        <v>31.202999999999999</v>
      </c>
      <c r="V86" s="10">
        <v>1</v>
      </c>
    </row>
    <row r="87" spans="1:22" ht="18" customHeight="1" x14ac:dyDescent="0.35">
      <c r="A87" s="10" t="s">
        <v>123</v>
      </c>
      <c r="B87" s="10" t="s">
        <v>3161</v>
      </c>
      <c r="C87" s="11" t="s">
        <v>2927</v>
      </c>
      <c r="D87" s="11" t="s">
        <v>74</v>
      </c>
      <c r="E87" s="12">
        <v>46006.587719907409</v>
      </c>
      <c r="F87" s="10" t="str">
        <f>TEXT(events[[#This Row],[Start Date]],"DDD")</f>
        <v>Mon</v>
      </c>
      <c r="G87" s="10">
        <f>YEAR(events[[#This Row],[Start Date]])</f>
        <v>2025</v>
      </c>
      <c r="H87" s="10" t="str">
        <f>TEXT(events[[#This Row],[Start Date]],"mmm")</f>
        <v>Dec</v>
      </c>
      <c r="I87" s="10" t="str">
        <f>CONCATENATE("WK_",WEEKNUM(events[[#This Row],[Start Date]]))</f>
        <v>WK_51</v>
      </c>
      <c r="J87" s="12">
        <v>46006.588518518518</v>
      </c>
      <c r="K87" s="10">
        <v>92</v>
      </c>
      <c r="L87" s="10" t="s">
        <v>25</v>
      </c>
      <c r="M87" s="10" t="s">
        <v>1008</v>
      </c>
      <c r="N87" s="13">
        <f t="shared" si="1"/>
        <v>1.1333333333333333</v>
      </c>
      <c r="O87" s="14"/>
      <c r="P87" s="14"/>
      <c r="Q87" s="14" t="s">
        <v>805</v>
      </c>
      <c r="R87" s="14" t="s">
        <v>805</v>
      </c>
      <c r="S87" s="14" t="s">
        <v>908</v>
      </c>
      <c r="T87" s="14" t="s">
        <v>1009</v>
      </c>
      <c r="U87" s="15">
        <v>1.7</v>
      </c>
      <c r="V87" s="10">
        <v>1</v>
      </c>
    </row>
    <row r="88" spans="1:22" ht="18" customHeight="1" x14ac:dyDescent="0.35">
      <c r="A88" s="10" t="s">
        <v>47</v>
      </c>
      <c r="B88" s="10" t="s">
        <v>3201</v>
      </c>
      <c r="C88" s="11" t="s">
        <v>2968</v>
      </c>
      <c r="D88" s="11" t="s">
        <v>24</v>
      </c>
      <c r="E88" s="12">
        <v>46006.531493055554</v>
      </c>
      <c r="F88" s="10" t="str">
        <f>TEXT(events[[#This Row],[Start Date]],"DDD")</f>
        <v>Mon</v>
      </c>
      <c r="G88" s="10">
        <f>YEAR(events[[#This Row],[Start Date]])</f>
        <v>2025</v>
      </c>
      <c r="H88" s="10" t="str">
        <f>TEXT(events[[#This Row],[Start Date]],"mmm")</f>
        <v>Dec</v>
      </c>
      <c r="I88" s="10" t="str">
        <f>CONCATENATE("WK_",WEEKNUM(events[[#This Row],[Start Date]]))</f>
        <v>WK_51</v>
      </c>
      <c r="J88" s="12">
        <v>46006.53193287037</v>
      </c>
      <c r="K88" s="10">
        <v>55</v>
      </c>
      <c r="L88" s="10" t="s">
        <v>25</v>
      </c>
      <c r="M88" s="10" t="s">
        <v>943</v>
      </c>
      <c r="N88" s="13">
        <f t="shared" si="1"/>
        <v>0.6333333333333333</v>
      </c>
      <c r="O88" s="14" t="s">
        <v>65</v>
      </c>
      <c r="P88" s="14" t="s">
        <v>65</v>
      </c>
      <c r="Q88" s="14" t="s">
        <v>944</v>
      </c>
      <c r="R88" s="14" t="s">
        <v>944</v>
      </c>
      <c r="S88" s="14" t="s">
        <v>945</v>
      </c>
      <c r="T88" s="14" t="s">
        <v>946</v>
      </c>
      <c r="U88" s="15">
        <v>0.5</v>
      </c>
      <c r="V88" s="10">
        <v>1</v>
      </c>
    </row>
    <row r="89" spans="1:22" ht="18" customHeight="1" x14ac:dyDescent="0.35">
      <c r="A89" s="10" t="s">
        <v>23</v>
      </c>
      <c r="B89" s="10" t="s">
        <v>3202</v>
      </c>
      <c r="C89" s="11" t="s">
        <v>2969</v>
      </c>
      <c r="D89" s="11" t="s">
        <v>24</v>
      </c>
      <c r="E89" s="12">
        <v>46006.324537037035</v>
      </c>
      <c r="F89" s="10" t="str">
        <f>TEXT(events[[#This Row],[Start Date]],"DDD")</f>
        <v>Mon</v>
      </c>
      <c r="G89" s="10">
        <f>YEAR(events[[#This Row],[Start Date]])</f>
        <v>2025</v>
      </c>
      <c r="H89" s="10" t="str">
        <f>TEXT(events[[#This Row],[Start Date]],"mmm")</f>
        <v>Dec</v>
      </c>
      <c r="I89" s="10" t="str">
        <f>CONCATENATE("WK_",WEEKNUM(events[[#This Row],[Start Date]]))</f>
        <v>WK_51</v>
      </c>
      <c r="J89" s="12">
        <v>46006.324548611112</v>
      </c>
      <c r="K89" s="10">
        <v>36</v>
      </c>
      <c r="L89" s="10" t="s">
        <v>25</v>
      </c>
      <c r="M89" s="10" t="s">
        <v>26</v>
      </c>
      <c r="N89" s="13">
        <f t="shared" si="1"/>
        <v>1.6666666666666666E-2</v>
      </c>
      <c r="O89" s="14" t="s">
        <v>142</v>
      </c>
      <c r="P89" s="14" t="s">
        <v>142</v>
      </c>
      <c r="Q89" s="14" t="s">
        <v>497</v>
      </c>
      <c r="R89" s="14" t="s">
        <v>497</v>
      </c>
      <c r="S89" s="14" t="s">
        <v>938</v>
      </c>
      <c r="T89" s="14" t="s">
        <v>939</v>
      </c>
      <c r="U89" s="15">
        <v>9.4E-2</v>
      </c>
      <c r="V89" s="10">
        <v>1</v>
      </c>
    </row>
    <row r="90" spans="1:22" ht="18" customHeight="1" x14ac:dyDescent="0.35">
      <c r="A90" s="10" t="s">
        <v>86</v>
      </c>
      <c r="B90" s="10" t="s">
        <v>3171</v>
      </c>
      <c r="C90" s="11" t="s">
        <v>2970</v>
      </c>
      <c r="D90" s="11" t="s">
        <v>35</v>
      </c>
      <c r="E90" s="12">
        <v>46005.958344907405</v>
      </c>
      <c r="F90" s="10" t="str">
        <f>TEXT(events[[#This Row],[Start Date]],"DDD")</f>
        <v>Sun</v>
      </c>
      <c r="G90" s="10">
        <f>YEAR(events[[#This Row],[Start Date]])</f>
        <v>2025</v>
      </c>
      <c r="H90" s="10" t="str">
        <f>TEXT(events[[#This Row],[Start Date]],"mmm")</f>
        <v>Dec</v>
      </c>
      <c r="I90" s="10" t="str">
        <f>CONCATENATE("WK_",WEEKNUM(events[[#This Row],[Start Date]]))</f>
        <v>WK_51</v>
      </c>
      <c r="J90" s="12">
        <v>46005.985381944447</v>
      </c>
      <c r="K90" s="10">
        <v>67</v>
      </c>
      <c r="L90" s="10" t="s">
        <v>36</v>
      </c>
      <c r="M90" s="10" t="s">
        <v>960</v>
      </c>
      <c r="N90" s="13">
        <f t="shared" si="1"/>
        <v>38.93333333333333</v>
      </c>
      <c r="O90" s="14" t="s">
        <v>65</v>
      </c>
      <c r="P90" s="14" t="s">
        <v>92</v>
      </c>
      <c r="Q90" s="14" t="s">
        <v>948</v>
      </c>
      <c r="R90" s="14" t="s">
        <v>93</v>
      </c>
      <c r="S90" s="14" t="s">
        <v>961</v>
      </c>
      <c r="T90" s="14" t="s">
        <v>962</v>
      </c>
      <c r="U90" s="15">
        <v>30.390999999999998</v>
      </c>
      <c r="V90" s="10">
        <v>1</v>
      </c>
    </row>
    <row r="91" spans="1:22" ht="18" customHeight="1" x14ac:dyDescent="0.35">
      <c r="A91" s="10" t="s">
        <v>123</v>
      </c>
      <c r="B91" s="10" t="s">
        <v>3203</v>
      </c>
      <c r="C91" s="11" t="s">
        <v>2971</v>
      </c>
      <c r="D91" s="11" t="s">
        <v>74</v>
      </c>
      <c r="E91" s="12">
        <v>46005.264768518522</v>
      </c>
      <c r="F91" s="10" t="str">
        <f>TEXT(events[[#This Row],[Start Date]],"DDD")</f>
        <v>Sun</v>
      </c>
      <c r="G91" s="10">
        <f>YEAR(events[[#This Row],[Start Date]])</f>
        <v>2025</v>
      </c>
      <c r="H91" s="10" t="str">
        <f>TEXT(events[[#This Row],[Start Date]],"mmm")</f>
        <v>Dec</v>
      </c>
      <c r="I91" s="10" t="str">
        <f>CONCATENATE("WK_",WEEKNUM(events[[#This Row],[Start Date]]))</f>
        <v>WK_51</v>
      </c>
      <c r="J91" s="12">
        <v>46005.266284722224</v>
      </c>
      <c r="K91" s="10">
        <v>92</v>
      </c>
      <c r="L91" s="10" t="s">
        <v>25</v>
      </c>
      <c r="M91" s="10" t="s">
        <v>278</v>
      </c>
      <c r="N91" s="13">
        <f t="shared" si="1"/>
        <v>2.1666666666666665</v>
      </c>
      <c r="O91" s="14"/>
      <c r="P91" s="14"/>
      <c r="Q91" s="14" t="s">
        <v>451</v>
      </c>
      <c r="R91" s="14" t="s">
        <v>451</v>
      </c>
      <c r="S91" s="14" t="s">
        <v>984</v>
      </c>
      <c r="T91" s="14" t="s">
        <v>985</v>
      </c>
      <c r="U91" s="15">
        <v>3.1</v>
      </c>
      <c r="V91" s="10">
        <v>1</v>
      </c>
    </row>
    <row r="92" spans="1:22" ht="18" customHeight="1" x14ac:dyDescent="0.35">
      <c r="A92" s="10" t="s">
        <v>86</v>
      </c>
      <c r="B92" s="10" t="s">
        <v>3204</v>
      </c>
      <c r="C92" s="11" t="s">
        <v>2972</v>
      </c>
      <c r="D92" s="11" t="s">
        <v>24</v>
      </c>
      <c r="E92" s="12">
        <v>46004.428148148145</v>
      </c>
      <c r="F92" s="10" t="str">
        <f>TEXT(events[[#This Row],[Start Date]],"DDD")</f>
        <v>Sat</v>
      </c>
      <c r="G92" s="10">
        <f>YEAR(events[[#This Row],[Start Date]])</f>
        <v>2025</v>
      </c>
      <c r="H92" s="10" t="str">
        <f>TEXT(events[[#This Row],[Start Date]],"mmm")</f>
        <v>Dec</v>
      </c>
      <c r="I92" s="10" t="str">
        <f>CONCATENATE("WK_",WEEKNUM(events[[#This Row],[Start Date]]))</f>
        <v>WK_50</v>
      </c>
      <c r="J92" s="12">
        <v>46004.428148148145</v>
      </c>
      <c r="K92" s="10">
        <v>35</v>
      </c>
      <c r="L92" s="10" t="s">
        <v>25</v>
      </c>
      <c r="M92" s="10" t="s">
        <v>87</v>
      </c>
      <c r="N92" s="13">
        <f t="shared" si="1"/>
        <v>0</v>
      </c>
      <c r="O92" s="14" t="s">
        <v>92</v>
      </c>
      <c r="P92" s="14" t="s">
        <v>92</v>
      </c>
      <c r="Q92" s="14" t="s">
        <v>958</v>
      </c>
      <c r="R92" s="14" t="s">
        <v>958</v>
      </c>
      <c r="S92" s="14" t="s">
        <v>959</v>
      </c>
      <c r="T92" s="14" t="s">
        <v>959</v>
      </c>
      <c r="U92" s="15">
        <v>0</v>
      </c>
      <c r="V92" s="10">
        <v>1</v>
      </c>
    </row>
    <row r="93" spans="1:22" ht="18" customHeight="1" x14ac:dyDescent="0.35">
      <c r="A93" s="10" t="s">
        <v>86</v>
      </c>
      <c r="B93" s="10" t="s">
        <v>3205</v>
      </c>
      <c r="C93" s="11" t="s">
        <v>2973</v>
      </c>
      <c r="D93" s="11" t="s">
        <v>35</v>
      </c>
      <c r="E93" s="12">
        <v>46003.958344907405</v>
      </c>
      <c r="F93" s="10" t="str">
        <f>TEXT(events[[#This Row],[Start Date]],"DDD")</f>
        <v>Fri</v>
      </c>
      <c r="G93" s="10">
        <f>YEAR(events[[#This Row],[Start Date]])</f>
        <v>2025</v>
      </c>
      <c r="H93" s="10" t="str">
        <f>TEXT(events[[#This Row],[Start Date]],"mmm")</f>
        <v>Dec</v>
      </c>
      <c r="I93" s="10" t="str">
        <f>CONCATENATE("WK_",WEEKNUM(events[[#This Row],[Start Date]]))</f>
        <v>WK_50</v>
      </c>
      <c r="J93" s="12">
        <v>46004.006620370368</v>
      </c>
      <c r="K93" s="10">
        <v>240.3</v>
      </c>
      <c r="L93" s="10" t="s">
        <v>36</v>
      </c>
      <c r="M93" s="10" t="s">
        <v>980</v>
      </c>
      <c r="N93" s="13">
        <f t="shared" si="1"/>
        <v>69.516666666666666</v>
      </c>
      <c r="O93" s="14" t="s">
        <v>138</v>
      </c>
      <c r="P93" s="14" t="s">
        <v>92</v>
      </c>
      <c r="Q93" s="14" t="s">
        <v>139</v>
      </c>
      <c r="R93" s="14" t="s">
        <v>981</v>
      </c>
      <c r="S93" s="14" t="s">
        <v>982</v>
      </c>
      <c r="T93" s="14" t="s">
        <v>983</v>
      </c>
      <c r="U93" s="15">
        <v>34.688000000000002</v>
      </c>
      <c r="V93" s="10">
        <v>1</v>
      </c>
    </row>
    <row r="94" spans="1:22" ht="18" customHeight="1" x14ac:dyDescent="0.35">
      <c r="A94" s="10" t="s">
        <v>86</v>
      </c>
      <c r="B94" s="10" t="s">
        <v>3205</v>
      </c>
      <c r="C94" s="11" t="s">
        <v>2973</v>
      </c>
      <c r="D94" s="11" t="s">
        <v>24</v>
      </c>
      <c r="E94" s="12">
        <v>46003.782951388886</v>
      </c>
      <c r="F94" s="10" t="str">
        <f>TEXT(events[[#This Row],[Start Date]],"DDD")</f>
        <v>Fri</v>
      </c>
      <c r="G94" s="10">
        <f>YEAR(events[[#This Row],[Start Date]])</f>
        <v>2025</v>
      </c>
      <c r="H94" s="10" t="str">
        <f>TEXT(events[[#This Row],[Start Date]],"mmm")</f>
        <v>Dec</v>
      </c>
      <c r="I94" s="10" t="str">
        <f>CONCATENATE("WK_",WEEKNUM(events[[#This Row],[Start Date]]))</f>
        <v>WK_50</v>
      </c>
      <c r="J94" s="12">
        <v>46003.782951388886</v>
      </c>
      <c r="K94" s="10">
        <v>35</v>
      </c>
      <c r="L94" s="10" t="s">
        <v>25</v>
      </c>
      <c r="M94" s="10" t="s">
        <v>87</v>
      </c>
      <c r="N94" s="13">
        <f t="shared" si="1"/>
        <v>0</v>
      </c>
      <c r="O94" s="14" t="s">
        <v>50</v>
      </c>
      <c r="P94" s="14" t="s">
        <v>50</v>
      </c>
      <c r="Q94" s="14" t="s">
        <v>977</v>
      </c>
      <c r="R94" s="14" t="s">
        <v>977</v>
      </c>
      <c r="S94" s="14" t="s">
        <v>979</v>
      </c>
      <c r="T94" s="14" t="s">
        <v>979</v>
      </c>
      <c r="U94" s="15">
        <v>0</v>
      </c>
      <c r="V94" s="10">
        <v>1</v>
      </c>
    </row>
    <row r="95" spans="1:22" ht="18" customHeight="1" x14ac:dyDescent="0.35">
      <c r="A95" s="10" t="s">
        <v>86</v>
      </c>
      <c r="B95" s="10" t="s">
        <v>3205</v>
      </c>
      <c r="C95" s="11" t="s">
        <v>2973</v>
      </c>
      <c r="D95" s="11" t="s">
        <v>24</v>
      </c>
      <c r="E95" s="12">
        <v>46003.782824074071</v>
      </c>
      <c r="F95" s="10" t="str">
        <f>TEXT(events[[#This Row],[Start Date]],"DDD")</f>
        <v>Fri</v>
      </c>
      <c r="G95" s="10">
        <f>YEAR(events[[#This Row],[Start Date]])</f>
        <v>2025</v>
      </c>
      <c r="H95" s="10" t="str">
        <f>TEXT(events[[#This Row],[Start Date]],"mmm")</f>
        <v>Dec</v>
      </c>
      <c r="I95" s="10" t="str">
        <f>CONCATENATE("WK_",WEEKNUM(events[[#This Row],[Start Date]]))</f>
        <v>WK_50</v>
      </c>
      <c r="J95" s="12">
        <v>46003.782824074071</v>
      </c>
      <c r="K95" s="10">
        <v>37</v>
      </c>
      <c r="L95" s="10" t="s">
        <v>25</v>
      </c>
      <c r="M95" s="10" t="s">
        <v>87</v>
      </c>
      <c r="N95" s="13">
        <f t="shared" si="1"/>
        <v>0</v>
      </c>
      <c r="O95" s="14" t="s">
        <v>50</v>
      </c>
      <c r="P95" s="14" t="s">
        <v>50</v>
      </c>
      <c r="Q95" s="14" t="s">
        <v>977</v>
      </c>
      <c r="R95" s="14" t="s">
        <v>977</v>
      </c>
      <c r="S95" s="14" t="s">
        <v>978</v>
      </c>
      <c r="T95" s="14" t="s">
        <v>978</v>
      </c>
      <c r="U95" s="15">
        <v>9.4E-2</v>
      </c>
      <c r="V95" s="10">
        <v>1</v>
      </c>
    </row>
    <row r="96" spans="1:22" ht="18" customHeight="1" x14ac:dyDescent="0.35">
      <c r="A96" s="10" t="s">
        <v>123</v>
      </c>
      <c r="B96" s="10" t="s">
        <v>3206</v>
      </c>
      <c r="C96" s="11" t="s">
        <v>2974</v>
      </c>
      <c r="D96" s="11" t="s">
        <v>74</v>
      </c>
      <c r="E96" s="12">
        <v>46003.751747685186</v>
      </c>
      <c r="F96" s="10" t="str">
        <f>TEXT(events[[#This Row],[Start Date]],"DDD")</f>
        <v>Fri</v>
      </c>
      <c r="G96" s="10">
        <f>YEAR(events[[#This Row],[Start Date]])</f>
        <v>2025</v>
      </c>
      <c r="H96" s="10" t="str">
        <f>TEXT(events[[#This Row],[Start Date]],"mmm")</f>
        <v>Dec</v>
      </c>
      <c r="I96" s="10" t="str">
        <f>CONCATENATE("WK_",WEEKNUM(events[[#This Row],[Start Date]]))</f>
        <v>WK_50</v>
      </c>
      <c r="J96" s="12">
        <v>46003.752893518518</v>
      </c>
      <c r="K96" s="10">
        <v>100</v>
      </c>
      <c r="L96" s="10" t="s">
        <v>25</v>
      </c>
      <c r="M96" s="10" t="s">
        <v>986</v>
      </c>
      <c r="N96" s="13">
        <f t="shared" si="1"/>
        <v>1.6333333333333333</v>
      </c>
      <c r="O96" s="14"/>
      <c r="P96" s="14"/>
      <c r="Q96" s="14" t="s">
        <v>987</v>
      </c>
      <c r="R96" s="14" t="s">
        <v>988</v>
      </c>
      <c r="S96" s="14" t="s">
        <v>989</v>
      </c>
      <c r="T96" s="14" t="s">
        <v>990</v>
      </c>
      <c r="U96" s="15">
        <v>2.4</v>
      </c>
      <c r="V96" s="10">
        <v>1</v>
      </c>
    </row>
    <row r="97" spans="1:22" ht="18" customHeight="1" x14ac:dyDescent="0.35">
      <c r="A97" s="10" t="s">
        <v>86</v>
      </c>
      <c r="B97" s="10" t="s">
        <v>3183</v>
      </c>
      <c r="C97" s="11" t="s">
        <v>2950</v>
      </c>
      <c r="D97" s="11" t="s">
        <v>24</v>
      </c>
      <c r="E97" s="12">
        <v>46003.712951388887</v>
      </c>
      <c r="F97" s="10" t="str">
        <f>TEXT(events[[#This Row],[Start Date]],"DDD")</f>
        <v>Fri</v>
      </c>
      <c r="G97" s="10">
        <f>YEAR(events[[#This Row],[Start Date]])</f>
        <v>2025</v>
      </c>
      <c r="H97" s="10" t="str">
        <f>TEXT(events[[#This Row],[Start Date]],"mmm")</f>
        <v>Dec</v>
      </c>
      <c r="I97" s="10" t="str">
        <f>CONCATENATE("WK_",WEEKNUM(events[[#This Row],[Start Date]]))</f>
        <v>WK_50</v>
      </c>
      <c r="J97" s="12">
        <v>46003.71298611111</v>
      </c>
      <c r="K97" s="10">
        <v>38</v>
      </c>
      <c r="L97" s="10" t="s">
        <v>25</v>
      </c>
      <c r="M97" s="10" t="s">
        <v>75</v>
      </c>
      <c r="N97" s="13">
        <f t="shared" si="1"/>
        <v>0.05</v>
      </c>
      <c r="O97" s="14" t="s">
        <v>50</v>
      </c>
      <c r="P97" s="14" t="s">
        <v>50</v>
      </c>
      <c r="Q97" s="14" t="s">
        <v>112</v>
      </c>
      <c r="R97" s="14" t="s">
        <v>112</v>
      </c>
      <c r="S97" s="14" t="s">
        <v>963</v>
      </c>
      <c r="T97" s="14" t="s">
        <v>964</v>
      </c>
      <c r="U97" s="15">
        <v>0</v>
      </c>
      <c r="V97" s="10">
        <v>1</v>
      </c>
    </row>
    <row r="98" spans="1:22" ht="18" customHeight="1" x14ac:dyDescent="0.35">
      <c r="A98" s="10" t="s">
        <v>123</v>
      </c>
      <c r="B98" s="10" t="s">
        <v>3160</v>
      </c>
      <c r="C98" s="11" t="s">
        <v>2926</v>
      </c>
      <c r="D98" s="11" t="s">
        <v>74</v>
      </c>
      <c r="E98" s="12">
        <v>46003.565891203703</v>
      </c>
      <c r="F98" s="10" t="str">
        <f>TEXT(events[[#This Row],[Start Date]],"DDD")</f>
        <v>Fri</v>
      </c>
      <c r="G98" s="10">
        <f>YEAR(events[[#This Row],[Start Date]])</f>
        <v>2025</v>
      </c>
      <c r="H98" s="10" t="str">
        <f>TEXT(events[[#This Row],[Start Date]],"mmm")</f>
        <v>Dec</v>
      </c>
      <c r="I98" s="10" t="str">
        <f>CONCATENATE("WK_",WEEKNUM(events[[#This Row],[Start Date]]))</f>
        <v>WK_50</v>
      </c>
      <c r="J98" s="12">
        <v>46003.566701388889</v>
      </c>
      <c r="K98" s="10">
        <v>93</v>
      </c>
      <c r="L98" s="10" t="s">
        <v>25</v>
      </c>
      <c r="M98" s="10" t="s">
        <v>712</v>
      </c>
      <c r="N98" s="13">
        <f t="shared" si="1"/>
        <v>1.1499999999999999</v>
      </c>
      <c r="O98" s="14"/>
      <c r="P98" s="14"/>
      <c r="Q98" s="14" t="s">
        <v>174</v>
      </c>
      <c r="R98" s="14" t="s">
        <v>174</v>
      </c>
      <c r="S98" s="14" t="s">
        <v>991</v>
      </c>
      <c r="T98" s="14" t="s">
        <v>992</v>
      </c>
      <c r="U98" s="15">
        <v>1.7</v>
      </c>
      <c r="V98" s="10">
        <v>1</v>
      </c>
    </row>
    <row r="99" spans="1:22" ht="18" customHeight="1" x14ac:dyDescent="0.35">
      <c r="A99" s="10" t="s">
        <v>123</v>
      </c>
      <c r="B99" s="10" t="s">
        <v>3192</v>
      </c>
      <c r="C99" s="11" t="s">
        <v>2959</v>
      </c>
      <c r="D99" s="11" t="s">
        <v>74</v>
      </c>
      <c r="E99" s="12">
        <v>46003.51353009259</v>
      </c>
      <c r="F99" s="10" t="str">
        <f>TEXT(events[[#This Row],[Start Date]],"DDD")</f>
        <v>Fri</v>
      </c>
      <c r="G99" s="10">
        <f>YEAR(events[[#This Row],[Start Date]])</f>
        <v>2025</v>
      </c>
      <c r="H99" s="10" t="str">
        <f>TEXT(events[[#This Row],[Start Date]],"mmm")</f>
        <v>Dec</v>
      </c>
      <c r="I99" s="10" t="str">
        <f>CONCATENATE("WK_",WEEKNUM(events[[#This Row],[Start Date]]))</f>
        <v>WK_50</v>
      </c>
      <c r="J99" s="12">
        <v>46003.514108796298</v>
      </c>
      <c r="K99" s="10">
        <v>90</v>
      </c>
      <c r="L99" s="10" t="s">
        <v>25</v>
      </c>
      <c r="M99" s="10" t="s">
        <v>489</v>
      </c>
      <c r="N99" s="13">
        <f t="shared" si="1"/>
        <v>0.81666666666666665</v>
      </c>
      <c r="O99" s="14"/>
      <c r="P99" s="14"/>
      <c r="Q99" s="14" t="s">
        <v>174</v>
      </c>
      <c r="R99" s="14" t="s">
        <v>174</v>
      </c>
      <c r="S99" s="14" t="s">
        <v>993</v>
      </c>
      <c r="T99" s="14" t="s">
        <v>994</v>
      </c>
      <c r="U99" s="15">
        <v>1.2</v>
      </c>
      <c r="V99" s="10">
        <v>1</v>
      </c>
    </row>
    <row r="100" spans="1:22" ht="18" customHeight="1" x14ac:dyDescent="0.35">
      <c r="A100" s="10" t="s">
        <v>86</v>
      </c>
      <c r="B100" s="10" t="s">
        <v>3205</v>
      </c>
      <c r="C100" s="11" t="s">
        <v>2973</v>
      </c>
      <c r="D100" s="11" t="s">
        <v>24</v>
      </c>
      <c r="E100" s="12">
        <v>46003.502152777779</v>
      </c>
      <c r="F100" s="10" t="str">
        <f>TEXT(events[[#This Row],[Start Date]],"DDD")</f>
        <v>Fri</v>
      </c>
      <c r="G100" s="10">
        <f>YEAR(events[[#This Row],[Start Date]])</f>
        <v>2025</v>
      </c>
      <c r="H100" s="10" t="str">
        <f>TEXT(events[[#This Row],[Start Date]],"mmm")</f>
        <v>Dec</v>
      </c>
      <c r="I100" s="10" t="str">
        <f>CONCATENATE("WK_",WEEKNUM(events[[#This Row],[Start Date]]))</f>
        <v>WK_50</v>
      </c>
      <c r="J100" s="12">
        <v>46003.502314814818</v>
      </c>
      <c r="K100" s="10">
        <v>36</v>
      </c>
      <c r="L100" s="10" t="s">
        <v>25</v>
      </c>
      <c r="M100" s="10" t="s">
        <v>418</v>
      </c>
      <c r="N100" s="13">
        <f t="shared" si="1"/>
        <v>0.23333333333333334</v>
      </c>
      <c r="O100" s="14" t="s">
        <v>49</v>
      </c>
      <c r="P100" s="14" t="s">
        <v>49</v>
      </c>
      <c r="Q100" s="14" t="s">
        <v>974</v>
      </c>
      <c r="R100" s="14" t="s">
        <v>974</v>
      </c>
      <c r="S100" s="14" t="s">
        <v>975</v>
      </c>
      <c r="T100" s="14" t="s">
        <v>976</v>
      </c>
      <c r="U100" s="15">
        <v>0.188</v>
      </c>
      <c r="V100" s="10">
        <v>1</v>
      </c>
    </row>
    <row r="101" spans="1:22" ht="18" customHeight="1" x14ac:dyDescent="0.35">
      <c r="A101" s="10" t="s">
        <v>86</v>
      </c>
      <c r="B101" s="10" t="s">
        <v>3205</v>
      </c>
      <c r="C101" s="11" t="s">
        <v>2973</v>
      </c>
      <c r="D101" s="11" t="s">
        <v>24</v>
      </c>
      <c r="E101" s="12">
        <v>46003.405902777777</v>
      </c>
      <c r="F101" s="10" t="str">
        <f>TEXT(events[[#This Row],[Start Date]],"DDD")</f>
        <v>Fri</v>
      </c>
      <c r="G101" s="10">
        <f>YEAR(events[[#This Row],[Start Date]])</f>
        <v>2025</v>
      </c>
      <c r="H101" s="10" t="str">
        <f>TEXT(events[[#This Row],[Start Date]],"mmm")</f>
        <v>Dec</v>
      </c>
      <c r="I101" s="10" t="str">
        <f>CONCATENATE("WK_",WEEKNUM(events[[#This Row],[Start Date]]))</f>
        <v>WK_50</v>
      </c>
      <c r="J101" s="12">
        <v>46003.4059837963</v>
      </c>
      <c r="K101" s="10">
        <v>33</v>
      </c>
      <c r="L101" s="10" t="s">
        <v>25</v>
      </c>
      <c r="M101" s="10" t="s">
        <v>115</v>
      </c>
      <c r="N101" s="13">
        <f t="shared" si="1"/>
        <v>0.11666666666666667</v>
      </c>
      <c r="O101" s="14" t="s">
        <v>209</v>
      </c>
      <c r="P101" s="14" t="s">
        <v>209</v>
      </c>
      <c r="Q101" s="14" t="s">
        <v>971</v>
      </c>
      <c r="R101" s="14" t="s">
        <v>971</v>
      </c>
      <c r="S101" s="14" t="s">
        <v>972</v>
      </c>
      <c r="T101" s="14" t="s">
        <v>973</v>
      </c>
      <c r="U101" s="15">
        <v>9.4E-2</v>
      </c>
      <c r="V101" s="10">
        <v>1</v>
      </c>
    </row>
    <row r="102" spans="1:22" ht="18" customHeight="1" x14ac:dyDescent="0.35">
      <c r="A102" s="10" t="s">
        <v>47</v>
      </c>
      <c r="B102" s="10" t="s">
        <v>3186</v>
      </c>
      <c r="C102" s="11" t="s">
        <v>2954</v>
      </c>
      <c r="D102" s="11" t="s">
        <v>74</v>
      </c>
      <c r="E102" s="12">
        <v>46002.670983796299</v>
      </c>
      <c r="F102" s="10" t="str">
        <f>TEXT(events[[#This Row],[Start Date]],"DDD")</f>
        <v>Thu</v>
      </c>
      <c r="G102" s="10">
        <f>YEAR(events[[#This Row],[Start Date]])</f>
        <v>2025</v>
      </c>
      <c r="H102" s="10" t="str">
        <f>TEXT(events[[#This Row],[Start Date]],"mmm")</f>
        <v>Dec</v>
      </c>
      <c r="I102" s="10" t="str">
        <f>CONCATENATE("WK_",WEEKNUM(events[[#This Row],[Start Date]]))</f>
        <v>WK_50</v>
      </c>
      <c r="J102" s="12">
        <v>46002.670995370368</v>
      </c>
      <c r="K102" s="10">
        <v>82</v>
      </c>
      <c r="L102" s="10" t="s">
        <v>25</v>
      </c>
      <c r="M102" s="10" t="s">
        <v>26</v>
      </c>
      <c r="N102" s="13">
        <f t="shared" si="1"/>
        <v>1.6666666666666666E-2</v>
      </c>
      <c r="O102" s="14" t="s">
        <v>231</v>
      </c>
      <c r="P102" s="14" t="s">
        <v>231</v>
      </c>
      <c r="Q102" s="14" t="s">
        <v>940</v>
      </c>
      <c r="R102" s="14" t="s">
        <v>940</v>
      </c>
      <c r="S102" s="14" t="s">
        <v>941</v>
      </c>
      <c r="T102" s="14" t="s">
        <v>942</v>
      </c>
      <c r="U102" s="15">
        <v>0.125</v>
      </c>
      <c r="V102" s="10">
        <v>1</v>
      </c>
    </row>
    <row r="103" spans="1:22" ht="18" customHeight="1" x14ac:dyDescent="0.35">
      <c r="A103" s="10" t="s">
        <v>23</v>
      </c>
      <c r="B103" s="10" t="s">
        <v>3207</v>
      </c>
      <c r="C103" s="11" t="s">
        <v>2975</v>
      </c>
      <c r="D103" s="11" t="s">
        <v>24</v>
      </c>
      <c r="E103" s="12">
        <v>46002.522812499999</v>
      </c>
      <c r="F103" s="10" t="str">
        <f>TEXT(events[[#This Row],[Start Date]],"DDD")</f>
        <v>Thu</v>
      </c>
      <c r="G103" s="10">
        <f>YEAR(events[[#This Row],[Start Date]])</f>
        <v>2025</v>
      </c>
      <c r="H103" s="10" t="str">
        <f>TEXT(events[[#This Row],[Start Date]],"mmm")</f>
        <v>Dec</v>
      </c>
      <c r="I103" s="10" t="str">
        <f>CONCATENATE("WK_",WEEKNUM(events[[#This Row],[Start Date]]))</f>
        <v>WK_50</v>
      </c>
      <c r="J103" s="12">
        <v>46002.522824074076</v>
      </c>
      <c r="K103" s="10">
        <v>31</v>
      </c>
      <c r="L103" s="10" t="s">
        <v>25</v>
      </c>
      <c r="M103" s="10" t="s">
        <v>26</v>
      </c>
      <c r="N103" s="13">
        <f t="shared" si="1"/>
        <v>1.6666666666666666E-2</v>
      </c>
      <c r="O103" s="14" t="s">
        <v>138</v>
      </c>
      <c r="P103" s="14" t="s">
        <v>138</v>
      </c>
      <c r="Q103" s="14" t="s">
        <v>933</v>
      </c>
      <c r="R103" s="14" t="s">
        <v>933</v>
      </c>
      <c r="S103" s="14" t="s">
        <v>934</v>
      </c>
      <c r="T103" s="14" t="s">
        <v>935</v>
      </c>
      <c r="U103" s="15">
        <v>0</v>
      </c>
      <c r="V103" s="10">
        <v>1</v>
      </c>
    </row>
    <row r="104" spans="1:22" ht="18" customHeight="1" x14ac:dyDescent="0.35">
      <c r="A104" s="10" t="s">
        <v>86</v>
      </c>
      <c r="B104" s="10" t="s">
        <v>3208</v>
      </c>
      <c r="C104" s="11" t="s">
        <v>2976</v>
      </c>
      <c r="D104" s="11" t="s">
        <v>24</v>
      </c>
      <c r="E104" s="12">
        <v>46002.504537037035</v>
      </c>
      <c r="F104" s="10" t="str">
        <f>TEXT(events[[#This Row],[Start Date]],"DDD")</f>
        <v>Thu</v>
      </c>
      <c r="G104" s="10">
        <f>YEAR(events[[#This Row],[Start Date]])</f>
        <v>2025</v>
      </c>
      <c r="H104" s="10" t="str">
        <f>TEXT(events[[#This Row],[Start Date]],"mmm")</f>
        <v>Dec</v>
      </c>
      <c r="I104" s="10" t="str">
        <f>CONCATENATE("WK_",WEEKNUM(events[[#This Row],[Start Date]]))</f>
        <v>WK_50</v>
      </c>
      <c r="J104" s="12">
        <v>46002.504537037035</v>
      </c>
      <c r="K104" s="10">
        <v>54</v>
      </c>
      <c r="L104" s="10" t="s">
        <v>25</v>
      </c>
      <c r="M104" s="10" t="s">
        <v>87</v>
      </c>
      <c r="N104" s="13">
        <f t="shared" si="1"/>
        <v>0</v>
      </c>
      <c r="O104" s="14" t="s">
        <v>65</v>
      </c>
      <c r="P104" s="14" t="s">
        <v>65</v>
      </c>
      <c r="Q104" s="14" t="s">
        <v>956</v>
      </c>
      <c r="R104" s="14" t="s">
        <v>956</v>
      </c>
      <c r="S104" s="14" t="s">
        <v>957</v>
      </c>
      <c r="T104" s="14" t="s">
        <v>957</v>
      </c>
      <c r="U104" s="15">
        <v>0</v>
      </c>
      <c r="V104" s="10">
        <v>1</v>
      </c>
    </row>
    <row r="105" spans="1:22" ht="18" customHeight="1" x14ac:dyDescent="0.35">
      <c r="A105" s="10" t="s">
        <v>23</v>
      </c>
      <c r="B105" s="10" t="s">
        <v>3209</v>
      </c>
      <c r="C105" s="11" t="s">
        <v>2977</v>
      </c>
      <c r="D105" s="11" t="s">
        <v>24</v>
      </c>
      <c r="E105" s="12">
        <v>46001.881458333337</v>
      </c>
      <c r="F105" s="10" t="str">
        <f>TEXT(events[[#This Row],[Start Date]],"DDD")</f>
        <v>Wed</v>
      </c>
      <c r="G105" s="10">
        <f>YEAR(events[[#This Row],[Start Date]])</f>
        <v>2025</v>
      </c>
      <c r="H105" s="10" t="str">
        <f>TEXT(events[[#This Row],[Start Date]],"mmm")</f>
        <v>Dec</v>
      </c>
      <c r="I105" s="10" t="str">
        <f>CONCATENATE("WK_",WEEKNUM(events[[#This Row],[Start Date]]))</f>
        <v>WK_50</v>
      </c>
      <c r="J105" s="12">
        <v>46001.881712962961</v>
      </c>
      <c r="K105" s="10">
        <v>36</v>
      </c>
      <c r="L105" s="10" t="s">
        <v>25</v>
      </c>
      <c r="M105" s="10" t="s">
        <v>1079</v>
      </c>
      <c r="N105" s="13">
        <f t="shared" si="1"/>
        <v>0.36666666666666664</v>
      </c>
      <c r="O105" s="14" t="s">
        <v>38</v>
      </c>
      <c r="P105" s="14" t="s">
        <v>38</v>
      </c>
      <c r="Q105" s="14" t="s">
        <v>60</v>
      </c>
      <c r="R105" s="14" t="s">
        <v>60</v>
      </c>
      <c r="S105" s="14" t="s">
        <v>1080</v>
      </c>
      <c r="T105" s="14" t="s">
        <v>1081</v>
      </c>
      <c r="U105" s="15">
        <v>0.29699999999999999</v>
      </c>
      <c r="V105" s="10">
        <v>1</v>
      </c>
    </row>
    <row r="106" spans="1:22" ht="18" customHeight="1" x14ac:dyDescent="0.35">
      <c r="A106" s="10" t="s">
        <v>86</v>
      </c>
      <c r="B106" s="10" t="s">
        <v>3205</v>
      </c>
      <c r="C106" s="11" t="s">
        <v>2973</v>
      </c>
      <c r="D106" s="11" t="s">
        <v>24</v>
      </c>
      <c r="E106" s="12">
        <v>46001.822476851848</v>
      </c>
      <c r="F106" s="10" t="str">
        <f>TEXT(events[[#This Row],[Start Date]],"DDD")</f>
        <v>Wed</v>
      </c>
      <c r="G106" s="10">
        <f>YEAR(events[[#This Row],[Start Date]])</f>
        <v>2025</v>
      </c>
      <c r="H106" s="10" t="str">
        <f>TEXT(events[[#This Row],[Start Date]],"mmm")</f>
        <v>Dec</v>
      </c>
      <c r="I106" s="10" t="str">
        <f>CONCATENATE("WK_",WEEKNUM(events[[#This Row],[Start Date]]))</f>
        <v>WK_50</v>
      </c>
      <c r="J106" s="12">
        <v>46001.822511574072</v>
      </c>
      <c r="K106" s="10">
        <v>38</v>
      </c>
      <c r="L106" s="10" t="s">
        <v>25</v>
      </c>
      <c r="M106" s="10" t="s">
        <v>75</v>
      </c>
      <c r="N106" s="13">
        <f t="shared" si="1"/>
        <v>0.05</v>
      </c>
      <c r="O106" s="14" t="s">
        <v>49</v>
      </c>
      <c r="P106" s="14" t="s">
        <v>50</v>
      </c>
      <c r="Q106" s="14" t="s">
        <v>1128</v>
      </c>
      <c r="R106" s="14" t="s">
        <v>1128</v>
      </c>
      <c r="S106" s="14" t="s">
        <v>1129</v>
      </c>
      <c r="T106" s="14" t="s">
        <v>1130</v>
      </c>
      <c r="U106" s="15">
        <v>0</v>
      </c>
      <c r="V106" s="10">
        <v>1</v>
      </c>
    </row>
    <row r="107" spans="1:22" ht="18" customHeight="1" x14ac:dyDescent="0.35">
      <c r="A107" s="10" t="s">
        <v>86</v>
      </c>
      <c r="B107" s="10" t="s">
        <v>3158</v>
      </c>
      <c r="C107" s="11" t="s">
        <v>2978</v>
      </c>
      <c r="D107" s="11" t="s">
        <v>74</v>
      </c>
      <c r="E107" s="12">
        <v>46001.813333333332</v>
      </c>
      <c r="F107" s="10" t="str">
        <f>TEXT(events[[#This Row],[Start Date]],"DDD")</f>
        <v>Wed</v>
      </c>
      <c r="G107" s="10">
        <f>YEAR(events[[#This Row],[Start Date]])</f>
        <v>2025</v>
      </c>
      <c r="H107" s="10" t="str">
        <f>TEXT(events[[#This Row],[Start Date]],"mmm")</f>
        <v>Dec</v>
      </c>
      <c r="I107" s="10" t="str">
        <f>CONCATENATE("WK_",WEEKNUM(events[[#This Row],[Start Date]]))</f>
        <v>WK_50</v>
      </c>
      <c r="J107" s="12">
        <v>46001.813356481478</v>
      </c>
      <c r="K107" s="10">
        <v>81</v>
      </c>
      <c r="L107" s="10" t="s">
        <v>25</v>
      </c>
      <c r="M107" s="10" t="s">
        <v>31</v>
      </c>
      <c r="N107" s="13">
        <f t="shared" si="1"/>
        <v>3.3333333333333333E-2</v>
      </c>
      <c r="O107" s="14" t="s">
        <v>27</v>
      </c>
      <c r="P107" s="14" t="s">
        <v>27</v>
      </c>
      <c r="Q107" s="14" t="s">
        <v>291</v>
      </c>
      <c r="R107" s="14" t="s">
        <v>291</v>
      </c>
      <c r="S107" s="14" t="s">
        <v>1116</v>
      </c>
      <c r="T107" s="14" t="s">
        <v>579</v>
      </c>
      <c r="U107" s="15">
        <v>0.125</v>
      </c>
      <c r="V107" s="10">
        <v>1</v>
      </c>
    </row>
    <row r="108" spans="1:22" ht="18" customHeight="1" x14ac:dyDescent="0.35">
      <c r="A108" s="10" t="s">
        <v>86</v>
      </c>
      <c r="B108" s="10" t="s">
        <v>3158</v>
      </c>
      <c r="C108" s="11" t="s">
        <v>2978</v>
      </c>
      <c r="D108" s="11" t="s">
        <v>74</v>
      </c>
      <c r="E108" s="12">
        <v>46001.813101851854</v>
      </c>
      <c r="F108" s="10" t="str">
        <f>TEXT(events[[#This Row],[Start Date]],"DDD")</f>
        <v>Wed</v>
      </c>
      <c r="G108" s="10">
        <f>YEAR(events[[#This Row],[Start Date]])</f>
        <v>2025</v>
      </c>
      <c r="H108" s="10" t="str">
        <f>TEXT(events[[#This Row],[Start Date]],"mmm")</f>
        <v>Dec</v>
      </c>
      <c r="I108" s="10" t="str">
        <f>CONCATENATE("WK_",WEEKNUM(events[[#This Row],[Start Date]]))</f>
        <v>WK_50</v>
      </c>
      <c r="J108" s="12">
        <v>46001.813171296293</v>
      </c>
      <c r="K108" s="10">
        <v>83</v>
      </c>
      <c r="L108" s="10" t="s">
        <v>25</v>
      </c>
      <c r="M108" s="10" t="s">
        <v>328</v>
      </c>
      <c r="N108" s="13">
        <f t="shared" si="1"/>
        <v>0.1</v>
      </c>
      <c r="O108" s="14" t="s">
        <v>27</v>
      </c>
      <c r="P108" s="14" t="s">
        <v>27</v>
      </c>
      <c r="Q108" s="14" t="s">
        <v>291</v>
      </c>
      <c r="R108" s="14" t="s">
        <v>291</v>
      </c>
      <c r="S108" s="14" t="s">
        <v>1114</v>
      </c>
      <c r="T108" s="14" t="s">
        <v>1115</v>
      </c>
      <c r="U108" s="15">
        <v>0.125</v>
      </c>
      <c r="V108" s="10">
        <v>1</v>
      </c>
    </row>
    <row r="109" spans="1:22" ht="18" customHeight="1" x14ac:dyDescent="0.35">
      <c r="A109" s="10" t="s">
        <v>86</v>
      </c>
      <c r="B109" s="10" t="s">
        <v>3210</v>
      </c>
      <c r="C109" s="11" t="s">
        <v>2979</v>
      </c>
      <c r="D109" s="11" t="s">
        <v>74</v>
      </c>
      <c r="E109" s="12">
        <v>46001.644513888888</v>
      </c>
      <c r="F109" s="10" t="str">
        <f>TEXT(events[[#This Row],[Start Date]],"DDD")</f>
        <v>Wed</v>
      </c>
      <c r="G109" s="10">
        <f>YEAR(events[[#This Row],[Start Date]])</f>
        <v>2025</v>
      </c>
      <c r="H109" s="10" t="str">
        <f>TEXT(events[[#This Row],[Start Date]],"mmm")</f>
        <v>Dec</v>
      </c>
      <c r="I109" s="10" t="str">
        <f>CONCATENATE("WK_",WEEKNUM(events[[#This Row],[Start Date]]))</f>
        <v>WK_50</v>
      </c>
      <c r="J109" s="12">
        <v>46001.644525462965</v>
      </c>
      <c r="K109" s="10">
        <v>82</v>
      </c>
      <c r="L109" s="10" t="s">
        <v>25</v>
      </c>
      <c r="M109" s="10" t="s">
        <v>26</v>
      </c>
      <c r="N109" s="13">
        <f t="shared" si="1"/>
        <v>1.6666666666666666E-2</v>
      </c>
      <c r="O109" s="14" t="s">
        <v>92</v>
      </c>
      <c r="P109" s="14" t="s">
        <v>92</v>
      </c>
      <c r="Q109" s="14" t="s">
        <v>718</v>
      </c>
      <c r="R109" s="14" t="s">
        <v>1095</v>
      </c>
      <c r="S109" s="14" t="s">
        <v>1096</v>
      </c>
      <c r="T109" s="14" t="s">
        <v>1097</v>
      </c>
      <c r="U109" s="15">
        <v>0</v>
      </c>
      <c r="V109" s="10">
        <v>1</v>
      </c>
    </row>
    <row r="110" spans="1:22" ht="18" customHeight="1" x14ac:dyDescent="0.35">
      <c r="A110" s="10" t="s">
        <v>23</v>
      </c>
      <c r="B110" s="10" t="s">
        <v>3211</v>
      </c>
      <c r="C110" s="11" t="s">
        <v>2980</v>
      </c>
      <c r="D110" s="11" t="s">
        <v>82</v>
      </c>
      <c r="E110" s="12">
        <v>46001.581979166665</v>
      </c>
      <c r="F110" s="10" t="str">
        <f>TEXT(events[[#This Row],[Start Date]],"DDD")</f>
        <v>Wed</v>
      </c>
      <c r="G110" s="10">
        <f>YEAR(events[[#This Row],[Start Date]])</f>
        <v>2025</v>
      </c>
      <c r="H110" s="10" t="str">
        <f>TEXT(events[[#This Row],[Start Date]],"mmm")</f>
        <v>Dec</v>
      </c>
      <c r="I110" s="10" t="str">
        <f>CONCATENATE("WK_",WEEKNUM(events[[#This Row],[Start Date]]))</f>
        <v>WK_50</v>
      </c>
      <c r="J110" s="12">
        <v>46001.581990740742</v>
      </c>
      <c r="K110" s="10">
        <v>20</v>
      </c>
      <c r="L110" s="10" t="s">
        <v>83</v>
      </c>
      <c r="M110" s="10" t="s">
        <v>26</v>
      </c>
      <c r="N110" s="13">
        <f t="shared" si="1"/>
        <v>1.6666666666666666E-2</v>
      </c>
      <c r="O110" s="14" t="s">
        <v>38</v>
      </c>
      <c r="P110" s="14"/>
      <c r="Q110" s="14" t="s">
        <v>1077</v>
      </c>
      <c r="R110" s="14"/>
      <c r="S110" s="14" t="s">
        <v>1078</v>
      </c>
      <c r="T110" s="14"/>
      <c r="U110" s="15">
        <v>0</v>
      </c>
      <c r="V110" s="10">
        <v>1</v>
      </c>
    </row>
    <row r="111" spans="1:22" ht="18" customHeight="1" x14ac:dyDescent="0.35">
      <c r="A111" s="10" t="s">
        <v>47</v>
      </c>
      <c r="B111" s="10" t="s">
        <v>3212</v>
      </c>
      <c r="C111" s="11" t="s">
        <v>2981</v>
      </c>
      <c r="D111" s="11" t="s">
        <v>24</v>
      </c>
      <c r="E111" s="12">
        <v>46001.559907407405</v>
      </c>
      <c r="F111" s="10" t="str">
        <f>TEXT(events[[#This Row],[Start Date]],"DDD")</f>
        <v>Wed</v>
      </c>
      <c r="G111" s="10">
        <f>YEAR(events[[#This Row],[Start Date]])</f>
        <v>2025</v>
      </c>
      <c r="H111" s="10" t="str">
        <f>TEXT(events[[#This Row],[Start Date]],"mmm")</f>
        <v>Dec</v>
      </c>
      <c r="I111" s="10" t="str">
        <f>CONCATENATE("WK_",WEEKNUM(events[[#This Row],[Start Date]]))</f>
        <v>WK_50</v>
      </c>
      <c r="J111" s="12">
        <v>46001.559930555559</v>
      </c>
      <c r="K111" s="10">
        <v>36</v>
      </c>
      <c r="L111" s="10" t="s">
        <v>25</v>
      </c>
      <c r="M111" s="10" t="s">
        <v>31</v>
      </c>
      <c r="N111" s="13">
        <f t="shared" si="1"/>
        <v>3.3333333333333333E-2</v>
      </c>
      <c r="O111" s="14" t="s">
        <v>27</v>
      </c>
      <c r="P111" s="14" t="s">
        <v>27</v>
      </c>
      <c r="Q111" s="14" t="s">
        <v>1092</v>
      </c>
      <c r="R111" s="14" t="s">
        <v>571</v>
      </c>
      <c r="S111" s="14" t="s">
        <v>1093</v>
      </c>
      <c r="T111" s="14" t="s">
        <v>1094</v>
      </c>
      <c r="U111" s="15">
        <v>0</v>
      </c>
      <c r="V111" s="10">
        <v>1</v>
      </c>
    </row>
    <row r="112" spans="1:22" ht="18" customHeight="1" x14ac:dyDescent="0.35">
      <c r="A112" s="10" t="s">
        <v>86</v>
      </c>
      <c r="B112" s="10" t="s">
        <v>3213</v>
      </c>
      <c r="C112" s="11" t="s">
        <v>2952</v>
      </c>
      <c r="D112" s="11" t="s">
        <v>24</v>
      </c>
      <c r="E112" s="12">
        <v>46001.557708333334</v>
      </c>
      <c r="F112" s="10" t="str">
        <f>TEXT(events[[#This Row],[Start Date]],"DDD")</f>
        <v>Wed</v>
      </c>
      <c r="G112" s="10">
        <f>YEAR(events[[#This Row],[Start Date]])</f>
        <v>2025</v>
      </c>
      <c r="H112" s="10" t="str">
        <f>TEXT(events[[#This Row],[Start Date]],"mmm")</f>
        <v>Dec</v>
      </c>
      <c r="I112" s="10" t="str">
        <f>CONCATENATE("WK_",WEEKNUM(events[[#This Row],[Start Date]]))</f>
        <v>WK_50</v>
      </c>
      <c r="J112" s="12">
        <v>46001.557847222219</v>
      </c>
      <c r="K112" s="10">
        <v>40</v>
      </c>
      <c r="L112" s="10" t="s">
        <v>25</v>
      </c>
      <c r="M112" s="10" t="s">
        <v>1111</v>
      </c>
      <c r="N112" s="13">
        <f t="shared" si="1"/>
        <v>0.2</v>
      </c>
      <c r="O112" s="14" t="s">
        <v>38</v>
      </c>
      <c r="P112" s="14" t="s">
        <v>38</v>
      </c>
      <c r="Q112" s="14" t="s">
        <v>151</v>
      </c>
      <c r="R112" s="14" t="s">
        <v>151</v>
      </c>
      <c r="S112" s="14" t="s">
        <v>1112</v>
      </c>
      <c r="T112" s="14" t="s">
        <v>1113</v>
      </c>
      <c r="U112" s="15">
        <v>6.2E-2</v>
      </c>
      <c r="V112" s="10">
        <v>1</v>
      </c>
    </row>
    <row r="113" spans="1:22" ht="18" customHeight="1" x14ac:dyDescent="0.35">
      <c r="A113" s="10" t="s">
        <v>86</v>
      </c>
      <c r="B113" s="10" t="s">
        <v>3213</v>
      </c>
      <c r="C113" s="11" t="s">
        <v>2952</v>
      </c>
      <c r="D113" s="11" t="s">
        <v>24</v>
      </c>
      <c r="E113" s="12">
        <v>46001.46366898148</v>
      </c>
      <c r="F113" s="10" t="str">
        <f>TEXT(events[[#This Row],[Start Date]],"DDD")</f>
        <v>Wed</v>
      </c>
      <c r="G113" s="10">
        <f>YEAR(events[[#This Row],[Start Date]])</f>
        <v>2025</v>
      </c>
      <c r="H113" s="10" t="str">
        <f>TEXT(events[[#This Row],[Start Date]],"mmm")</f>
        <v>Dec</v>
      </c>
      <c r="I113" s="10" t="str">
        <f>CONCATENATE("WK_",WEEKNUM(events[[#This Row],[Start Date]]))</f>
        <v>WK_50</v>
      </c>
      <c r="J113" s="12">
        <v>46001.46366898148</v>
      </c>
      <c r="K113" s="10">
        <v>39</v>
      </c>
      <c r="L113" s="10" t="s">
        <v>25</v>
      </c>
      <c r="M113" s="10" t="s">
        <v>87</v>
      </c>
      <c r="N113" s="13">
        <f t="shared" si="1"/>
        <v>0</v>
      </c>
      <c r="O113" s="14" t="s">
        <v>38</v>
      </c>
      <c r="P113" s="14" t="s">
        <v>38</v>
      </c>
      <c r="Q113" s="14" t="s">
        <v>1109</v>
      </c>
      <c r="R113" s="14" t="s">
        <v>1109</v>
      </c>
      <c r="S113" s="14" t="s">
        <v>1110</v>
      </c>
      <c r="T113" s="14" t="s">
        <v>1110</v>
      </c>
      <c r="U113" s="15">
        <v>0</v>
      </c>
      <c r="V113" s="10">
        <v>1</v>
      </c>
    </row>
    <row r="114" spans="1:22" ht="18" customHeight="1" x14ac:dyDescent="0.35">
      <c r="A114" s="10" t="s">
        <v>123</v>
      </c>
      <c r="B114" s="10" t="s">
        <v>3214</v>
      </c>
      <c r="C114" s="11" t="s">
        <v>2982</v>
      </c>
      <c r="D114" s="11" t="s">
        <v>74</v>
      </c>
      <c r="E114" s="12">
        <v>46000.846273148149</v>
      </c>
      <c r="F114" s="10" t="str">
        <f>TEXT(events[[#This Row],[Start Date]],"DDD")</f>
        <v>Tue</v>
      </c>
      <c r="G114" s="10">
        <f>YEAR(events[[#This Row],[Start Date]])</f>
        <v>2025</v>
      </c>
      <c r="H114" s="10" t="str">
        <f>TEXT(events[[#This Row],[Start Date]],"mmm")</f>
        <v>Dec</v>
      </c>
      <c r="I114" s="10" t="str">
        <f>CONCATENATE("WK_",WEEKNUM(events[[#This Row],[Start Date]]))</f>
        <v>WK_50</v>
      </c>
      <c r="J114" s="12">
        <v>46000.846631944441</v>
      </c>
      <c r="K114" s="10">
        <v>93</v>
      </c>
      <c r="L114" s="10" t="s">
        <v>25</v>
      </c>
      <c r="M114" s="10" t="s">
        <v>838</v>
      </c>
      <c r="N114" s="13">
        <f t="shared" si="1"/>
        <v>0.51666666666666672</v>
      </c>
      <c r="O114" s="14"/>
      <c r="P114" s="14"/>
      <c r="Q114" s="14" t="s">
        <v>1143</v>
      </c>
      <c r="R114" s="14" t="s">
        <v>1143</v>
      </c>
      <c r="S114" s="14" t="s">
        <v>1144</v>
      </c>
      <c r="T114" s="14" t="s">
        <v>1145</v>
      </c>
      <c r="U114" s="15">
        <v>0.9</v>
      </c>
      <c r="V114" s="10">
        <v>1</v>
      </c>
    </row>
    <row r="115" spans="1:22" ht="18" customHeight="1" x14ac:dyDescent="0.35">
      <c r="A115" s="10" t="s">
        <v>86</v>
      </c>
      <c r="B115" s="10" t="s">
        <v>3213</v>
      </c>
      <c r="C115" s="11" t="s">
        <v>2952</v>
      </c>
      <c r="D115" s="11" t="s">
        <v>24</v>
      </c>
      <c r="E115" s="12">
        <v>46000.844085648147</v>
      </c>
      <c r="F115" s="10" t="str">
        <f>TEXT(events[[#This Row],[Start Date]],"DDD")</f>
        <v>Tue</v>
      </c>
      <c r="G115" s="10">
        <f>YEAR(events[[#This Row],[Start Date]])</f>
        <v>2025</v>
      </c>
      <c r="H115" s="10" t="str">
        <f>TEXT(events[[#This Row],[Start Date]],"mmm")</f>
        <v>Dec</v>
      </c>
      <c r="I115" s="10" t="str">
        <f>CONCATENATE("WK_",WEEKNUM(events[[#This Row],[Start Date]]))</f>
        <v>WK_50</v>
      </c>
      <c r="J115" s="12">
        <v>46000.844560185185</v>
      </c>
      <c r="K115" s="10">
        <v>43</v>
      </c>
      <c r="L115" s="10" t="s">
        <v>25</v>
      </c>
      <c r="M115" s="10" t="s">
        <v>1105</v>
      </c>
      <c r="N115" s="13">
        <f t="shared" si="1"/>
        <v>0.68333333333333335</v>
      </c>
      <c r="O115" s="14" t="s">
        <v>142</v>
      </c>
      <c r="P115" s="14" t="s">
        <v>142</v>
      </c>
      <c r="Q115" s="14" t="s">
        <v>1106</v>
      </c>
      <c r="R115" s="14" t="s">
        <v>1106</v>
      </c>
      <c r="S115" s="14" t="s">
        <v>1107</v>
      </c>
      <c r="T115" s="14" t="s">
        <v>1108</v>
      </c>
      <c r="U115" s="15">
        <v>0.5</v>
      </c>
      <c r="V115" s="10">
        <v>1</v>
      </c>
    </row>
    <row r="116" spans="1:22" ht="18" customHeight="1" x14ac:dyDescent="0.35">
      <c r="A116" s="10" t="s">
        <v>86</v>
      </c>
      <c r="B116" s="10" t="s">
        <v>3213</v>
      </c>
      <c r="C116" s="11" t="s">
        <v>2952</v>
      </c>
      <c r="D116" s="11" t="s">
        <v>24</v>
      </c>
      <c r="E116" s="12">
        <v>46000.709594907406</v>
      </c>
      <c r="F116" s="10" t="str">
        <f>TEXT(events[[#This Row],[Start Date]],"DDD")</f>
        <v>Tue</v>
      </c>
      <c r="G116" s="10">
        <f>YEAR(events[[#This Row],[Start Date]])</f>
        <v>2025</v>
      </c>
      <c r="H116" s="10" t="str">
        <f>TEXT(events[[#This Row],[Start Date]],"mmm")</f>
        <v>Dec</v>
      </c>
      <c r="I116" s="10" t="str">
        <f>CONCATENATE("WK_",WEEKNUM(events[[#This Row],[Start Date]]))</f>
        <v>WK_50</v>
      </c>
      <c r="J116" s="12">
        <v>46000.709803240738</v>
      </c>
      <c r="K116" s="10">
        <v>41</v>
      </c>
      <c r="L116" s="10" t="s">
        <v>25</v>
      </c>
      <c r="M116" s="10" t="s">
        <v>120</v>
      </c>
      <c r="N116" s="13">
        <f t="shared" si="1"/>
        <v>0.3</v>
      </c>
      <c r="O116" s="14" t="s">
        <v>1101</v>
      </c>
      <c r="P116" s="14" t="s">
        <v>1101</v>
      </c>
      <c r="Q116" s="14" t="s">
        <v>1102</v>
      </c>
      <c r="R116" s="14" t="s">
        <v>1102</v>
      </c>
      <c r="S116" s="14" t="s">
        <v>1103</v>
      </c>
      <c r="T116" s="14" t="s">
        <v>1104</v>
      </c>
      <c r="U116" s="15">
        <v>0.188</v>
      </c>
      <c r="V116" s="10">
        <v>1</v>
      </c>
    </row>
    <row r="117" spans="1:22" ht="18" customHeight="1" x14ac:dyDescent="0.35">
      <c r="A117" s="10" t="s">
        <v>123</v>
      </c>
      <c r="B117" s="10" t="s">
        <v>3215</v>
      </c>
      <c r="C117" s="11" t="s">
        <v>2983</v>
      </c>
      <c r="D117" s="11" t="s">
        <v>74</v>
      </c>
      <c r="E117" s="12">
        <v>46000.39025462963</v>
      </c>
      <c r="F117" s="10" t="str">
        <f>TEXT(events[[#This Row],[Start Date]],"DDD")</f>
        <v>Tue</v>
      </c>
      <c r="G117" s="10">
        <f>YEAR(events[[#This Row],[Start Date]])</f>
        <v>2025</v>
      </c>
      <c r="H117" s="10" t="str">
        <f>TEXT(events[[#This Row],[Start Date]],"mmm")</f>
        <v>Dec</v>
      </c>
      <c r="I117" s="10" t="str">
        <f>CONCATENATE("WK_",WEEKNUM(events[[#This Row],[Start Date]]))</f>
        <v>WK_50</v>
      </c>
      <c r="J117" s="12">
        <v>46000.390625</v>
      </c>
      <c r="K117" s="10">
        <v>105</v>
      </c>
      <c r="L117" s="10" t="s">
        <v>25</v>
      </c>
      <c r="M117" s="10" t="s">
        <v>838</v>
      </c>
      <c r="N117" s="13">
        <f t="shared" si="1"/>
        <v>0.51666666666666672</v>
      </c>
      <c r="O117" s="14"/>
      <c r="P117" s="14"/>
      <c r="Q117" s="14" t="s">
        <v>544</v>
      </c>
      <c r="R117" s="14" t="s">
        <v>544</v>
      </c>
      <c r="S117" s="14" t="s">
        <v>1141</v>
      </c>
      <c r="T117" s="14" t="s">
        <v>1142</v>
      </c>
      <c r="U117" s="15">
        <v>1</v>
      </c>
      <c r="V117" s="10">
        <v>1</v>
      </c>
    </row>
    <row r="118" spans="1:22" ht="18" customHeight="1" x14ac:dyDescent="0.35">
      <c r="A118" s="10" t="s">
        <v>123</v>
      </c>
      <c r="B118" s="10" t="s">
        <v>3195</v>
      </c>
      <c r="C118" s="11" t="s">
        <v>2962</v>
      </c>
      <c r="D118" s="11" t="s">
        <v>74</v>
      </c>
      <c r="E118" s="12">
        <v>45999.833831018521</v>
      </c>
      <c r="F118" s="10" t="str">
        <f>TEXT(events[[#This Row],[Start Date]],"DDD")</f>
        <v>Mon</v>
      </c>
      <c r="G118" s="10">
        <f>YEAR(events[[#This Row],[Start Date]])</f>
        <v>2025</v>
      </c>
      <c r="H118" s="10" t="str">
        <f>TEXT(events[[#This Row],[Start Date]],"mmm")</f>
        <v>Dec</v>
      </c>
      <c r="I118" s="10" t="str">
        <f>CONCATENATE("WK_",WEEKNUM(events[[#This Row],[Start Date]]))</f>
        <v>WK_50</v>
      </c>
      <c r="J118" s="12">
        <v>45999.834178240744</v>
      </c>
      <c r="K118" s="10">
        <v>110</v>
      </c>
      <c r="L118" s="10" t="s">
        <v>25</v>
      </c>
      <c r="M118" s="10" t="s">
        <v>1151</v>
      </c>
      <c r="N118" s="13">
        <f t="shared" si="1"/>
        <v>0.48333333333333334</v>
      </c>
      <c r="O118" s="14"/>
      <c r="P118" s="14"/>
      <c r="Q118" s="14" t="s">
        <v>831</v>
      </c>
      <c r="R118" s="14" t="s">
        <v>831</v>
      </c>
      <c r="S118" s="14" t="s">
        <v>1152</v>
      </c>
      <c r="T118" s="14" t="s">
        <v>1153</v>
      </c>
      <c r="U118" s="15">
        <v>0.8</v>
      </c>
      <c r="V118" s="10">
        <v>1</v>
      </c>
    </row>
    <row r="119" spans="1:22" ht="18" customHeight="1" x14ac:dyDescent="0.35">
      <c r="A119" s="10" t="s">
        <v>47</v>
      </c>
      <c r="B119" s="10" t="s">
        <v>3216</v>
      </c>
      <c r="C119" s="11" t="s">
        <v>2984</v>
      </c>
      <c r="D119" s="11" t="s">
        <v>24</v>
      </c>
      <c r="E119" s="12">
        <v>45999.649745370371</v>
      </c>
      <c r="F119" s="10" t="str">
        <f>TEXT(events[[#This Row],[Start Date]],"DDD")</f>
        <v>Mon</v>
      </c>
      <c r="G119" s="10">
        <f>YEAR(events[[#This Row],[Start Date]])</f>
        <v>2025</v>
      </c>
      <c r="H119" s="10" t="str">
        <f>TEXT(events[[#This Row],[Start Date]],"mmm")</f>
        <v>Dec</v>
      </c>
      <c r="I119" s="10" t="str">
        <f>CONCATENATE("WK_",WEEKNUM(events[[#This Row],[Start Date]]))</f>
        <v>WK_50</v>
      </c>
      <c r="J119" s="12">
        <v>45999.649791666663</v>
      </c>
      <c r="K119" s="10">
        <v>36</v>
      </c>
      <c r="L119" s="10" t="s">
        <v>25</v>
      </c>
      <c r="M119" s="10" t="s">
        <v>275</v>
      </c>
      <c r="N119" s="13">
        <f t="shared" si="1"/>
        <v>6.6666666666666666E-2</v>
      </c>
      <c r="O119" s="14" t="s">
        <v>27</v>
      </c>
      <c r="P119" s="14" t="s">
        <v>27</v>
      </c>
      <c r="Q119" s="14" t="s">
        <v>1084</v>
      </c>
      <c r="R119" s="14" t="s">
        <v>1084</v>
      </c>
      <c r="S119" s="14" t="s">
        <v>1085</v>
      </c>
      <c r="T119" s="14" t="s">
        <v>1086</v>
      </c>
      <c r="U119" s="15">
        <v>0</v>
      </c>
      <c r="V119" s="10">
        <v>1</v>
      </c>
    </row>
    <row r="120" spans="1:22" ht="18" customHeight="1" x14ac:dyDescent="0.35">
      <c r="A120" s="10" t="s">
        <v>86</v>
      </c>
      <c r="B120" s="10" t="s">
        <v>3213</v>
      </c>
      <c r="C120" s="11" t="s">
        <v>2952</v>
      </c>
      <c r="D120" s="11" t="s">
        <v>24</v>
      </c>
      <c r="E120" s="12">
        <v>45999.577013888891</v>
      </c>
      <c r="F120" s="10" t="str">
        <f>TEXT(events[[#This Row],[Start Date]],"DDD")</f>
        <v>Mon</v>
      </c>
      <c r="G120" s="10">
        <f>YEAR(events[[#This Row],[Start Date]])</f>
        <v>2025</v>
      </c>
      <c r="H120" s="10" t="str">
        <f>TEXT(events[[#This Row],[Start Date]],"mmm")</f>
        <v>Dec</v>
      </c>
      <c r="I120" s="10" t="str">
        <f>CONCATENATE("WK_",WEEKNUM(events[[#This Row],[Start Date]]))</f>
        <v>WK_50</v>
      </c>
      <c r="J120" s="12">
        <v>45999.577060185184</v>
      </c>
      <c r="K120" s="10">
        <v>41</v>
      </c>
      <c r="L120" s="10" t="s">
        <v>25</v>
      </c>
      <c r="M120" s="10" t="s">
        <v>275</v>
      </c>
      <c r="N120" s="13">
        <f t="shared" si="1"/>
        <v>6.6666666666666666E-2</v>
      </c>
      <c r="O120" s="14" t="s">
        <v>458</v>
      </c>
      <c r="P120" s="14" t="s">
        <v>458</v>
      </c>
      <c r="Q120" s="14" t="s">
        <v>1098</v>
      </c>
      <c r="R120" s="14" t="s">
        <v>1098</v>
      </c>
      <c r="S120" s="14" t="s">
        <v>1099</v>
      </c>
      <c r="T120" s="14" t="s">
        <v>1100</v>
      </c>
      <c r="U120" s="15">
        <v>0.125</v>
      </c>
      <c r="V120" s="10">
        <v>1</v>
      </c>
    </row>
    <row r="121" spans="1:22" ht="18" customHeight="1" x14ac:dyDescent="0.35">
      <c r="A121" s="10" t="s">
        <v>123</v>
      </c>
      <c r="B121" s="10" t="s">
        <v>3166</v>
      </c>
      <c r="C121" s="11" t="s">
        <v>2932</v>
      </c>
      <c r="D121" s="11" t="s">
        <v>74</v>
      </c>
      <c r="E121" s="12">
        <v>45999.503865740742</v>
      </c>
      <c r="F121" s="10" t="str">
        <f>TEXT(events[[#This Row],[Start Date]],"DDD")</f>
        <v>Mon</v>
      </c>
      <c r="G121" s="10">
        <f>YEAR(events[[#This Row],[Start Date]])</f>
        <v>2025</v>
      </c>
      <c r="H121" s="10" t="str">
        <f>TEXT(events[[#This Row],[Start Date]],"mmm")</f>
        <v>Dec</v>
      </c>
      <c r="I121" s="10" t="str">
        <f>CONCATENATE("WK_",WEEKNUM(events[[#This Row],[Start Date]]))</f>
        <v>WK_50</v>
      </c>
      <c r="J121" s="12">
        <v>45999.50403935185</v>
      </c>
      <c r="K121" s="10">
        <v>82</v>
      </c>
      <c r="L121" s="10" t="s">
        <v>25</v>
      </c>
      <c r="M121" s="10" t="s">
        <v>418</v>
      </c>
      <c r="N121" s="13">
        <f t="shared" si="1"/>
        <v>0.23333333333333334</v>
      </c>
      <c r="O121" s="14"/>
      <c r="P121" s="14"/>
      <c r="Q121" s="14" t="s">
        <v>455</v>
      </c>
      <c r="R121" s="14" t="s">
        <v>455</v>
      </c>
      <c r="S121" s="14" t="s">
        <v>1154</v>
      </c>
      <c r="T121" s="14" t="s">
        <v>1155</v>
      </c>
      <c r="U121" s="15">
        <v>0.4</v>
      </c>
      <c r="V121" s="10">
        <v>1</v>
      </c>
    </row>
    <row r="122" spans="1:22" ht="18" customHeight="1" x14ac:dyDescent="0.35">
      <c r="A122" s="10" t="s">
        <v>47</v>
      </c>
      <c r="B122" s="10" t="s">
        <v>3157</v>
      </c>
      <c r="C122" s="11" t="s">
        <v>2923</v>
      </c>
      <c r="D122" s="11" t="s">
        <v>35</v>
      </c>
      <c r="E122" s="12">
        <v>45999.164988425924</v>
      </c>
      <c r="F122" s="10" t="str">
        <f>TEXT(events[[#This Row],[Start Date]],"DDD")</f>
        <v>Mon</v>
      </c>
      <c r="G122" s="10">
        <f>YEAR(events[[#This Row],[Start Date]])</f>
        <v>2025</v>
      </c>
      <c r="H122" s="10" t="str">
        <f>TEXT(events[[#This Row],[Start Date]],"mmm")</f>
        <v>Dec</v>
      </c>
      <c r="I122" s="10" t="str">
        <f>CONCATENATE("WK_",WEEKNUM(events[[#This Row],[Start Date]]))</f>
        <v>WK_50</v>
      </c>
      <c r="J122" s="12">
        <v>45999.166643518518</v>
      </c>
      <c r="K122" s="10">
        <v>5.5</v>
      </c>
      <c r="L122" s="10" t="s">
        <v>36</v>
      </c>
      <c r="M122" s="10" t="s">
        <v>1088</v>
      </c>
      <c r="N122" s="13">
        <f t="shared" si="1"/>
        <v>2.3833333333333333</v>
      </c>
      <c r="O122" s="14" t="s">
        <v>92</v>
      </c>
      <c r="P122" s="14" t="s">
        <v>92</v>
      </c>
      <c r="Q122" s="14" t="s">
        <v>1089</v>
      </c>
      <c r="R122" s="14" t="s">
        <v>419</v>
      </c>
      <c r="S122" s="14" t="s">
        <v>1090</v>
      </c>
      <c r="T122" s="14" t="s">
        <v>1091</v>
      </c>
      <c r="U122" s="15">
        <v>2.5</v>
      </c>
      <c r="V122" s="10">
        <v>1</v>
      </c>
    </row>
    <row r="123" spans="1:22" ht="18" customHeight="1" x14ac:dyDescent="0.35">
      <c r="A123" s="10" t="s">
        <v>47</v>
      </c>
      <c r="B123" s="10" t="s">
        <v>3157</v>
      </c>
      <c r="C123" s="11" t="s">
        <v>2923</v>
      </c>
      <c r="D123" s="11" t="s">
        <v>82</v>
      </c>
      <c r="E123" s="12">
        <v>45998.743472222224</v>
      </c>
      <c r="F123" s="10" t="str">
        <f>TEXT(events[[#This Row],[Start Date]],"DDD")</f>
        <v>Sun</v>
      </c>
      <c r="G123" s="10">
        <f>YEAR(events[[#This Row],[Start Date]])</f>
        <v>2025</v>
      </c>
      <c r="H123" s="10" t="str">
        <f>TEXT(events[[#This Row],[Start Date]],"mmm")</f>
        <v>Dec</v>
      </c>
      <c r="I123" s="10" t="str">
        <f>CONCATENATE("WK_",WEEKNUM(events[[#This Row],[Start Date]]))</f>
        <v>WK_50</v>
      </c>
      <c r="J123" s="12">
        <v>45998.743483796294</v>
      </c>
      <c r="K123" s="10">
        <v>16</v>
      </c>
      <c r="L123" s="10" t="s">
        <v>83</v>
      </c>
      <c r="M123" s="10" t="s">
        <v>26</v>
      </c>
      <c r="N123" s="13">
        <f t="shared" si="1"/>
        <v>1.6666666666666666E-2</v>
      </c>
      <c r="O123" s="14" t="s">
        <v>27</v>
      </c>
      <c r="P123" s="14"/>
      <c r="Q123" s="14" t="s">
        <v>332</v>
      </c>
      <c r="R123" s="14"/>
      <c r="S123" s="14" t="s">
        <v>1087</v>
      </c>
      <c r="T123" s="14"/>
      <c r="U123" s="15">
        <v>0</v>
      </c>
      <c r="V123" s="10">
        <v>1</v>
      </c>
    </row>
    <row r="124" spans="1:22" ht="18" customHeight="1" x14ac:dyDescent="0.35">
      <c r="A124" s="10" t="s">
        <v>123</v>
      </c>
      <c r="B124" s="10" t="s">
        <v>3187</v>
      </c>
      <c r="C124" s="11" t="s">
        <v>2955</v>
      </c>
      <c r="D124" s="11" t="s">
        <v>74</v>
      </c>
      <c r="E124" s="12">
        <v>45998.597141203703</v>
      </c>
      <c r="F124" s="10" t="str">
        <f>TEXT(events[[#This Row],[Start Date]],"DDD")</f>
        <v>Sun</v>
      </c>
      <c r="G124" s="10">
        <f>YEAR(events[[#This Row],[Start Date]])</f>
        <v>2025</v>
      </c>
      <c r="H124" s="10" t="str">
        <f>TEXT(events[[#This Row],[Start Date]],"mmm")</f>
        <v>Dec</v>
      </c>
      <c r="I124" s="10" t="str">
        <f>CONCATENATE("WK_",WEEKNUM(events[[#This Row],[Start Date]]))</f>
        <v>WK_50</v>
      </c>
      <c r="J124" s="12">
        <v>45998.59752314815</v>
      </c>
      <c r="K124" s="10">
        <v>88</v>
      </c>
      <c r="L124" s="10" t="s">
        <v>25</v>
      </c>
      <c r="M124" s="10" t="s">
        <v>1146</v>
      </c>
      <c r="N124" s="13">
        <f t="shared" si="1"/>
        <v>0.53333333333333333</v>
      </c>
      <c r="O124" s="14"/>
      <c r="P124" s="14"/>
      <c r="Q124" s="14" t="s">
        <v>930</v>
      </c>
      <c r="R124" s="14" t="s">
        <v>129</v>
      </c>
      <c r="S124" s="14" t="s">
        <v>1147</v>
      </c>
      <c r="T124" s="14" t="s">
        <v>1148</v>
      </c>
      <c r="U124" s="15">
        <v>0.9</v>
      </c>
      <c r="V124" s="10">
        <v>1</v>
      </c>
    </row>
    <row r="125" spans="1:22" ht="18" customHeight="1" x14ac:dyDescent="0.35">
      <c r="A125" s="10" t="s">
        <v>123</v>
      </c>
      <c r="B125" s="10" t="s">
        <v>3160</v>
      </c>
      <c r="C125" s="11" t="s">
        <v>2926</v>
      </c>
      <c r="D125" s="11" t="s">
        <v>74</v>
      </c>
      <c r="E125" s="12">
        <v>45998.561261574076</v>
      </c>
      <c r="F125" s="10" t="str">
        <f>TEXT(events[[#This Row],[Start Date]],"DDD")</f>
        <v>Sun</v>
      </c>
      <c r="G125" s="10">
        <f>YEAR(events[[#This Row],[Start Date]])</f>
        <v>2025</v>
      </c>
      <c r="H125" s="10" t="str">
        <f>TEXT(events[[#This Row],[Start Date]],"mmm")</f>
        <v>Dec</v>
      </c>
      <c r="I125" s="10" t="str">
        <f>CONCATENATE("WK_",WEEKNUM(events[[#This Row],[Start Date]]))</f>
        <v>WK_50</v>
      </c>
      <c r="J125" s="12">
        <v>45998.562071759261</v>
      </c>
      <c r="K125" s="10">
        <v>90</v>
      </c>
      <c r="L125" s="10" t="s">
        <v>25</v>
      </c>
      <c r="M125" s="10" t="s">
        <v>828</v>
      </c>
      <c r="N125" s="13">
        <f t="shared" si="1"/>
        <v>1.1666666666666667</v>
      </c>
      <c r="O125" s="14"/>
      <c r="P125" s="14"/>
      <c r="Q125" s="14" t="s">
        <v>174</v>
      </c>
      <c r="R125" s="14" t="s">
        <v>174</v>
      </c>
      <c r="S125" s="14" t="s">
        <v>1149</v>
      </c>
      <c r="T125" s="14" t="s">
        <v>1150</v>
      </c>
      <c r="U125" s="15">
        <v>1.7</v>
      </c>
      <c r="V125" s="10">
        <v>1</v>
      </c>
    </row>
    <row r="126" spans="1:22" ht="18" customHeight="1" x14ac:dyDescent="0.35">
      <c r="A126" s="10" t="s">
        <v>47</v>
      </c>
      <c r="B126" s="10" t="s">
        <v>3217</v>
      </c>
      <c r="C126" s="11" t="s">
        <v>2985</v>
      </c>
      <c r="D126" s="11" t="s">
        <v>24</v>
      </c>
      <c r="E126" s="12">
        <v>45998.499224537038</v>
      </c>
      <c r="F126" s="10" t="str">
        <f>TEXT(events[[#This Row],[Start Date]],"DDD")</f>
        <v>Sun</v>
      </c>
      <c r="G126" s="10">
        <f>YEAR(events[[#This Row],[Start Date]])</f>
        <v>2025</v>
      </c>
      <c r="H126" s="10" t="str">
        <f>TEXT(events[[#This Row],[Start Date]],"mmm")</f>
        <v>Dec</v>
      </c>
      <c r="I126" s="10" t="str">
        <f>CONCATENATE("WK_",WEEKNUM(events[[#This Row],[Start Date]]))</f>
        <v>WK_50</v>
      </c>
      <c r="J126" s="12">
        <v>45998.499305555553</v>
      </c>
      <c r="K126" s="10">
        <v>62</v>
      </c>
      <c r="L126" s="10" t="s">
        <v>25</v>
      </c>
      <c r="M126" s="10" t="s">
        <v>115</v>
      </c>
      <c r="N126" s="13">
        <f t="shared" si="1"/>
        <v>0.11666666666666667</v>
      </c>
      <c r="O126" s="14" t="s">
        <v>27</v>
      </c>
      <c r="P126" s="14" t="s">
        <v>27</v>
      </c>
      <c r="Q126" s="14" t="s">
        <v>764</v>
      </c>
      <c r="R126" s="14" t="s">
        <v>764</v>
      </c>
      <c r="S126" s="14" t="s">
        <v>1082</v>
      </c>
      <c r="T126" s="14" t="s">
        <v>1083</v>
      </c>
      <c r="U126" s="15">
        <v>0.109</v>
      </c>
      <c r="V126" s="10">
        <v>1</v>
      </c>
    </row>
    <row r="127" spans="1:22" ht="18" customHeight="1" x14ac:dyDescent="0.35">
      <c r="A127" s="10" t="s">
        <v>123</v>
      </c>
      <c r="B127" s="10" t="s">
        <v>3218</v>
      </c>
      <c r="C127" s="11" t="s">
        <v>2986</v>
      </c>
      <c r="D127" s="11" t="s">
        <v>35</v>
      </c>
      <c r="E127" s="12">
        <v>45998.143599537034</v>
      </c>
      <c r="F127" s="10" t="str">
        <f>TEXT(events[[#This Row],[Start Date]],"DDD")</f>
        <v>Sun</v>
      </c>
      <c r="G127" s="10">
        <f>YEAR(events[[#This Row],[Start Date]])</f>
        <v>2025</v>
      </c>
      <c r="H127" s="10" t="str">
        <f>TEXT(events[[#This Row],[Start Date]],"mmm")</f>
        <v>Dec</v>
      </c>
      <c r="I127" s="10" t="str">
        <f>CONCATENATE("WK_",WEEKNUM(events[[#This Row],[Start Date]]))</f>
        <v>WK_50</v>
      </c>
      <c r="J127" s="12">
        <v>45998.160428240742</v>
      </c>
      <c r="K127" s="10"/>
      <c r="L127" s="10"/>
      <c r="M127" s="10" t="s">
        <v>1156</v>
      </c>
      <c r="N127" s="13">
        <f t="shared" si="1"/>
        <v>24.233333333333334</v>
      </c>
      <c r="O127" s="14"/>
      <c r="P127" s="14"/>
      <c r="Q127" s="14" t="s">
        <v>1157</v>
      </c>
      <c r="R127" s="14" t="s">
        <v>1158</v>
      </c>
      <c r="S127" s="14" t="s">
        <v>1159</v>
      </c>
      <c r="T127" s="14" t="s">
        <v>1160</v>
      </c>
      <c r="U127" s="15">
        <v>11.3</v>
      </c>
      <c r="V127" s="10">
        <v>1</v>
      </c>
    </row>
    <row r="128" spans="1:22" ht="18" customHeight="1" x14ac:dyDescent="0.35">
      <c r="A128" s="10" t="s">
        <v>23</v>
      </c>
      <c r="B128" s="10" t="s">
        <v>3211</v>
      </c>
      <c r="C128" s="11" t="s">
        <v>2980</v>
      </c>
      <c r="D128" s="11" t="s">
        <v>82</v>
      </c>
      <c r="E128" s="12">
        <v>45997.867638888885</v>
      </c>
      <c r="F128" s="10" t="str">
        <f>TEXT(events[[#This Row],[Start Date]],"DDD")</f>
        <v>Sat</v>
      </c>
      <c r="G128" s="10">
        <f>YEAR(events[[#This Row],[Start Date]])</f>
        <v>2025</v>
      </c>
      <c r="H128" s="10" t="str">
        <f>TEXT(events[[#This Row],[Start Date]],"mmm")</f>
        <v>Dec</v>
      </c>
      <c r="I128" s="10" t="str">
        <f>CONCATENATE("WK_",WEEKNUM(events[[#This Row],[Start Date]]))</f>
        <v>WK_49</v>
      </c>
      <c r="J128" s="12">
        <v>45997.867650462962</v>
      </c>
      <c r="K128" s="10">
        <v>24</v>
      </c>
      <c r="L128" s="10" t="s">
        <v>83</v>
      </c>
      <c r="M128" s="10" t="s">
        <v>26</v>
      </c>
      <c r="N128" s="13">
        <f t="shared" si="1"/>
        <v>1.6666666666666666E-2</v>
      </c>
      <c r="O128" s="14" t="s">
        <v>38</v>
      </c>
      <c r="P128" s="14"/>
      <c r="Q128" s="14" t="s">
        <v>294</v>
      </c>
      <c r="R128" s="14"/>
      <c r="S128" s="14" t="s">
        <v>1076</v>
      </c>
      <c r="T128" s="14"/>
      <c r="U128" s="15">
        <v>0</v>
      </c>
      <c r="V128" s="10">
        <v>1</v>
      </c>
    </row>
    <row r="129" spans="1:22" ht="18" customHeight="1" x14ac:dyDescent="0.35">
      <c r="A129" s="10" t="s">
        <v>86</v>
      </c>
      <c r="B129" s="10" t="s">
        <v>3169</v>
      </c>
      <c r="C129" s="11" t="s">
        <v>2978</v>
      </c>
      <c r="D129" s="11" t="s">
        <v>24</v>
      </c>
      <c r="E129" s="12">
        <v>45996.72923611111</v>
      </c>
      <c r="F129" s="10" t="str">
        <f>TEXT(events[[#This Row],[Start Date]],"DDD")</f>
        <v>Fri</v>
      </c>
      <c r="G129" s="10">
        <f>YEAR(events[[#This Row],[Start Date]])</f>
        <v>2025</v>
      </c>
      <c r="H129" s="10" t="str">
        <f>TEXT(events[[#This Row],[Start Date]],"mmm")</f>
        <v>Dec</v>
      </c>
      <c r="I129" s="10" t="str">
        <f>CONCATENATE("WK_",WEEKNUM(events[[#This Row],[Start Date]]))</f>
        <v>WK_49</v>
      </c>
      <c r="J129" s="12">
        <v>45996.729270833333</v>
      </c>
      <c r="K129" s="10">
        <v>35</v>
      </c>
      <c r="L129" s="10" t="s">
        <v>25</v>
      </c>
      <c r="M129" s="10" t="s">
        <v>75</v>
      </c>
      <c r="N129" s="13">
        <f t="shared" si="1"/>
        <v>0.05</v>
      </c>
      <c r="O129" s="14" t="s">
        <v>138</v>
      </c>
      <c r="P129" s="14" t="s">
        <v>138</v>
      </c>
      <c r="Q129" s="14" t="s">
        <v>297</v>
      </c>
      <c r="R129" s="14" t="s">
        <v>297</v>
      </c>
      <c r="S129" s="14" t="s">
        <v>1123</v>
      </c>
      <c r="T129" s="14" t="s">
        <v>1124</v>
      </c>
      <c r="U129" s="15">
        <v>9.8000000000000004E-2</v>
      </c>
      <c r="V129" s="10">
        <v>1</v>
      </c>
    </row>
    <row r="130" spans="1:22" ht="18" customHeight="1" x14ac:dyDescent="0.35">
      <c r="A130" s="10" t="s">
        <v>123</v>
      </c>
      <c r="B130" s="10" t="s">
        <v>3219</v>
      </c>
      <c r="C130" s="11" t="s">
        <v>2987</v>
      </c>
      <c r="D130" s="11" t="s">
        <v>74</v>
      </c>
      <c r="E130" s="12">
        <v>45996.699224537035</v>
      </c>
      <c r="F130" s="10" t="str">
        <f>TEXT(events[[#This Row],[Start Date]],"DDD")</f>
        <v>Fri</v>
      </c>
      <c r="G130" s="10">
        <f>YEAR(events[[#This Row],[Start Date]])</f>
        <v>2025</v>
      </c>
      <c r="H130" s="10" t="str">
        <f>TEXT(events[[#This Row],[Start Date]],"mmm")</f>
        <v>Dec</v>
      </c>
      <c r="I130" s="10" t="str">
        <f>CONCATENATE("WK_",WEEKNUM(events[[#This Row],[Start Date]]))</f>
        <v>WK_49</v>
      </c>
      <c r="J130" s="12">
        <v>45996.699745370373</v>
      </c>
      <c r="K130" s="10">
        <v>92</v>
      </c>
      <c r="L130" s="10" t="s">
        <v>25</v>
      </c>
      <c r="M130" s="10" t="s">
        <v>929</v>
      </c>
      <c r="N130" s="13">
        <f t="shared" ref="N130:N193" si="2">HOUR(M130)*60+MINUTE(M130)+SECOND(M130)/60</f>
        <v>0.75</v>
      </c>
      <c r="O130" s="14"/>
      <c r="P130" s="14"/>
      <c r="Q130" s="14" t="s">
        <v>1133</v>
      </c>
      <c r="R130" s="14" t="s">
        <v>1133</v>
      </c>
      <c r="S130" s="14" t="s">
        <v>1134</v>
      </c>
      <c r="T130" s="14" t="s">
        <v>1135</v>
      </c>
      <c r="U130" s="15">
        <v>1.2</v>
      </c>
      <c r="V130" s="10">
        <v>1</v>
      </c>
    </row>
    <row r="131" spans="1:22" ht="18" customHeight="1" x14ac:dyDescent="0.35">
      <c r="A131" s="10" t="s">
        <v>86</v>
      </c>
      <c r="B131" s="10" t="s">
        <v>3220</v>
      </c>
      <c r="C131" s="11" t="s">
        <v>2988</v>
      </c>
      <c r="D131" s="11" t="s">
        <v>678</v>
      </c>
      <c r="E131" s="12">
        <v>45996.650347222225</v>
      </c>
      <c r="F131" s="10" t="str">
        <f>TEXT(events[[#This Row],[Start Date]],"DDD")</f>
        <v>Fri</v>
      </c>
      <c r="G131" s="10">
        <f>YEAR(events[[#This Row],[Start Date]])</f>
        <v>2025</v>
      </c>
      <c r="H131" s="10" t="str">
        <f>TEXT(events[[#This Row],[Start Date]],"mmm")</f>
        <v>Dec</v>
      </c>
      <c r="I131" s="10" t="str">
        <f>CONCATENATE("WK_",WEEKNUM(events[[#This Row],[Start Date]]))</f>
        <v>WK_49</v>
      </c>
      <c r="J131" s="12">
        <v>45996.650347222225</v>
      </c>
      <c r="K131" s="10">
        <v>11</v>
      </c>
      <c r="L131" s="10" t="s">
        <v>83</v>
      </c>
      <c r="M131" s="10" t="s">
        <v>87</v>
      </c>
      <c r="N131" s="13">
        <f t="shared" si="2"/>
        <v>0</v>
      </c>
      <c r="O131" s="14" t="s">
        <v>50</v>
      </c>
      <c r="P131" s="14" t="s">
        <v>50</v>
      </c>
      <c r="Q131" s="14" t="s">
        <v>112</v>
      </c>
      <c r="R131" s="14" t="s">
        <v>112</v>
      </c>
      <c r="S131" s="14" t="s">
        <v>1125</v>
      </c>
      <c r="T131" s="14" t="s">
        <v>1125</v>
      </c>
      <c r="U131" s="15">
        <v>0</v>
      </c>
      <c r="V131" s="10">
        <v>1</v>
      </c>
    </row>
    <row r="132" spans="1:22" ht="18" customHeight="1" x14ac:dyDescent="0.35">
      <c r="A132" s="10" t="s">
        <v>86</v>
      </c>
      <c r="B132" s="10" t="s">
        <v>3183</v>
      </c>
      <c r="C132" s="11" t="s">
        <v>2989</v>
      </c>
      <c r="D132" s="11" t="s">
        <v>24</v>
      </c>
      <c r="E132" s="12">
        <v>45996.603946759256</v>
      </c>
      <c r="F132" s="10" t="str">
        <f>TEXT(events[[#This Row],[Start Date]],"DDD")</f>
        <v>Fri</v>
      </c>
      <c r="G132" s="10">
        <f>YEAR(events[[#This Row],[Start Date]])</f>
        <v>2025</v>
      </c>
      <c r="H132" s="10" t="str">
        <f>TEXT(events[[#This Row],[Start Date]],"mmm")</f>
        <v>Dec</v>
      </c>
      <c r="I132" s="10" t="str">
        <f>CONCATENATE("WK_",WEEKNUM(events[[#This Row],[Start Date]]))</f>
        <v>WK_49</v>
      </c>
      <c r="J132" s="12">
        <v>45996.604050925926</v>
      </c>
      <c r="K132" s="10">
        <v>46</v>
      </c>
      <c r="L132" s="10" t="s">
        <v>25</v>
      </c>
      <c r="M132" s="10" t="s">
        <v>414</v>
      </c>
      <c r="N132" s="13">
        <f t="shared" si="2"/>
        <v>0.15</v>
      </c>
      <c r="O132" s="14" t="s">
        <v>27</v>
      </c>
      <c r="P132" s="14" t="s">
        <v>27</v>
      </c>
      <c r="Q132" s="14" t="s">
        <v>288</v>
      </c>
      <c r="R132" s="14" t="s">
        <v>288</v>
      </c>
      <c r="S132" s="14" t="s">
        <v>1126</v>
      </c>
      <c r="T132" s="14" t="s">
        <v>1127</v>
      </c>
      <c r="U132" s="15">
        <v>6.2E-2</v>
      </c>
      <c r="V132" s="10">
        <v>1</v>
      </c>
    </row>
    <row r="133" spans="1:22" ht="18" customHeight="1" x14ac:dyDescent="0.35">
      <c r="A133" s="10" t="s">
        <v>123</v>
      </c>
      <c r="B133" s="10" t="s">
        <v>3192</v>
      </c>
      <c r="C133" s="11" t="s">
        <v>2959</v>
      </c>
      <c r="D133" s="11" t="s">
        <v>74</v>
      </c>
      <c r="E133" s="12">
        <v>45996.553032407406</v>
      </c>
      <c r="F133" s="10" t="str">
        <f>TEXT(events[[#This Row],[Start Date]],"DDD")</f>
        <v>Fri</v>
      </c>
      <c r="G133" s="10">
        <f>YEAR(events[[#This Row],[Start Date]])</f>
        <v>2025</v>
      </c>
      <c r="H133" s="10" t="str">
        <f>TEXT(events[[#This Row],[Start Date]],"mmm")</f>
        <v>Dec</v>
      </c>
      <c r="I133" s="10" t="str">
        <f>CONCATENATE("WK_",WEEKNUM(events[[#This Row],[Start Date]]))</f>
        <v>WK_49</v>
      </c>
      <c r="J133" s="12">
        <v>45996.553842592592</v>
      </c>
      <c r="K133" s="10">
        <v>96</v>
      </c>
      <c r="L133" s="10" t="s">
        <v>25</v>
      </c>
      <c r="M133" s="10" t="s">
        <v>828</v>
      </c>
      <c r="N133" s="13">
        <f t="shared" si="2"/>
        <v>1.1666666666666667</v>
      </c>
      <c r="O133" s="14"/>
      <c r="P133" s="14"/>
      <c r="Q133" s="14" t="s">
        <v>174</v>
      </c>
      <c r="R133" s="14" t="s">
        <v>174</v>
      </c>
      <c r="S133" s="14" t="s">
        <v>1131</v>
      </c>
      <c r="T133" s="14" t="s">
        <v>1132</v>
      </c>
      <c r="U133" s="15">
        <v>1.8</v>
      </c>
      <c r="V133" s="10">
        <v>1</v>
      </c>
    </row>
    <row r="134" spans="1:22" ht="18" customHeight="1" x14ac:dyDescent="0.35">
      <c r="A134" s="10" t="s">
        <v>86</v>
      </c>
      <c r="B134" s="10" t="s">
        <v>3169</v>
      </c>
      <c r="C134" s="11" t="s">
        <v>2978</v>
      </c>
      <c r="D134" s="11" t="s">
        <v>24</v>
      </c>
      <c r="E134" s="12">
        <v>45996.270497685182</v>
      </c>
      <c r="F134" s="10" t="str">
        <f>TEXT(events[[#This Row],[Start Date]],"DDD")</f>
        <v>Fri</v>
      </c>
      <c r="G134" s="10">
        <f>YEAR(events[[#This Row],[Start Date]])</f>
        <v>2025</v>
      </c>
      <c r="H134" s="10" t="str">
        <f>TEXT(events[[#This Row],[Start Date]],"mmm")</f>
        <v>Dec</v>
      </c>
      <c r="I134" s="10" t="str">
        <f>CONCATENATE("WK_",WEEKNUM(events[[#This Row],[Start Date]]))</f>
        <v>WK_49</v>
      </c>
      <c r="J134" s="12">
        <v>45996.270497685182</v>
      </c>
      <c r="K134" s="10">
        <v>39</v>
      </c>
      <c r="L134" s="10" t="s">
        <v>25</v>
      </c>
      <c r="M134" s="10" t="s">
        <v>87</v>
      </c>
      <c r="N134" s="13">
        <f t="shared" si="2"/>
        <v>0</v>
      </c>
      <c r="O134" s="14" t="s">
        <v>205</v>
      </c>
      <c r="P134" s="14" t="s">
        <v>205</v>
      </c>
      <c r="Q134" s="14" t="s">
        <v>1119</v>
      </c>
      <c r="R134" s="14" t="s">
        <v>1119</v>
      </c>
      <c r="S134" s="14" t="s">
        <v>1122</v>
      </c>
      <c r="T134" s="14" t="s">
        <v>1122</v>
      </c>
      <c r="U134" s="15">
        <v>0</v>
      </c>
      <c r="V134" s="10">
        <v>1</v>
      </c>
    </row>
    <row r="135" spans="1:22" ht="18" customHeight="1" x14ac:dyDescent="0.35">
      <c r="A135" s="10" t="s">
        <v>86</v>
      </c>
      <c r="B135" s="10" t="s">
        <v>3169</v>
      </c>
      <c r="C135" s="11" t="s">
        <v>2978</v>
      </c>
      <c r="D135" s="11" t="s">
        <v>24</v>
      </c>
      <c r="E135" s="12">
        <v>45996.270335648151</v>
      </c>
      <c r="F135" s="10" t="str">
        <f>TEXT(events[[#This Row],[Start Date]],"DDD")</f>
        <v>Fri</v>
      </c>
      <c r="G135" s="10">
        <f>YEAR(events[[#This Row],[Start Date]])</f>
        <v>2025</v>
      </c>
      <c r="H135" s="10" t="str">
        <f>TEXT(events[[#This Row],[Start Date]],"mmm")</f>
        <v>Dec</v>
      </c>
      <c r="I135" s="10" t="str">
        <f>CONCATENATE("WK_",WEEKNUM(events[[#This Row],[Start Date]]))</f>
        <v>WK_49</v>
      </c>
      <c r="J135" s="12">
        <v>45996.270358796297</v>
      </c>
      <c r="K135" s="10">
        <v>39</v>
      </c>
      <c r="L135" s="10" t="s">
        <v>25</v>
      </c>
      <c r="M135" s="10" t="s">
        <v>31</v>
      </c>
      <c r="N135" s="13">
        <f t="shared" si="2"/>
        <v>3.3333333333333333E-2</v>
      </c>
      <c r="O135" s="14" t="s">
        <v>205</v>
      </c>
      <c r="P135" s="14" t="s">
        <v>205</v>
      </c>
      <c r="Q135" s="14" t="s">
        <v>1119</v>
      </c>
      <c r="R135" s="14" t="s">
        <v>1119</v>
      </c>
      <c r="S135" s="14" t="s">
        <v>1120</v>
      </c>
      <c r="T135" s="14" t="s">
        <v>1121</v>
      </c>
      <c r="U135" s="15">
        <v>0.10199999999999999</v>
      </c>
      <c r="V135" s="10">
        <v>1</v>
      </c>
    </row>
    <row r="136" spans="1:22" ht="18" customHeight="1" x14ac:dyDescent="0.35">
      <c r="A136" s="10" t="s">
        <v>86</v>
      </c>
      <c r="B136" s="10" t="s">
        <v>3169</v>
      </c>
      <c r="C136" s="11" t="s">
        <v>2978</v>
      </c>
      <c r="D136" s="11" t="s">
        <v>24</v>
      </c>
      <c r="E136" s="12">
        <v>45996.247534722221</v>
      </c>
      <c r="F136" s="10" t="str">
        <f>TEXT(events[[#This Row],[Start Date]],"DDD")</f>
        <v>Fri</v>
      </c>
      <c r="G136" s="10">
        <f>YEAR(events[[#This Row],[Start Date]])</f>
        <v>2025</v>
      </c>
      <c r="H136" s="10" t="str">
        <f>TEXT(events[[#This Row],[Start Date]],"mmm")</f>
        <v>Dec</v>
      </c>
      <c r="I136" s="10" t="str">
        <f>CONCATENATE("WK_",WEEKNUM(events[[#This Row],[Start Date]]))</f>
        <v>WK_49</v>
      </c>
      <c r="J136" s="12">
        <v>45996.247569444444</v>
      </c>
      <c r="K136" s="10">
        <v>39</v>
      </c>
      <c r="L136" s="10" t="s">
        <v>25</v>
      </c>
      <c r="M136" s="10" t="s">
        <v>75</v>
      </c>
      <c r="N136" s="13">
        <f t="shared" si="2"/>
        <v>0.05</v>
      </c>
      <c r="O136" s="14" t="s">
        <v>209</v>
      </c>
      <c r="P136" s="14" t="s">
        <v>209</v>
      </c>
      <c r="Q136" s="14" t="s">
        <v>971</v>
      </c>
      <c r="R136" s="14" t="s">
        <v>971</v>
      </c>
      <c r="S136" s="14" t="s">
        <v>1117</v>
      </c>
      <c r="T136" s="14" t="s">
        <v>1118</v>
      </c>
      <c r="U136" s="15">
        <v>0</v>
      </c>
      <c r="V136" s="10">
        <v>1</v>
      </c>
    </row>
    <row r="137" spans="1:22" ht="18" customHeight="1" x14ac:dyDescent="0.35">
      <c r="A137" s="10" t="s">
        <v>123</v>
      </c>
      <c r="B137" s="10" t="s">
        <v>3221</v>
      </c>
      <c r="C137" s="11" t="s">
        <v>2990</v>
      </c>
      <c r="D137" s="11" t="s">
        <v>74</v>
      </c>
      <c r="E137" s="12">
        <v>45995.943356481483</v>
      </c>
      <c r="F137" s="10" t="str">
        <f>TEXT(events[[#This Row],[Start Date]],"DDD")</f>
        <v>Thu</v>
      </c>
      <c r="G137" s="10">
        <f>YEAR(events[[#This Row],[Start Date]])</f>
        <v>2025</v>
      </c>
      <c r="H137" s="10" t="str">
        <f>TEXT(events[[#This Row],[Start Date]],"mmm")</f>
        <v>Dec</v>
      </c>
      <c r="I137" s="10" t="str">
        <f>CONCATENATE("WK_",WEEKNUM(events[[#This Row],[Start Date]]))</f>
        <v>WK_49</v>
      </c>
      <c r="J137" s="12">
        <v>45995.944560185184</v>
      </c>
      <c r="K137" s="10">
        <v>99</v>
      </c>
      <c r="L137" s="10" t="s">
        <v>25</v>
      </c>
      <c r="M137" s="10" t="s">
        <v>1138</v>
      </c>
      <c r="N137" s="13">
        <f t="shared" si="2"/>
        <v>1.7166666666666668</v>
      </c>
      <c r="O137" s="14"/>
      <c r="P137" s="14"/>
      <c r="Q137" s="14" t="s">
        <v>409</v>
      </c>
      <c r="R137" s="14" t="s">
        <v>409</v>
      </c>
      <c r="S137" s="14" t="s">
        <v>1139</v>
      </c>
      <c r="T137" s="14" t="s">
        <v>1140</v>
      </c>
      <c r="U137" s="15">
        <v>2.7</v>
      </c>
      <c r="V137" s="10">
        <v>1</v>
      </c>
    </row>
    <row r="138" spans="1:22" ht="18" customHeight="1" x14ac:dyDescent="0.35">
      <c r="A138" s="10" t="s">
        <v>23</v>
      </c>
      <c r="B138" s="10" t="s">
        <v>3196</v>
      </c>
      <c r="C138" s="11" t="s">
        <v>2963</v>
      </c>
      <c r="D138" s="11" t="s">
        <v>24</v>
      </c>
      <c r="E138" s="12">
        <v>45995.425856481481</v>
      </c>
      <c r="F138" s="10" t="str">
        <f>TEXT(events[[#This Row],[Start Date]],"DDD")</f>
        <v>Thu</v>
      </c>
      <c r="G138" s="10">
        <f>YEAR(events[[#This Row],[Start Date]])</f>
        <v>2025</v>
      </c>
      <c r="H138" s="10" t="str">
        <f>TEXT(events[[#This Row],[Start Date]],"mmm")</f>
        <v>Dec</v>
      </c>
      <c r="I138" s="10" t="str">
        <f>CONCATENATE("WK_",WEEKNUM(events[[#This Row],[Start Date]]))</f>
        <v>WK_49</v>
      </c>
      <c r="J138" s="12">
        <v>45995.425868055558</v>
      </c>
      <c r="K138" s="10">
        <v>34</v>
      </c>
      <c r="L138" s="10" t="s">
        <v>25</v>
      </c>
      <c r="M138" s="10" t="s">
        <v>26</v>
      </c>
      <c r="N138" s="13">
        <f t="shared" si="2"/>
        <v>1.6666666666666666E-2</v>
      </c>
      <c r="O138" s="14" t="s">
        <v>38</v>
      </c>
      <c r="P138" s="14" t="s">
        <v>38</v>
      </c>
      <c r="Q138" s="14" t="s">
        <v>151</v>
      </c>
      <c r="R138" s="14" t="s">
        <v>151</v>
      </c>
      <c r="S138" s="14" t="s">
        <v>1074</v>
      </c>
      <c r="T138" s="14" t="s">
        <v>1075</v>
      </c>
      <c r="U138" s="15">
        <v>0</v>
      </c>
      <c r="V138" s="10">
        <v>1</v>
      </c>
    </row>
    <row r="139" spans="1:22" ht="18" customHeight="1" x14ac:dyDescent="0.35">
      <c r="A139" s="10" t="s">
        <v>123</v>
      </c>
      <c r="B139" s="10" t="s">
        <v>3221</v>
      </c>
      <c r="C139" s="11" t="s">
        <v>2990</v>
      </c>
      <c r="D139" s="11" t="s">
        <v>74</v>
      </c>
      <c r="E139" s="12">
        <v>45995.000081018516</v>
      </c>
      <c r="F139" s="10" t="str">
        <f>TEXT(events[[#This Row],[Start Date]],"DDD")</f>
        <v>Thu</v>
      </c>
      <c r="G139" s="10">
        <f>YEAR(events[[#This Row],[Start Date]])</f>
        <v>2025</v>
      </c>
      <c r="H139" s="10" t="str">
        <f>TEXT(events[[#This Row],[Start Date]],"mmm")</f>
        <v>Dec</v>
      </c>
      <c r="I139" s="10" t="str">
        <f>CONCATENATE("WK_",WEEKNUM(events[[#This Row],[Start Date]]))</f>
        <v>WK_49</v>
      </c>
      <c r="J139" s="12">
        <v>45995.000787037039</v>
      </c>
      <c r="K139" s="10">
        <v>103</v>
      </c>
      <c r="L139" s="10" t="s">
        <v>25</v>
      </c>
      <c r="M139" s="10" t="s">
        <v>177</v>
      </c>
      <c r="N139" s="13">
        <f t="shared" si="2"/>
        <v>1</v>
      </c>
      <c r="O139" s="14"/>
      <c r="P139" s="14"/>
      <c r="Q139" s="14" t="s">
        <v>451</v>
      </c>
      <c r="R139" s="14" t="s">
        <v>451</v>
      </c>
      <c r="S139" s="14" t="s">
        <v>1136</v>
      </c>
      <c r="T139" s="14" t="s">
        <v>1137</v>
      </c>
      <c r="U139" s="15">
        <v>1.6</v>
      </c>
      <c r="V139" s="10">
        <v>1</v>
      </c>
    </row>
    <row r="140" spans="1:22" ht="18" customHeight="1" x14ac:dyDescent="0.35">
      <c r="A140" s="10" t="s">
        <v>47</v>
      </c>
      <c r="B140" s="10" t="s">
        <v>3222</v>
      </c>
      <c r="C140" s="11" t="s">
        <v>2991</v>
      </c>
      <c r="D140" s="11" t="s">
        <v>24</v>
      </c>
      <c r="E140" s="12">
        <v>45994.020254629628</v>
      </c>
      <c r="F140" s="10" t="str">
        <f>TEXT(events[[#This Row],[Start Date]],"DDD")</f>
        <v>Wed</v>
      </c>
      <c r="G140" s="10">
        <f>YEAR(events[[#This Row],[Start Date]])</f>
        <v>2025</v>
      </c>
      <c r="H140" s="10" t="str">
        <f>TEXT(events[[#This Row],[Start Date]],"mmm")</f>
        <v>Dec</v>
      </c>
      <c r="I140" s="10" t="str">
        <f>CONCATENATE("WK_",WEEKNUM(events[[#This Row],[Start Date]]))</f>
        <v>WK_49</v>
      </c>
      <c r="J140" s="12">
        <v>45994.020509259259</v>
      </c>
      <c r="K140" s="10">
        <v>36</v>
      </c>
      <c r="L140" s="10" t="s">
        <v>25</v>
      </c>
      <c r="M140" s="10" t="s">
        <v>1079</v>
      </c>
      <c r="N140" s="13">
        <f t="shared" si="2"/>
        <v>0.36666666666666664</v>
      </c>
      <c r="O140" s="14" t="s">
        <v>92</v>
      </c>
      <c r="P140" s="14" t="s">
        <v>92</v>
      </c>
      <c r="Q140" s="14"/>
      <c r="R140" s="14"/>
      <c r="S140" s="14" t="s">
        <v>1186</v>
      </c>
      <c r="T140" s="14" t="s">
        <v>1187</v>
      </c>
      <c r="U140" s="15">
        <v>0.29699999999999999</v>
      </c>
      <c r="V140" s="10">
        <v>1</v>
      </c>
    </row>
    <row r="141" spans="1:22" ht="18" customHeight="1" x14ac:dyDescent="0.35">
      <c r="A141" s="10" t="s">
        <v>47</v>
      </c>
      <c r="B141" s="10" t="s">
        <v>3222</v>
      </c>
      <c r="C141" s="11" t="s">
        <v>2991</v>
      </c>
      <c r="D141" s="11" t="s">
        <v>24</v>
      </c>
      <c r="E141" s="12">
        <v>45994.010023148148</v>
      </c>
      <c r="F141" s="10" t="str">
        <f>TEXT(events[[#This Row],[Start Date]],"DDD")</f>
        <v>Wed</v>
      </c>
      <c r="G141" s="10">
        <f>YEAR(events[[#This Row],[Start Date]])</f>
        <v>2025</v>
      </c>
      <c r="H141" s="10" t="str">
        <f>TEXT(events[[#This Row],[Start Date]],"mmm")</f>
        <v>Dec</v>
      </c>
      <c r="I141" s="10" t="str">
        <f>CONCATENATE("WK_",WEEKNUM(events[[#This Row],[Start Date]]))</f>
        <v>WK_49</v>
      </c>
      <c r="J141" s="12">
        <v>45994.010115740741</v>
      </c>
      <c r="K141" s="10">
        <v>36</v>
      </c>
      <c r="L141" s="10" t="s">
        <v>25</v>
      </c>
      <c r="M141" s="10" t="s">
        <v>357</v>
      </c>
      <c r="N141" s="13">
        <f t="shared" si="2"/>
        <v>0.13333333333333333</v>
      </c>
      <c r="O141" s="14" t="s">
        <v>92</v>
      </c>
      <c r="P141" s="14" t="s">
        <v>92</v>
      </c>
      <c r="Q141" s="14"/>
      <c r="R141" s="14"/>
      <c r="S141" s="14" t="s">
        <v>1184</v>
      </c>
      <c r="T141" s="14" t="s">
        <v>1185</v>
      </c>
      <c r="U141" s="15">
        <v>9.4E-2</v>
      </c>
      <c r="V141" s="10">
        <v>1</v>
      </c>
    </row>
    <row r="142" spans="1:22" ht="18" customHeight="1" x14ac:dyDescent="0.35">
      <c r="A142" s="10" t="s">
        <v>86</v>
      </c>
      <c r="B142" s="10" t="s">
        <v>3223</v>
      </c>
      <c r="C142" s="11" t="s">
        <v>2956</v>
      </c>
      <c r="D142" s="11" t="s">
        <v>24</v>
      </c>
      <c r="E142" s="12">
        <v>45993.899768518517</v>
      </c>
      <c r="F142" s="10" t="str">
        <f>TEXT(events[[#This Row],[Start Date]],"DDD")</f>
        <v>Tue</v>
      </c>
      <c r="G142" s="10">
        <f>YEAR(events[[#This Row],[Start Date]])</f>
        <v>2025</v>
      </c>
      <c r="H142" s="10" t="str">
        <f>TEXT(events[[#This Row],[Start Date]],"mmm")</f>
        <v>Dec</v>
      </c>
      <c r="I142" s="10" t="str">
        <f>CONCATENATE("WK_",WEEKNUM(events[[#This Row],[Start Date]]))</f>
        <v>WK_49</v>
      </c>
      <c r="J142" s="12">
        <v>45993.899965277778</v>
      </c>
      <c r="K142" s="10">
        <v>38</v>
      </c>
      <c r="L142" s="10" t="s">
        <v>25</v>
      </c>
      <c r="M142" s="10" t="s">
        <v>775</v>
      </c>
      <c r="N142" s="13">
        <f t="shared" si="2"/>
        <v>0.28333333333333333</v>
      </c>
      <c r="O142" s="14" t="s">
        <v>142</v>
      </c>
      <c r="P142" s="14" t="s">
        <v>142</v>
      </c>
      <c r="Q142" s="14"/>
      <c r="R142" s="14"/>
      <c r="S142" s="14" t="s">
        <v>1197</v>
      </c>
      <c r="T142" s="14" t="s">
        <v>1198</v>
      </c>
      <c r="U142" s="15">
        <v>6.2E-2</v>
      </c>
      <c r="V142" s="10">
        <v>1</v>
      </c>
    </row>
    <row r="143" spans="1:22" ht="18" customHeight="1" x14ac:dyDescent="0.35">
      <c r="A143" s="10" t="s">
        <v>86</v>
      </c>
      <c r="B143" s="10" t="s">
        <v>3223</v>
      </c>
      <c r="C143" s="11" t="s">
        <v>2956</v>
      </c>
      <c r="D143" s="11" t="s">
        <v>24</v>
      </c>
      <c r="E143" s="12">
        <v>45993.854155092595</v>
      </c>
      <c r="F143" s="10" t="str">
        <f>TEXT(events[[#This Row],[Start Date]],"DDD")</f>
        <v>Tue</v>
      </c>
      <c r="G143" s="10">
        <f>YEAR(events[[#This Row],[Start Date]])</f>
        <v>2025</v>
      </c>
      <c r="H143" s="10" t="str">
        <f>TEXT(events[[#This Row],[Start Date]],"mmm")</f>
        <v>Dec</v>
      </c>
      <c r="I143" s="10" t="str">
        <f>CONCATENATE("WK_",WEEKNUM(events[[#This Row],[Start Date]]))</f>
        <v>WK_49</v>
      </c>
      <c r="J143" s="12">
        <v>45993.854224537034</v>
      </c>
      <c r="K143" s="10">
        <v>39</v>
      </c>
      <c r="L143" s="10" t="s">
        <v>25</v>
      </c>
      <c r="M143" s="10" t="s">
        <v>328</v>
      </c>
      <c r="N143" s="13">
        <f t="shared" si="2"/>
        <v>0.1</v>
      </c>
      <c r="O143" s="14" t="s">
        <v>142</v>
      </c>
      <c r="P143" s="14" t="s">
        <v>142</v>
      </c>
      <c r="Q143" s="14"/>
      <c r="R143" s="14"/>
      <c r="S143" s="14" t="s">
        <v>1195</v>
      </c>
      <c r="T143" s="14" t="s">
        <v>1196</v>
      </c>
      <c r="U143" s="15">
        <v>0.125</v>
      </c>
      <c r="V143" s="10">
        <v>1</v>
      </c>
    </row>
    <row r="144" spans="1:22" ht="18" customHeight="1" x14ac:dyDescent="0.35">
      <c r="A144" s="10" t="s">
        <v>86</v>
      </c>
      <c r="B144" s="10" t="s">
        <v>3223</v>
      </c>
      <c r="C144" s="11" t="s">
        <v>2956</v>
      </c>
      <c r="D144" s="11" t="s">
        <v>24</v>
      </c>
      <c r="E144" s="12">
        <v>45993.853495370371</v>
      </c>
      <c r="F144" s="10" t="str">
        <f>TEXT(events[[#This Row],[Start Date]],"DDD")</f>
        <v>Tue</v>
      </c>
      <c r="G144" s="10">
        <f>YEAR(events[[#This Row],[Start Date]])</f>
        <v>2025</v>
      </c>
      <c r="H144" s="10" t="str">
        <f>TEXT(events[[#This Row],[Start Date]],"mmm")</f>
        <v>Dec</v>
      </c>
      <c r="I144" s="10" t="str">
        <f>CONCATENATE("WK_",WEEKNUM(events[[#This Row],[Start Date]]))</f>
        <v>WK_49</v>
      </c>
      <c r="J144" s="12">
        <v>45993.853634259256</v>
      </c>
      <c r="K144" s="10">
        <v>36</v>
      </c>
      <c r="L144" s="10" t="s">
        <v>25</v>
      </c>
      <c r="M144" s="10" t="s">
        <v>1111</v>
      </c>
      <c r="N144" s="13">
        <f t="shared" si="2"/>
        <v>0.2</v>
      </c>
      <c r="O144" s="14" t="s">
        <v>142</v>
      </c>
      <c r="P144" s="14" t="s">
        <v>142</v>
      </c>
      <c r="Q144" s="14"/>
      <c r="R144" s="14"/>
      <c r="S144" s="14" t="s">
        <v>1193</v>
      </c>
      <c r="T144" s="14" t="s">
        <v>1194</v>
      </c>
      <c r="U144" s="15">
        <v>0.125</v>
      </c>
      <c r="V144" s="10">
        <v>1</v>
      </c>
    </row>
    <row r="145" spans="1:22" ht="18" customHeight="1" x14ac:dyDescent="0.35">
      <c r="A145" s="10" t="s">
        <v>47</v>
      </c>
      <c r="B145" s="10" t="s">
        <v>3186</v>
      </c>
      <c r="C145" s="11" t="s">
        <v>2954</v>
      </c>
      <c r="D145" s="11" t="s">
        <v>24</v>
      </c>
      <c r="E145" s="12">
        <v>45993.848726851851</v>
      </c>
      <c r="F145" s="10" t="str">
        <f>TEXT(events[[#This Row],[Start Date]],"DDD")</f>
        <v>Tue</v>
      </c>
      <c r="G145" s="10">
        <f>YEAR(events[[#This Row],[Start Date]])</f>
        <v>2025</v>
      </c>
      <c r="H145" s="10" t="str">
        <f>TEXT(events[[#This Row],[Start Date]],"mmm")</f>
        <v>Dec</v>
      </c>
      <c r="I145" s="10" t="str">
        <f>CONCATENATE("WK_",WEEKNUM(events[[#This Row],[Start Date]]))</f>
        <v>WK_49</v>
      </c>
      <c r="J145" s="12">
        <v>45993.848981481482</v>
      </c>
      <c r="K145" s="10">
        <v>51</v>
      </c>
      <c r="L145" s="10" t="s">
        <v>25</v>
      </c>
      <c r="M145" s="10" t="s">
        <v>1079</v>
      </c>
      <c r="N145" s="13">
        <f t="shared" si="2"/>
        <v>0.36666666666666664</v>
      </c>
      <c r="O145" s="14" t="s">
        <v>231</v>
      </c>
      <c r="P145" s="14" t="s">
        <v>231</v>
      </c>
      <c r="Q145" s="14"/>
      <c r="R145" s="14"/>
      <c r="S145" s="14" t="s">
        <v>1182</v>
      </c>
      <c r="T145" s="14" t="s">
        <v>1183</v>
      </c>
      <c r="U145" s="15">
        <v>0.312</v>
      </c>
      <c r="V145" s="10">
        <v>1</v>
      </c>
    </row>
    <row r="146" spans="1:22" ht="18" customHeight="1" x14ac:dyDescent="0.35">
      <c r="A146" s="10" t="s">
        <v>86</v>
      </c>
      <c r="B146" s="10" t="s">
        <v>3224</v>
      </c>
      <c r="C146" s="11" t="s">
        <v>2992</v>
      </c>
      <c r="D146" s="11" t="s">
        <v>82</v>
      </c>
      <c r="E146" s="12">
        <v>45993.613645833335</v>
      </c>
      <c r="F146" s="10" t="str">
        <f>TEXT(events[[#This Row],[Start Date]],"DDD")</f>
        <v>Tue</v>
      </c>
      <c r="G146" s="10">
        <f>YEAR(events[[#This Row],[Start Date]])</f>
        <v>2025</v>
      </c>
      <c r="H146" s="10" t="str">
        <f>TEXT(events[[#This Row],[Start Date]],"mmm")</f>
        <v>Dec</v>
      </c>
      <c r="I146" s="10" t="str">
        <f>CONCATENATE("WK_",WEEKNUM(events[[#This Row],[Start Date]]))</f>
        <v>WK_49</v>
      </c>
      <c r="J146" s="12">
        <v>45993.613645833335</v>
      </c>
      <c r="K146" s="10">
        <v>17</v>
      </c>
      <c r="L146" s="10" t="s">
        <v>83</v>
      </c>
      <c r="M146" s="10" t="s">
        <v>87</v>
      </c>
      <c r="N146" s="13">
        <f t="shared" si="2"/>
        <v>0</v>
      </c>
      <c r="O146" s="14" t="s">
        <v>92</v>
      </c>
      <c r="P146" s="14" t="s">
        <v>92</v>
      </c>
      <c r="Q146" s="14"/>
      <c r="R146" s="14"/>
      <c r="S146" s="14" t="s">
        <v>1192</v>
      </c>
      <c r="T146" s="14" t="s">
        <v>1192</v>
      </c>
      <c r="U146" s="15">
        <v>0</v>
      </c>
      <c r="V146" s="10">
        <v>1</v>
      </c>
    </row>
    <row r="147" spans="1:22" ht="18" customHeight="1" x14ac:dyDescent="0.35">
      <c r="A147" s="10" t="s">
        <v>86</v>
      </c>
      <c r="B147" s="10" t="s">
        <v>3169</v>
      </c>
      <c r="C147" s="11" t="s">
        <v>2978</v>
      </c>
      <c r="D147" s="11" t="s">
        <v>24</v>
      </c>
      <c r="E147" s="12">
        <v>45993.551736111112</v>
      </c>
      <c r="F147" s="10" t="str">
        <f>TEXT(events[[#This Row],[Start Date]],"DDD")</f>
        <v>Tue</v>
      </c>
      <c r="G147" s="10">
        <f>YEAR(events[[#This Row],[Start Date]])</f>
        <v>2025</v>
      </c>
      <c r="H147" s="10" t="str">
        <f>TEXT(events[[#This Row],[Start Date]],"mmm")</f>
        <v>Dec</v>
      </c>
      <c r="I147" s="10" t="str">
        <f>CONCATENATE("WK_",WEEKNUM(events[[#This Row],[Start Date]]))</f>
        <v>WK_49</v>
      </c>
      <c r="J147" s="12">
        <v>45993.551759259259</v>
      </c>
      <c r="K147" s="10">
        <v>36</v>
      </c>
      <c r="L147" s="10" t="s">
        <v>25</v>
      </c>
      <c r="M147" s="10" t="s">
        <v>31</v>
      </c>
      <c r="N147" s="13">
        <f t="shared" si="2"/>
        <v>3.3333333333333333E-2</v>
      </c>
      <c r="O147" s="14" t="s">
        <v>205</v>
      </c>
      <c r="P147" s="14" t="s">
        <v>205</v>
      </c>
      <c r="Q147" s="14"/>
      <c r="R147" s="14"/>
      <c r="S147" s="14" t="s">
        <v>1190</v>
      </c>
      <c r="T147" s="14" t="s">
        <v>1191</v>
      </c>
      <c r="U147" s="15">
        <v>0.10199999999999999</v>
      </c>
      <c r="V147" s="10">
        <v>1</v>
      </c>
    </row>
    <row r="148" spans="1:22" ht="18" customHeight="1" x14ac:dyDescent="0.35">
      <c r="A148" s="10" t="s">
        <v>123</v>
      </c>
      <c r="B148" s="10" t="s">
        <v>3225</v>
      </c>
      <c r="C148" s="11" t="s">
        <v>2993</v>
      </c>
      <c r="D148" s="11" t="s">
        <v>74</v>
      </c>
      <c r="E148" s="12">
        <v>45993</v>
      </c>
      <c r="F148" s="10" t="str">
        <f>TEXT(events[[#This Row],[Start Date]],"DDD")</f>
        <v>Tue</v>
      </c>
      <c r="G148" s="10">
        <f>YEAR(events[[#This Row],[Start Date]])</f>
        <v>2025</v>
      </c>
      <c r="H148" s="10" t="str">
        <f>TEXT(events[[#This Row],[Start Date]],"mmm")</f>
        <v>Dec</v>
      </c>
      <c r="I148" s="10" t="str">
        <f>CONCATENATE("WK_",WEEKNUM(events[[#This Row],[Start Date]]))</f>
        <v>WK_49</v>
      </c>
      <c r="J148" s="12">
        <v>45993</v>
      </c>
      <c r="K148" s="10">
        <v>84</v>
      </c>
      <c r="L148" s="10" t="s">
        <v>25</v>
      </c>
      <c r="M148" s="10" t="s">
        <v>128</v>
      </c>
      <c r="N148" s="13">
        <f t="shared" si="2"/>
        <v>0.41666666666666669</v>
      </c>
      <c r="O148" s="14"/>
      <c r="P148" s="14"/>
      <c r="Q148" s="14" t="s">
        <v>1206</v>
      </c>
      <c r="R148" s="14" t="s">
        <v>1207</v>
      </c>
      <c r="S148" s="14" t="s">
        <v>1208</v>
      </c>
      <c r="T148" s="14" t="s">
        <v>1209</v>
      </c>
      <c r="U148" s="15">
        <v>0.7</v>
      </c>
      <c r="V148" s="10">
        <v>1</v>
      </c>
    </row>
    <row r="149" spans="1:22" ht="18" customHeight="1" x14ac:dyDescent="0.35">
      <c r="A149" s="10" t="s">
        <v>123</v>
      </c>
      <c r="B149" s="10" t="s">
        <v>3219</v>
      </c>
      <c r="C149" s="11" t="s">
        <v>2987</v>
      </c>
      <c r="D149" s="11" t="s">
        <v>74</v>
      </c>
      <c r="E149" s="12">
        <v>45993</v>
      </c>
      <c r="F149" s="10" t="str">
        <f>TEXT(events[[#This Row],[Start Date]],"DDD")</f>
        <v>Tue</v>
      </c>
      <c r="G149" s="10">
        <f>YEAR(events[[#This Row],[Start Date]])</f>
        <v>2025</v>
      </c>
      <c r="H149" s="10" t="str">
        <f>TEXT(events[[#This Row],[Start Date]],"mmm")</f>
        <v>Dec</v>
      </c>
      <c r="I149" s="10" t="str">
        <f>CONCATENATE("WK_",WEEKNUM(events[[#This Row],[Start Date]]))</f>
        <v>WK_49</v>
      </c>
      <c r="J149" s="12">
        <v>45993</v>
      </c>
      <c r="K149" s="10">
        <v>89</v>
      </c>
      <c r="L149" s="10" t="s">
        <v>25</v>
      </c>
      <c r="M149" s="10" t="s">
        <v>222</v>
      </c>
      <c r="N149" s="13">
        <f t="shared" si="2"/>
        <v>0.43333333333333335</v>
      </c>
      <c r="O149" s="14"/>
      <c r="P149" s="14"/>
      <c r="Q149" s="14" t="s">
        <v>831</v>
      </c>
      <c r="R149" s="14" t="s">
        <v>831</v>
      </c>
      <c r="S149" s="14" t="s">
        <v>1210</v>
      </c>
      <c r="T149" s="14" t="s">
        <v>1211</v>
      </c>
      <c r="U149" s="15">
        <v>0.7</v>
      </c>
      <c r="V149" s="10">
        <v>1</v>
      </c>
    </row>
    <row r="150" spans="1:22" ht="18" customHeight="1" x14ac:dyDescent="0.35">
      <c r="A150" s="10" t="s">
        <v>23</v>
      </c>
      <c r="B150" s="10" t="s">
        <v>3226</v>
      </c>
      <c r="C150" s="11" t="s">
        <v>2994</v>
      </c>
      <c r="D150" s="11" t="s">
        <v>678</v>
      </c>
      <c r="E150" s="12">
        <v>45992.776307870372</v>
      </c>
      <c r="F150" s="10" t="str">
        <f>TEXT(events[[#This Row],[Start Date]],"DDD")</f>
        <v>Mon</v>
      </c>
      <c r="G150" s="10">
        <f>YEAR(events[[#This Row],[Start Date]])</f>
        <v>2025</v>
      </c>
      <c r="H150" s="10" t="str">
        <f>TEXT(events[[#This Row],[Start Date]],"mmm")</f>
        <v>Dec</v>
      </c>
      <c r="I150" s="10" t="str">
        <f>CONCATENATE("WK_",WEEKNUM(events[[#This Row],[Start Date]]))</f>
        <v>WK_49</v>
      </c>
      <c r="J150" s="12">
        <v>45992.776319444441</v>
      </c>
      <c r="K150" s="10">
        <v>21</v>
      </c>
      <c r="L150" s="10" t="s">
        <v>83</v>
      </c>
      <c r="M150" s="10" t="s">
        <v>26</v>
      </c>
      <c r="N150" s="13">
        <f t="shared" si="2"/>
        <v>1.6666666666666666E-2</v>
      </c>
      <c r="O150" s="14" t="s">
        <v>92</v>
      </c>
      <c r="P150" s="14"/>
      <c r="Q150" s="14" t="s">
        <v>1172</v>
      </c>
      <c r="R150" s="14"/>
      <c r="S150" s="14" t="s">
        <v>1173</v>
      </c>
      <c r="T150" s="14"/>
      <c r="U150" s="15">
        <v>0</v>
      </c>
      <c r="V150" s="10">
        <v>1</v>
      </c>
    </row>
    <row r="151" spans="1:22" ht="18" customHeight="1" x14ac:dyDescent="0.35">
      <c r="A151" s="10" t="s">
        <v>47</v>
      </c>
      <c r="B151" s="10" t="s">
        <v>3227</v>
      </c>
      <c r="C151" s="11" t="s">
        <v>2995</v>
      </c>
      <c r="D151" s="11" t="s">
        <v>74</v>
      </c>
      <c r="E151" s="12">
        <v>45992.466874999998</v>
      </c>
      <c r="F151" s="10" t="str">
        <f>TEXT(events[[#This Row],[Start Date]],"DDD")</f>
        <v>Mon</v>
      </c>
      <c r="G151" s="10">
        <f>YEAR(events[[#This Row],[Start Date]])</f>
        <v>2025</v>
      </c>
      <c r="H151" s="10" t="str">
        <f>TEXT(events[[#This Row],[Start Date]],"mmm")</f>
        <v>Dec</v>
      </c>
      <c r="I151" s="10" t="str">
        <f>CONCATENATE("WK_",WEEKNUM(events[[#This Row],[Start Date]]))</f>
        <v>WK_49</v>
      </c>
      <c r="J151" s="12">
        <v>45992.466921296298</v>
      </c>
      <c r="K151" s="10">
        <v>82</v>
      </c>
      <c r="L151" s="10" t="s">
        <v>25</v>
      </c>
      <c r="M151" s="10" t="s">
        <v>275</v>
      </c>
      <c r="N151" s="13">
        <f t="shared" si="2"/>
        <v>6.6666666666666666E-2</v>
      </c>
      <c r="O151" s="14" t="s">
        <v>65</v>
      </c>
      <c r="P151" s="14" t="s">
        <v>65</v>
      </c>
      <c r="Q151" s="14"/>
      <c r="R151" s="14"/>
      <c r="S151" s="14" t="s">
        <v>1180</v>
      </c>
      <c r="T151" s="14" t="s">
        <v>1181</v>
      </c>
      <c r="U151" s="15">
        <v>0.125</v>
      </c>
      <c r="V151" s="10">
        <v>1</v>
      </c>
    </row>
    <row r="152" spans="1:22" ht="18" customHeight="1" x14ac:dyDescent="0.35">
      <c r="A152" s="10" t="s">
        <v>47</v>
      </c>
      <c r="B152" s="10" t="s">
        <v>3227</v>
      </c>
      <c r="C152" s="11" t="s">
        <v>2995</v>
      </c>
      <c r="D152" s="11" t="s">
        <v>74</v>
      </c>
      <c r="E152" s="12">
        <v>45992.464583333334</v>
      </c>
      <c r="F152" s="10" t="str">
        <f>TEXT(events[[#This Row],[Start Date]],"DDD")</f>
        <v>Mon</v>
      </c>
      <c r="G152" s="10">
        <f>YEAR(events[[#This Row],[Start Date]])</f>
        <v>2025</v>
      </c>
      <c r="H152" s="10" t="str">
        <f>TEXT(events[[#This Row],[Start Date]],"mmm")</f>
        <v>Dec</v>
      </c>
      <c r="I152" s="10" t="str">
        <f>CONCATENATE("WK_",WEEKNUM(events[[#This Row],[Start Date]]))</f>
        <v>WK_49</v>
      </c>
      <c r="J152" s="12">
        <v>45992.464641203704</v>
      </c>
      <c r="K152" s="10">
        <v>83</v>
      </c>
      <c r="L152" s="10" t="s">
        <v>25</v>
      </c>
      <c r="M152" s="10" t="s">
        <v>431</v>
      </c>
      <c r="N152" s="13">
        <f t="shared" si="2"/>
        <v>8.3333333333333329E-2</v>
      </c>
      <c r="O152" s="14" t="s">
        <v>138</v>
      </c>
      <c r="P152" s="14" t="s">
        <v>138</v>
      </c>
      <c r="Q152" s="14"/>
      <c r="R152" s="14"/>
      <c r="S152" s="14" t="s">
        <v>1178</v>
      </c>
      <c r="T152" s="14" t="s">
        <v>1179</v>
      </c>
      <c r="U152" s="15">
        <v>9.4E-2</v>
      </c>
      <c r="V152" s="10">
        <v>1</v>
      </c>
    </row>
    <row r="153" spans="1:22" ht="18" customHeight="1" x14ac:dyDescent="0.35">
      <c r="A153" s="10" t="s">
        <v>47</v>
      </c>
      <c r="B153" s="10" t="s">
        <v>3228</v>
      </c>
      <c r="C153" s="11" t="s">
        <v>2984</v>
      </c>
      <c r="D153" s="11" t="s">
        <v>678</v>
      </c>
      <c r="E153" s="12">
        <v>45992.362314814818</v>
      </c>
      <c r="F153" s="10" t="str">
        <f>TEXT(events[[#This Row],[Start Date]],"DDD")</f>
        <v>Mon</v>
      </c>
      <c r="G153" s="10">
        <f>YEAR(events[[#This Row],[Start Date]])</f>
        <v>2025</v>
      </c>
      <c r="H153" s="10" t="str">
        <f>TEXT(events[[#This Row],[Start Date]],"mmm")</f>
        <v>Dec</v>
      </c>
      <c r="I153" s="10" t="str">
        <f>CONCATENATE("WK_",WEEKNUM(events[[#This Row],[Start Date]]))</f>
        <v>WK_49</v>
      </c>
      <c r="J153" s="12">
        <v>45992.362326388888</v>
      </c>
      <c r="K153" s="10">
        <v>11</v>
      </c>
      <c r="L153" s="10" t="s">
        <v>83</v>
      </c>
      <c r="M153" s="10" t="s">
        <v>26</v>
      </c>
      <c r="N153" s="13">
        <f t="shared" si="2"/>
        <v>1.6666666666666666E-2</v>
      </c>
      <c r="O153" s="14" t="s">
        <v>92</v>
      </c>
      <c r="P153" s="14"/>
      <c r="Q153" s="14" t="s">
        <v>1176</v>
      </c>
      <c r="R153" s="14"/>
      <c r="S153" s="14" t="s">
        <v>1177</v>
      </c>
      <c r="T153" s="14"/>
      <c r="U153" s="15">
        <v>0</v>
      </c>
      <c r="V153" s="10">
        <v>1</v>
      </c>
    </row>
    <row r="154" spans="1:22" ht="18" customHeight="1" x14ac:dyDescent="0.35">
      <c r="A154" s="10" t="s">
        <v>23</v>
      </c>
      <c r="B154" s="10" t="s">
        <v>3229</v>
      </c>
      <c r="C154" s="11" t="s">
        <v>2996</v>
      </c>
      <c r="D154" s="11" t="s">
        <v>82</v>
      </c>
      <c r="E154" s="12">
        <v>45992.259930555556</v>
      </c>
      <c r="F154" s="10" t="str">
        <f>TEXT(events[[#This Row],[Start Date]],"DDD")</f>
        <v>Mon</v>
      </c>
      <c r="G154" s="10">
        <f>YEAR(events[[#This Row],[Start Date]])</f>
        <v>2025</v>
      </c>
      <c r="H154" s="10" t="str">
        <f>TEXT(events[[#This Row],[Start Date]],"mmm")</f>
        <v>Dec</v>
      </c>
      <c r="I154" s="10" t="str">
        <f>CONCATENATE("WK_",WEEKNUM(events[[#This Row],[Start Date]]))</f>
        <v>WK_49</v>
      </c>
      <c r="J154" s="12">
        <v>45992.259942129633</v>
      </c>
      <c r="K154" s="10">
        <v>25</v>
      </c>
      <c r="L154" s="10" t="s">
        <v>83</v>
      </c>
      <c r="M154" s="10" t="s">
        <v>26</v>
      </c>
      <c r="N154" s="13">
        <f t="shared" si="2"/>
        <v>1.6666666666666666E-2</v>
      </c>
      <c r="O154" s="14" t="s">
        <v>27</v>
      </c>
      <c r="P154" s="14"/>
      <c r="Q154" s="14"/>
      <c r="R154" s="14"/>
      <c r="S154" s="14" t="s">
        <v>1171</v>
      </c>
      <c r="T154" s="14"/>
      <c r="U154" s="15">
        <v>0</v>
      </c>
      <c r="V154" s="10">
        <v>1</v>
      </c>
    </row>
    <row r="155" spans="1:22" ht="18" customHeight="1" x14ac:dyDescent="0.35">
      <c r="A155" s="10" t="s">
        <v>123</v>
      </c>
      <c r="B155" s="10" t="s">
        <v>3230</v>
      </c>
      <c r="C155" s="11" t="s">
        <v>2997</v>
      </c>
      <c r="D155" s="11" t="s">
        <v>74</v>
      </c>
      <c r="E155" s="12">
        <v>45992</v>
      </c>
      <c r="F155" s="10" t="str">
        <f>TEXT(events[[#This Row],[Start Date]],"DDD")</f>
        <v>Mon</v>
      </c>
      <c r="G155" s="10">
        <f>YEAR(events[[#This Row],[Start Date]])</f>
        <v>2025</v>
      </c>
      <c r="H155" s="10" t="str">
        <f>TEXT(events[[#This Row],[Start Date]],"mmm")</f>
        <v>Dec</v>
      </c>
      <c r="I155" s="10" t="str">
        <f>CONCATENATE("WK_",WEEKNUM(events[[#This Row],[Start Date]]))</f>
        <v>WK_49</v>
      </c>
      <c r="J155" s="12">
        <v>45992</v>
      </c>
      <c r="K155" s="10">
        <v>88</v>
      </c>
      <c r="L155" s="10" t="s">
        <v>25</v>
      </c>
      <c r="M155" s="10" t="s">
        <v>1203</v>
      </c>
      <c r="N155" s="13">
        <f t="shared" si="2"/>
        <v>2.7333333333333334</v>
      </c>
      <c r="O155" s="14"/>
      <c r="P155" s="14"/>
      <c r="Q155" s="14" t="s">
        <v>451</v>
      </c>
      <c r="R155" s="14" t="s">
        <v>451</v>
      </c>
      <c r="S155" s="14" t="s">
        <v>1204</v>
      </c>
      <c r="T155" s="14" t="s">
        <v>1205</v>
      </c>
      <c r="U155" s="15">
        <v>4</v>
      </c>
      <c r="V155" s="10">
        <v>1</v>
      </c>
    </row>
    <row r="156" spans="1:22" ht="18" customHeight="1" x14ac:dyDescent="0.35">
      <c r="A156" s="10" t="s">
        <v>47</v>
      </c>
      <c r="B156" s="10" t="s">
        <v>3231</v>
      </c>
      <c r="C156" s="11" t="s">
        <v>2998</v>
      </c>
      <c r="D156" s="11" t="s">
        <v>24</v>
      </c>
      <c r="E156" s="12">
        <v>45990.641006944446</v>
      </c>
      <c r="F156" s="10" t="str">
        <f>TEXT(events[[#This Row],[Start Date]],"DDD")</f>
        <v>Sat</v>
      </c>
      <c r="G156" s="10">
        <f>YEAR(events[[#This Row],[Start Date]])</f>
        <v>2025</v>
      </c>
      <c r="H156" s="10" t="str">
        <f>TEXT(events[[#This Row],[Start Date]],"mmm")</f>
        <v>Nov</v>
      </c>
      <c r="I156" s="10" t="str">
        <f>CONCATENATE("WK_",WEEKNUM(events[[#This Row],[Start Date]]))</f>
        <v>WK_48</v>
      </c>
      <c r="J156" s="12">
        <v>45990.641030092593</v>
      </c>
      <c r="K156" s="10">
        <v>69</v>
      </c>
      <c r="L156" s="10" t="s">
        <v>25</v>
      </c>
      <c r="M156" s="10" t="s">
        <v>31</v>
      </c>
      <c r="N156" s="13">
        <f t="shared" si="2"/>
        <v>3.3333333333333333E-2</v>
      </c>
      <c r="O156" s="14" t="s">
        <v>65</v>
      </c>
      <c r="P156" s="14" t="s">
        <v>65</v>
      </c>
      <c r="Q156" s="14"/>
      <c r="R156" s="14"/>
      <c r="S156" s="14" t="s">
        <v>1174</v>
      </c>
      <c r="T156" s="14" t="s">
        <v>1175</v>
      </c>
      <c r="U156" s="15">
        <v>9.4E-2</v>
      </c>
      <c r="V156" s="10">
        <v>1</v>
      </c>
    </row>
    <row r="157" spans="1:22" ht="18" customHeight="1" x14ac:dyDescent="0.35">
      <c r="A157" s="10" t="s">
        <v>123</v>
      </c>
      <c r="B157" s="10" t="s">
        <v>3230</v>
      </c>
      <c r="C157" s="11" t="s">
        <v>2997</v>
      </c>
      <c r="D157" s="11" t="s">
        <v>74</v>
      </c>
      <c r="E157" s="12">
        <v>45990</v>
      </c>
      <c r="F157" s="10" t="str">
        <f>TEXT(events[[#This Row],[Start Date]],"DDD")</f>
        <v>Sat</v>
      </c>
      <c r="G157" s="10">
        <f>YEAR(events[[#This Row],[Start Date]])</f>
        <v>2025</v>
      </c>
      <c r="H157" s="10" t="str">
        <f>TEXT(events[[#This Row],[Start Date]],"mmm")</f>
        <v>Nov</v>
      </c>
      <c r="I157" s="10" t="str">
        <f>CONCATENATE("WK_",WEEKNUM(events[[#This Row],[Start Date]]))</f>
        <v>WK_48</v>
      </c>
      <c r="J157" s="12">
        <v>45990</v>
      </c>
      <c r="K157" s="10">
        <v>89</v>
      </c>
      <c r="L157" s="10" t="s">
        <v>25</v>
      </c>
      <c r="M157" s="10" t="s">
        <v>712</v>
      </c>
      <c r="N157" s="13">
        <f t="shared" si="2"/>
        <v>1.1499999999999999</v>
      </c>
      <c r="O157" s="14"/>
      <c r="P157" s="14"/>
      <c r="Q157" s="14" t="s">
        <v>549</v>
      </c>
      <c r="R157" s="14" t="s">
        <v>550</v>
      </c>
      <c r="S157" s="14" t="s">
        <v>1212</v>
      </c>
      <c r="T157" s="14" t="s">
        <v>1213</v>
      </c>
      <c r="U157" s="15">
        <v>1.7</v>
      </c>
      <c r="V157" s="10">
        <v>1</v>
      </c>
    </row>
    <row r="158" spans="1:22" ht="18" customHeight="1" x14ac:dyDescent="0.35">
      <c r="A158" s="10" t="s">
        <v>23</v>
      </c>
      <c r="B158" s="10" t="s">
        <v>3174</v>
      </c>
      <c r="C158" s="11" t="s">
        <v>2941</v>
      </c>
      <c r="D158" s="11" t="s">
        <v>24</v>
      </c>
      <c r="E158" s="12">
        <v>45989.892696759256</v>
      </c>
      <c r="F158" s="10" t="str">
        <f>TEXT(events[[#This Row],[Start Date]],"DDD")</f>
        <v>Fri</v>
      </c>
      <c r="G158" s="10">
        <f>YEAR(events[[#This Row],[Start Date]])</f>
        <v>2025</v>
      </c>
      <c r="H158" s="10" t="str">
        <f>TEXT(events[[#This Row],[Start Date]],"mmm")</f>
        <v>Nov</v>
      </c>
      <c r="I158" s="10" t="str">
        <f>CONCATENATE("WK_",WEEKNUM(events[[#This Row],[Start Date]]))</f>
        <v>WK_48</v>
      </c>
      <c r="J158" s="12">
        <v>45989.892951388887</v>
      </c>
      <c r="K158" s="10">
        <v>71</v>
      </c>
      <c r="L158" s="10" t="s">
        <v>25</v>
      </c>
      <c r="M158" s="10" t="s">
        <v>1079</v>
      </c>
      <c r="N158" s="13">
        <f t="shared" si="2"/>
        <v>0.36666666666666664</v>
      </c>
      <c r="O158" s="14" t="s">
        <v>138</v>
      </c>
      <c r="P158" s="14" t="s">
        <v>138</v>
      </c>
      <c r="Q158" s="14"/>
      <c r="R158" s="14"/>
      <c r="S158" s="14" t="s">
        <v>1169</v>
      </c>
      <c r="T158" s="14" t="s">
        <v>1170</v>
      </c>
      <c r="U158" s="15">
        <v>0.5</v>
      </c>
      <c r="V158" s="10">
        <v>1</v>
      </c>
    </row>
    <row r="159" spans="1:22" ht="18" customHeight="1" x14ac:dyDescent="0.35">
      <c r="A159" s="10" t="s">
        <v>23</v>
      </c>
      <c r="B159" s="10" t="s">
        <v>3174</v>
      </c>
      <c r="C159" s="11" t="s">
        <v>2941</v>
      </c>
      <c r="D159" s="11" t="s">
        <v>24</v>
      </c>
      <c r="E159" s="12">
        <v>45989.891446759262</v>
      </c>
      <c r="F159" s="10" t="str">
        <f>TEXT(events[[#This Row],[Start Date]],"DDD")</f>
        <v>Fri</v>
      </c>
      <c r="G159" s="10">
        <f>YEAR(events[[#This Row],[Start Date]])</f>
        <v>2025</v>
      </c>
      <c r="H159" s="10" t="str">
        <f>TEXT(events[[#This Row],[Start Date]],"mmm")</f>
        <v>Nov</v>
      </c>
      <c r="I159" s="10" t="str">
        <f>CONCATENATE("WK_",WEEKNUM(events[[#This Row],[Start Date]]))</f>
        <v>WK_48</v>
      </c>
      <c r="J159" s="12">
        <v>45989.892152777778</v>
      </c>
      <c r="K159" s="10">
        <v>72</v>
      </c>
      <c r="L159" s="10" t="s">
        <v>25</v>
      </c>
      <c r="M159" s="10" t="s">
        <v>1166</v>
      </c>
      <c r="N159" s="13">
        <f t="shared" si="2"/>
        <v>1.0166666666666666</v>
      </c>
      <c r="O159" s="14" t="s">
        <v>138</v>
      </c>
      <c r="P159" s="14" t="s">
        <v>138</v>
      </c>
      <c r="Q159" s="14"/>
      <c r="R159" s="14"/>
      <c r="S159" s="14" t="s">
        <v>1167</v>
      </c>
      <c r="T159" s="14" t="s">
        <v>1168</v>
      </c>
      <c r="U159" s="15">
        <v>1.0980000000000001</v>
      </c>
      <c r="V159" s="10">
        <v>1</v>
      </c>
    </row>
    <row r="160" spans="1:22" ht="18" customHeight="1" x14ac:dyDescent="0.35">
      <c r="A160" s="10" t="s">
        <v>23</v>
      </c>
      <c r="B160" s="10" t="s">
        <v>3174</v>
      </c>
      <c r="C160" s="11" t="s">
        <v>2941</v>
      </c>
      <c r="D160" s="11" t="s">
        <v>24</v>
      </c>
      <c r="E160" s="12">
        <v>45989.889791666668</v>
      </c>
      <c r="F160" s="10" t="str">
        <f>TEXT(events[[#This Row],[Start Date]],"DDD")</f>
        <v>Fri</v>
      </c>
      <c r="G160" s="10">
        <f>YEAR(events[[#This Row],[Start Date]])</f>
        <v>2025</v>
      </c>
      <c r="H160" s="10" t="str">
        <f>TEXT(events[[#This Row],[Start Date]],"mmm")</f>
        <v>Nov</v>
      </c>
      <c r="I160" s="10" t="str">
        <f>CONCATENATE("WK_",WEEKNUM(events[[#This Row],[Start Date]]))</f>
        <v>WK_48</v>
      </c>
      <c r="J160" s="12">
        <v>45989.890509259261</v>
      </c>
      <c r="K160" s="10">
        <v>75</v>
      </c>
      <c r="L160" s="10" t="s">
        <v>25</v>
      </c>
      <c r="M160" s="10" t="s">
        <v>1163</v>
      </c>
      <c r="N160" s="13">
        <f t="shared" si="2"/>
        <v>1.0333333333333334</v>
      </c>
      <c r="O160" s="14" t="s">
        <v>138</v>
      </c>
      <c r="P160" s="14" t="s">
        <v>138</v>
      </c>
      <c r="Q160" s="14"/>
      <c r="R160" s="14"/>
      <c r="S160" s="14" t="s">
        <v>1164</v>
      </c>
      <c r="T160" s="14" t="s">
        <v>1165</v>
      </c>
      <c r="U160" s="15">
        <v>1.0980000000000001</v>
      </c>
      <c r="V160" s="10">
        <v>1</v>
      </c>
    </row>
    <row r="161" spans="1:22" ht="18" customHeight="1" x14ac:dyDescent="0.35">
      <c r="A161" s="10" t="s">
        <v>23</v>
      </c>
      <c r="B161" s="10" t="s">
        <v>3174</v>
      </c>
      <c r="C161" s="11" t="s">
        <v>2941</v>
      </c>
      <c r="D161" s="11" t="s">
        <v>24</v>
      </c>
      <c r="E161" s="12">
        <v>45989.889224537037</v>
      </c>
      <c r="F161" s="10" t="str">
        <f>TEXT(events[[#This Row],[Start Date]],"DDD")</f>
        <v>Fri</v>
      </c>
      <c r="G161" s="10">
        <f>YEAR(events[[#This Row],[Start Date]])</f>
        <v>2025</v>
      </c>
      <c r="H161" s="10" t="str">
        <f>TEXT(events[[#This Row],[Start Date]],"mmm")</f>
        <v>Nov</v>
      </c>
      <c r="I161" s="10" t="str">
        <f>CONCATENATE("WK_",WEEKNUM(events[[#This Row],[Start Date]]))</f>
        <v>WK_48</v>
      </c>
      <c r="J161" s="12">
        <v>45989.889444444445</v>
      </c>
      <c r="K161" s="10">
        <v>66</v>
      </c>
      <c r="L161" s="10" t="s">
        <v>25</v>
      </c>
      <c r="M161" s="10" t="s">
        <v>445</v>
      </c>
      <c r="N161" s="13">
        <f t="shared" si="2"/>
        <v>0.31666666666666665</v>
      </c>
      <c r="O161" s="14" t="s">
        <v>138</v>
      </c>
      <c r="P161" s="14" t="s">
        <v>138</v>
      </c>
      <c r="Q161" s="14"/>
      <c r="R161" s="14"/>
      <c r="S161" s="14" t="s">
        <v>1161</v>
      </c>
      <c r="T161" s="14" t="s">
        <v>1162</v>
      </c>
      <c r="U161" s="15">
        <v>0.40200000000000002</v>
      </c>
      <c r="V161" s="10">
        <v>1</v>
      </c>
    </row>
    <row r="162" spans="1:22" ht="18" customHeight="1" x14ac:dyDescent="0.35">
      <c r="A162" s="10" t="s">
        <v>123</v>
      </c>
      <c r="B162" s="10" t="s">
        <v>3232</v>
      </c>
      <c r="C162" s="11" t="s">
        <v>2999</v>
      </c>
      <c r="D162" s="11" t="s">
        <v>74</v>
      </c>
      <c r="E162" s="12">
        <v>45989</v>
      </c>
      <c r="F162" s="10" t="str">
        <f>TEXT(events[[#This Row],[Start Date]],"DDD")</f>
        <v>Fri</v>
      </c>
      <c r="G162" s="10">
        <f>YEAR(events[[#This Row],[Start Date]])</f>
        <v>2025</v>
      </c>
      <c r="H162" s="10" t="str">
        <f>TEXT(events[[#This Row],[Start Date]],"mmm")</f>
        <v>Nov</v>
      </c>
      <c r="I162" s="10" t="str">
        <f>CONCATENATE("WK_",WEEKNUM(events[[#This Row],[Start Date]]))</f>
        <v>WK_48</v>
      </c>
      <c r="J162" s="12">
        <v>45989</v>
      </c>
      <c r="K162" s="10">
        <v>88</v>
      </c>
      <c r="L162" s="10" t="s">
        <v>25</v>
      </c>
      <c r="M162" s="10" t="s">
        <v>215</v>
      </c>
      <c r="N162" s="13">
        <f t="shared" si="2"/>
        <v>0.58333333333333337</v>
      </c>
      <c r="O162" s="14"/>
      <c r="P162" s="14"/>
      <c r="Q162" s="14" t="s">
        <v>1199</v>
      </c>
      <c r="R162" s="14" t="s">
        <v>1200</v>
      </c>
      <c r="S162" s="14" t="s">
        <v>1201</v>
      </c>
      <c r="T162" s="14" t="s">
        <v>1202</v>
      </c>
      <c r="U162" s="15">
        <v>0.9</v>
      </c>
      <c r="V162" s="10">
        <v>1</v>
      </c>
    </row>
    <row r="163" spans="1:22" ht="18" customHeight="1" x14ac:dyDescent="0.35">
      <c r="A163" s="10" t="s">
        <v>86</v>
      </c>
      <c r="B163" s="10" t="s">
        <v>3233</v>
      </c>
      <c r="C163" s="11" t="s">
        <v>2964</v>
      </c>
      <c r="D163" s="11" t="s">
        <v>24</v>
      </c>
      <c r="E163" s="12">
        <v>45988.770046296297</v>
      </c>
      <c r="F163" s="10" t="str">
        <f>TEXT(events[[#This Row],[Start Date]],"DDD")</f>
        <v>Thu</v>
      </c>
      <c r="G163" s="10">
        <f>YEAR(events[[#This Row],[Start Date]])</f>
        <v>2025</v>
      </c>
      <c r="H163" s="10" t="str">
        <f>TEXT(events[[#This Row],[Start Date]],"mmm")</f>
        <v>Nov</v>
      </c>
      <c r="I163" s="10" t="str">
        <f>CONCATENATE("WK_",WEEKNUM(events[[#This Row],[Start Date]]))</f>
        <v>WK_48</v>
      </c>
      <c r="J163" s="12">
        <v>45988.770219907405</v>
      </c>
      <c r="K163" s="10">
        <v>37</v>
      </c>
      <c r="L163" s="10" t="s">
        <v>25</v>
      </c>
      <c r="M163" s="10" t="s">
        <v>394</v>
      </c>
      <c r="N163" s="13">
        <f t="shared" si="2"/>
        <v>0.25</v>
      </c>
      <c r="O163" s="14" t="s">
        <v>138</v>
      </c>
      <c r="P163" s="14" t="s">
        <v>138</v>
      </c>
      <c r="Q163" s="14"/>
      <c r="R163" s="14"/>
      <c r="S163" s="14" t="s">
        <v>1188</v>
      </c>
      <c r="T163" s="14" t="s">
        <v>1189</v>
      </c>
      <c r="U163" s="15">
        <v>0.219</v>
      </c>
      <c r="V163" s="10">
        <v>1</v>
      </c>
    </row>
    <row r="164" spans="1:22" ht="18" customHeight="1" x14ac:dyDescent="0.35">
      <c r="A164" s="10" t="s">
        <v>123</v>
      </c>
      <c r="B164" s="10" t="s">
        <v>3168</v>
      </c>
      <c r="C164" s="11" t="s">
        <v>2934</v>
      </c>
      <c r="D164" s="11" t="s">
        <v>74</v>
      </c>
      <c r="E164" s="12">
        <v>45988</v>
      </c>
      <c r="F164" s="10" t="str">
        <f>TEXT(events[[#This Row],[Start Date]],"DDD")</f>
        <v>Thu</v>
      </c>
      <c r="G164" s="10">
        <f>YEAR(events[[#This Row],[Start Date]])</f>
        <v>2025</v>
      </c>
      <c r="H164" s="10" t="str">
        <f>TEXT(events[[#This Row],[Start Date]],"mmm")</f>
        <v>Nov</v>
      </c>
      <c r="I164" s="10" t="str">
        <f>CONCATENATE("WK_",WEEKNUM(events[[#This Row],[Start Date]]))</f>
        <v>WK_48</v>
      </c>
      <c r="J164" s="12">
        <v>45988</v>
      </c>
      <c r="K164" s="10">
        <v>94</v>
      </c>
      <c r="L164" s="10" t="s">
        <v>25</v>
      </c>
      <c r="M164" s="10" t="s">
        <v>219</v>
      </c>
      <c r="N164" s="13">
        <f t="shared" si="2"/>
        <v>0.66666666666666663</v>
      </c>
      <c r="O164" s="14"/>
      <c r="P164" s="14"/>
      <c r="Q164" s="14" t="s">
        <v>808</v>
      </c>
      <c r="R164" s="14" t="s">
        <v>809</v>
      </c>
      <c r="S164" s="14" t="s">
        <v>1214</v>
      </c>
      <c r="T164" s="14" t="s">
        <v>1215</v>
      </c>
      <c r="U164" s="15">
        <v>1</v>
      </c>
      <c r="V164" s="10">
        <v>1</v>
      </c>
    </row>
    <row r="165" spans="1:22" ht="18" customHeight="1" x14ac:dyDescent="0.35">
      <c r="A165" s="10" t="s">
        <v>123</v>
      </c>
      <c r="B165" s="10" t="s">
        <v>3160</v>
      </c>
      <c r="C165" s="11" t="s">
        <v>2926</v>
      </c>
      <c r="D165" s="11" t="s">
        <v>74</v>
      </c>
      <c r="E165" s="12">
        <v>45988</v>
      </c>
      <c r="F165" s="10" t="str">
        <f>TEXT(events[[#This Row],[Start Date]],"DDD")</f>
        <v>Thu</v>
      </c>
      <c r="G165" s="10">
        <f>YEAR(events[[#This Row],[Start Date]])</f>
        <v>2025</v>
      </c>
      <c r="H165" s="10" t="str">
        <f>TEXT(events[[#This Row],[Start Date]],"mmm")</f>
        <v>Nov</v>
      </c>
      <c r="I165" s="10" t="str">
        <f>CONCATENATE("WK_",WEEKNUM(events[[#This Row],[Start Date]]))</f>
        <v>WK_48</v>
      </c>
      <c r="J165" s="12">
        <v>45988</v>
      </c>
      <c r="K165" s="10">
        <v>94</v>
      </c>
      <c r="L165" s="10" t="s">
        <v>25</v>
      </c>
      <c r="M165" s="10" t="s">
        <v>538</v>
      </c>
      <c r="N165" s="13">
        <f t="shared" si="2"/>
        <v>0.98333333333333328</v>
      </c>
      <c r="O165" s="14"/>
      <c r="P165" s="14"/>
      <c r="Q165" s="14" t="s">
        <v>174</v>
      </c>
      <c r="R165" s="14" t="s">
        <v>174</v>
      </c>
      <c r="S165" s="14" t="s">
        <v>1216</v>
      </c>
      <c r="T165" s="14" t="s">
        <v>1217</v>
      </c>
      <c r="U165" s="15">
        <v>1.5</v>
      </c>
      <c r="V165" s="10">
        <v>1</v>
      </c>
    </row>
    <row r="166" spans="1:22" ht="18" customHeight="1" x14ac:dyDescent="0.35">
      <c r="A166" s="10" t="s">
        <v>23</v>
      </c>
      <c r="B166" s="10" t="s">
        <v>3229</v>
      </c>
      <c r="C166" s="11" t="s">
        <v>2996</v>
      </c>
      <c r="D166" s="11" t="s">
        <v>82</v>
      </c>
      <c r="E166" s="12">
        <v>45987.745069444441</v>
      </c>
      <c r="F166" s="10" t="str">
        <f>TEXT(events[[#This Row],[Start Date]],"DDD")</f>
        <v>Wed</v>
      </c>
      <c r="G166" s="10">
        <f>YEAR(events[[#This Row],[Start Date]])</f>
        <v>2025</v>
      </c>
      <c r="H166" s="10" t="str">
        <f>TEXT(events[[#This Row],[Start Date]],"mmm")</f>
        <v>Nov</v>
      </c>
      <c r="I166" s="10" t="str">
        <f>CONCATENATE("WK_",WEEKNUM(events[[#This Row],[Start Date]]))</f>
        <v>WK_48</v>
      </c>
      <c r="J166" s="12">
        <v>45987.745081018518</v>
      </c>
      <c r="K166" s="10">
        <v>16</v>
      </c>
      <c r="L166" s="10" t="s">
        <v>83</v>
      </c>
      <c r="M166" s="10" t="s">
        <v>26</v>
      </c>
      <c r="N166" s="13">
        <f t="shared" si="2"/>
        <v>1.6666666666666666E-2</v>
      </c>
      <c r="O166" s="14" t="s">
        <v>138</v>
      </c>
      <c r="P166" s="14"/>
      <c r="Q166" s="14"/>
      <c r="R166" s="14"/>
      <c r="S166" s="14" t="s">
        <v>1218</v>
      </c>
      <c r="T166" s="14"/>
      <c r="U166" s="15">
        <v>0</v>
      </c>
      <c r="V166" s="10">
        <v>1</v>
      </c>
    </row>
    <row r="167" spans="1:22" ht="18" customHeight="1" x14ac:dyDescent="0.35">
      <c r="A167" s="10" t="s">
        <v>47</v>
      </c>
      <c r="B167" s="10" t="s">
        <v>3234</v>
      </c>
      <c r="C167" s="11" t="s">
        <v>3000</v>
      </c>
      <c r="D167" s="11" t="s">
        <v>24</v>
      </c>
      <c r="E167" s="12">
        <v>45987.29351851852</v>
      </c>
      <c r="F167" s="10" t="str">
        <f>TEXT(events[[#This Row],[Start Date]],"DDD")</f>
        <v>Wed</v>
      </c>
      <c r="G167" s="10">
        <f>YEAR(events[[#This Row],[Start Date]])</f>
        <v>2025</v>
      </c>
      <c r="H167" s="10" t="str">
        <f>TEXT(events[[#This Row],[Start Date]],"mmm")</f>
        <v>Nov</v>
      </c>
      <c r="I167" s="10" t="str">
        <f>CONCATENATE("WK_",WEEKNUM(events[[#This Row],[Start Date]]))</f>
        <v>WK_48</v>
      </c>
      <c r="J167" s="12">
        <v>45987.296481481484</v>
      </c>
      <c r="K167" s="10">
        <v>51</v>
      </c>
      <c r="L167" s="10" t="s">
        <v>25</v>
      </c>
      <c r="M167" s="10" t="s">
        <v>1228</v>
      </c>
      <c r="N167" s="13">
        <f t="shared" si="2"/>
        <v>4.2666666666666666</v>
      </c>
      <c r="O167" s="14" t="s">
        <v>92</v>
      </c>
      <c r="P167" s="14" t="s">
        <v>92</v>
      </c>
      <c r="Q167" s="14"/>
      <c r="R167" s="14"/>
      <c r="S167" s="14" t="s">
        <v>1229</v>
      </c>
      <c r="T167" s="14" t="s">
        <v>1230</v>
      </c>
      <c r="U167" s="15">
        <v>3.1880000000000002</v>
      </c>
      <c r="V167" s="10">
        <v>1</v>
      </c>
    </row>
    <row r="168" spans="1:22" ht="18" customHeight="1" x14ac:dyDescent="0.35">
      <c r="A168" s="10" t="s">
        <v>47</v>
      </c>
      <c r="B168" s="10" t="s">
        <v>3231</v>
      </c>
      <c r="C168" s="11" t="s">
        <v>2998</v>
      </c>
      <c r="D168" s="11" t="s">
        <v>24</v>
      </c>
      <c r="E168" s="12">
        <v>45986.596064814818</v>
      </c>
      <c r="F168" s="10" t="str">
        <f>TEXT(events[[#This Row],[Start Date]],"DDD")</f>
        <v>Tue</v>
      </c>
      <c r="G168" s="10">
        <f>YEAR(events[[#This Row],[Start Date]])</f>
        <v>2025</v>
      </c>
      <c r="H168" s="10" t="str">
        <f>TEXT(events[[#This Row],[Start Date]],"mmm")</f>
        <v>Nov</v>
      </c>
      <c r="I168" s="10" t="str">
        <f>CONCATENATE("WK_",WEEKNUM(events[[#This Row],[Start Date]]))</f>
        <v>WK_48</v>
      </c>
      <c r="J168" s="12">
        <v>45986.596076388887</v>
      </c>
      <c r="K168" s="10">
        <v>34</v>
      </c>
      <c r="L168" s="10" t="s">
        <v>25</v>
      </c>
      <c r="M168" s="10" t="s">
        <v>26</v>
      </c>
      <c r="N168" s="13">
        <f t="shared" si="2"/>
        <v>1.6666666666666666E-2</v>
      </c>
      <c r="O168" s="14" t="s">
        <v>27</v>
      </c>
      <c r="P168" s="14" t="s">
        <v>27</v>
      </c>
      <c r="Q168" s="14"/>
      <c r="R168" s="14"/>
      <c r="S168" s="14" t="s">
        <v>1226</v>
      </c>
      <c r="T168" s="14" t="s">
        <v>1227</v>
      </c>
      <c r="U168" s="15">
        <v>0</v>
      </c>
      <c r="V168" s="10">
        <v>1</v>
      </c>
    </row>
    <row r="169" spans="1:22" ht="18" customHeight="1" x14ac:dyDescent="0.35">
      <c r="A169" s="10" t="s">
        <v>47</v>
      </c>
      <c r="B169" s="10" t="s">
        <v>3222</v>
      </c>
      <c r="C169" s="11" t="s">
        <v>2991</v>
      </c>
      <c r="D169" s="11" t="s">
        <v>24</v>
      </c>
      <c r="E169" s="12">
        <v>45986.484085648146</v>
      </c>
      <c r="F169" s="10" t="str">
        <f>TEXT(events[[#This Row],[Start Date]],"DDD")</f>
        <v>Tue</v>
      </c>
      <c r="G169" s="10">
        <f>YEAR(events[[#This Row],[Start Date]])</f>
        <v>2025</v>
      </c>
      <c r="H169" s="10" t="str">
        <f>TEXT(events[[#This Row],[Start Date]],"mmm")</f>
        <v>Nov</v>
      </c>
      <c r="I169" s="10" t="str">
        <f>CONCATENATE("WK_",WEEKNUM(events[[#This Row],[Start Date]]))</f>
        <v>WK_48</v>
      </c>
      <c r="J169" s="12">
        <v>45986.484131944446</v>
      </c>
      <c r="K169" s="10">
        <v>33</v>
      </c>
      <c r="L169" s="10" t="s">
        <v>25</v>
      </c>
      <c r="M169" s="10" t="s">
        <v>275</v>
      </c>
      <c r="N169" s="13">
        <f t="shared" si="2"/>
        <v>6.6666666666666666E-2</v>
      </c>
      <c r="O169" s="14" t="s">
        <v>231</v>
      </c>
      <c r="P169" s="14" t="s">
        <v>231</v>
      </c>
      <c r="Q169" s="14"/>
      <c r="R169" s="14"/>
      <c r="S169" s="14" t="s">
        <v>1224</v>
      </c>
      <c r="T169" s="14" t="s">
        <v>1225</v>
      </c>
      <c r="U169" s="15">
        <v>9.4E-2</v>
      </c>
      <c r="V169" s="10">
        <v>1</v>
      </c>
    </row>
    <row r="170" spans="1:22" ht="18" customHeight="1" x14ac:dyDescent="0.35">
      <c r="A170" s="10" t="s">
        <v>47</v>
      </c>
      <c r="B170" s="10" t="s">
        <v>3235</v>
      </c>
      <c r="C170" s="11" t="s">
        <v>3001</v>
      </c>
      <c r="D170" s="11" t="s">
        <v>74</v>
      </c>
      <c r="E170" s="12">
        <v>45986.294583333336</v>
      </c>
      <c r="F170" s="10" t="str">
        <f>TEXT(events[[#This Row],[Start Date]],"DDD")</f>
        <v>Tue</v>
      </c>
      <c r="G170" s="10">
        <f>YEAR(events[[#This Row],[Start Date]])</f>
        <v>2025</v>
      </c>
      <c r="H170" s="10" t="str">
        <f>TEXT(events[[#This Row],[Start Date]],"mmm")</f>
        <v>Nov</v>
      </c>
      <c r="I170" s="10" t="str">
        <f>CONCATENATE("WK_",WEEKNUM(events[[#This Row],[Start Date]]))</f>
        <v>WK_48</v>
      </c>
      <c r="J170" s="12">
        <v>45986.294583333336</v>
      </c>
      <c r="K170" s="10">
        <v>81</v>
      </c>
      <c r="L170" s="10" t="s">
        <v>25</v>
      </c>
      <c r="M170" s="10" t="s">
        <v>87</v>
      </c>
      <c r="N170" s="13">
        <f t="shared" si="2"/>
        <v>0</v>
      </c>
      <c r="O170" s="14" t="s">
        <v>92</v>
      </c>
      <c r="P170" s="14" t="s">
        <v>92</v>
      </c>
      <c r="Q170" s="14"/>
      <c r="R170" s="14"/>
      <c r="S170" s="14" t="s">
        <v>1223</v>
      </c>
      <c r="T170" s="14" t="s">
        <v>1223</v>
      </c>
      <c r="U170" s="15">
        <v>0</v>
      </c>
      <c r="V170" s="10">
        <v>1</v>
      </c>
    </row>
    <row r="171" spans="1:22" ht="18" customHeight="1" x14ac:dyDescent="0.35">
      <c r="A171" s="10" t="s">
        <v>86</v>
      </c>
      <c r="B171" s="10" t="s">
        <v>3220</v>
      </c>
      <c r="C171" s="11" t="s">
        <v>2956</v>
      </c>
      <c r="D171" s="11" t="s">
        <v>678</v>
      </c>
      <c r="E171" s="12">
        <v>45985.511770833335</v>
      </c>
      <c r="F171" s="10" t="str">
        <f>TEXT(events[[#This Row],[Start Date]],"DDD")</f>
        <v>Mon</v>
      </c>
      <c r="G171" s="10">
        <f>YEAR(events[[#This Row],[Start Date]])</f>
        <v>2025</v>
      </c>
      <c r="H171" s="10" t="str">
        <f>TEXT(events[[#This Row],[Start Date]],"mmm")</f>
        <v>Nov</v>
      </c>
      <c r="I171" s="10" t="str">
        <f>CONCATENATE("WK_",WEEKNUM(events[[#This Row],[Start Date]]))</f>
        <v>WK_48</v>
      </c>
      <c r="J171" s="12">
        <v>45985.511770833335</v>
      </c>
      <c r="K171" s="10">
        <v>11</v>
      </c>
      <c r="L171" s="10" t="s">
        <v>83</v>
      </c>
      <c r="M171" s="10" t="s">
        <v>87</v>
      </c>
      <c r="N171" s="13">
        <f t="shared" si="2"/>
        <v>0</v>
      </c>
      <c r="O171" s="14" t="s">
        <v>92</v>
      </c>
      <c r="P171" s="14" t="s">
        <v>92</v>
      </c>
      <c r="Q171" s="14"/>
      <c r="R171" s="14"/>
      <c r="S171" s="14" t="s">
        <v>1244</v>
      </c>
      <c r="T171" s="14" t="s">
        <v>1244</v>
      </c>
      <c r="U171" s="15">
        <v>0</v>
      </c>
      <c r="V171" s="10">
        <v>1</v>
      </c>
    </row>
    <row r="172" spans="1:22" ht="18" customHeight="1" x14ac:dyDescent="0.35">
      <c r="A172" s="10" t="s">
        <v>47</v>
      </c>
      <c r="B172" s="10" t="s">
        <v>3222</v>
      </c>
      <c r="C172" s="11" t="s">
        <v>2991</v>
      </c>
      <c r="D172" s="11" t="s">
        <v>24</v>
      </c>
      <c r="E172" s="12">
        <v>45984.725636574076</v>
      </c>
      <c r="F172" s="10" t="str">
        <f>TEXT(events[[#This Row],[Start Date]],"DDD")</f>
        <v>Sun</v>
      </c>
      <c r="G172" s="10">
        <f>YEAR(events[[#This Row],[Start Date]])</f>
        <v>2025</v>
      </c>
      <c r="H172" s="10" t="str">
        <f>TEXT(events[[#This Row],[Start Date]],"mmm")</f>
        <v>Nov</v>
      </c>
      <c r="I172" s="10" t="str">
        <f>CONCATENATE("WK_",WEEKNUM(events[[#This Row],[Start Date]]))</f>
        <v>WK_48</v>
      </c>
      <c r="J172" s="12">
        <v>45984.725648148145</v>
      </c>
      <c r="K172" s="10">
        <v>32</v>
      </c>
      <c r="L172" s="10" t="s">
        <v>25</v>
      </c>
      <c r="M172" s="10" t="s">
        <v>26</v>
      </c>
      <c r="N172" s="13">
        <f t="shared" si="2"/>
        <v>1.6666666666666666E-2</v>
      </c>
      <c r="O172" s="14" t="s">
        <v>182</v>
      </c>
      <c r="P172" s="14" t="s">
        <v>182</v>
      </c>
      <c r="Q172" s="14"/>
      <c r="R172" s="14"/>
      <c r="S172" s="14" t="s">
        <v>1221</v>
      </c>
      <c r="T172" s="14" t="s">
        <v>1222</v>
      </c>
      <c r="U172" s="15">
        <v>0</v>
      </c>
      <c r="V172" s="10">
        <v>1</v>
      </c>
    </row>
    <row r="173" spans="1:22" ht="18" customHeight="1" x14ac:dyDescent="0.35">
      <c r="A173" s="10" t="s">
        <v>86</v>
      </c>
      <c r="B173" s="10" t="s">
        <v>3210</v>
      </c>
      <c r="C173" s="11" t="s">
        <v>2956</v>
      </c>
      <c r="D173" s="11" t="s">
        <v>82</v>
      </c>
      <c r="E173" s="12">
        <v>45983.75849537037</v>
      </c>
      <c r="F173" s="10" t="str">
        <f>TEXT(events[[#This Row],[Start Date]],"DDD")</f>
        <v>Sat</v>
      </c>
      <c r="G173" s="10">
        <f>YEAR(events[[#This Row],[Start Date]])</f>
        <v>2025</v>
      </c>
      <c r="H173" s="10" t="str">
        <f>TEXT(events[[#This Row],[Start Date]],"mmm")</f>
        <v>Nov</v>
      </c>
      <c r="I173" s="10" t="str">
        <f>CONCATENATE("WK_",WEEKNUM(events[[#This Row],[Start Date]]))</f>
        <v>WK_47</v>
      </c>
      <c r="J173" s="12">
        <v>45983.75849537037</v>
      </c>
      <c r="K173" s="10">
        <v>16</v>
      </c>
      <c r="L173" s="10" t="s">
        <v>83</v>
      </c>
      <c r="M173" s="10" t="s">
        <v>87</v>
      </c>
      <c r="N173" s="13">
        <f t="shared" si="2"/>
        <v>0</v>
      </c>
      <c r="O173" s="14" t="s">
        <v>38</v>
      </c>
      <c r="P173" s="14" t="s">
        <v>38</v>
      </c>
      <c r="Q173" s="14"/>
      <c r="R173" s="14"/>
      <c r="S173" s="14" t="s">
        <v>1243</v>
      </c>
      <c r="T173" s="14" t="s">
        <v>1243</v>
      </c>
      <c r="U173" s="15">
        <v>0</v>
      </c>
      <c r="V173" s="10">
        <v>1</v>
      </c>
    </row>
    <row r="174" spans="1:22" ht="18" customHeight="1" x14ac:dyDescent="0.35">
      <c r="A174" s="10" t="s">
        <v>86</v>
      </c>
      <c r="B174" s="10" t="s">
        <v>3223</v>
      </c>
      <c r="C174" s="11" t="s">
        <v>2972</v>
      </c>
      <c r="D174" s="11" t="s">
        <v>74</v>
      </c>
      <c r="E174" s="12">
        <v>45983.548784722225</v>
      </c>
      <c r="F174" s="10" t="str">
        <f>TEXT(events[[#This Row],[Start Date]],"DDD")</f>
        <v>Sat</v>
      </c>
      <c r="G174" s="10">
        <f>YEAR(events[[#This Row],[Start Date]])</f>
        <v>2025</v>
      </c>
      <c r="H174" s="10" t="str">
        <f>TEXT(events[[#This Row],[Start Date]],"mmm")</f>
        <v>Nov</v>
      </c>
      <c r="I174" s="10" t="str">
        <f>CONCATENATE("WK_",WEEKNUM(events[[#This Row],[Start Date]]))</f>
        <v>WK_47</v>
      </c>
      <c r="J174" s="12">
        <v>45983.548854166664</v>
      </c>
      <c r="K174" s="10">
        <v>83</v>
      </c>
      <c r="L174" s="10" t="s">
        <v>25</v>
      </c>
      <c r="M174" s="10" t="s">
        <v>328</v>
      </c>
      <c r="N174" s="13">
        <f t="shared" si="2"/>
        <v>0.1</v>
      </c>
      <c r="O174" s="14" t="s">
        <v>27</v>
      </c>
      <c r="P174" s="14" t="s">
        <v>27</v>
      </c>
      <c r="Q174" s="14"/>
      <c r="R174" s="14"/>
      <c r="S174" s="14" t="s">
        <v>1241</v>
      </c>
      <c r="T174" s="14" t="s">
        <v>1242</v>
      </c>
      <c r="U174" s="15">
        <v>0.188</v>
      </c>
      <c r="V174" s="10">
        <v>1</v>
      </c>
    </row>
    <row r="175" spans="1:22" ht="18" customHeight="1" x14ac:dyDescent="0.35">
      <c r="A175" s="10" t="s">
        <v>86</v>
      </c>
      <c r="B175" s="10" t="s">
        <v>3158</v>
      </c>
      <c r="C175" s="11" t="s">
        <v>3002</v>
      </c>
      <c r="D175" s="11" t="s">
        <v>24</v>
      </c>
      <c r="E175" s="12">
        <v>45983.54828703704</v>
      </c>
      <c r="F175" s="10" t="str">
        <f>TEXT(events[[#This Row],[Start Date]],"DDD")</f>
        <v>Sat</v>
      </c>
      <c r="G175" s="10">
        <f>YEAR(events[[#This Row],[Start Date]])</f>
        <v>2025</v>
      </c>
      <c r="H175" s="10" t="str">
        <f>TEXT(events[[#This Row],[Start Date]],"mmm")</f>
        <v>Nov</v>
      </c>
      <c r="I175" s="10" t="str">
        <f>CONCATENATE("WK_",WEEKNUM(events[[#This Row],[Start Date]]))</f>
        <v>WK_47</v>
      </c>
      <c r="J175" s="12">
        <v>45983.548483796294</v>
      </c>
      <c r="K175" s="10">
        <v>37</v>
      </c>
      <c r="L175" s="10" t="s">
        <v>25</v>
      </c>
      <c r="M175" s="10" t="s">
        <v>775</v>
      </c>
      <c r="N175" s="13">
        <f t="shared" si="2"/>
        <v>0.28333333333333333</v>
      </c>
      <c r="O175" s="14" t="s">
        <v>92</v>
      </c>
      <c r="P175" s="14" t="s">
        <v>92</v>
      </c>
      <c r="Q175" s="14"/>
      <c r="R175" s="14"/>
      <c r="S175" s="14" t="s">
        <v>1239</v>
      </c>
      <c r="T175" s="14" t="s">
        <v>1240</v>
      </c>
      <c r="U175" s="15">
        <v>0.125</v>
      </c>
      <c r="V175" s="10">
        <v>1</v>
      </c>
    </row>
    <row r="176" spans="1:22" ht="18" customHeight="1" x14ac:dyDescent="0.35">
      <c r="A176" s="10" t="s">
        <v>86</v>
      </c>
      <c r="B176" s="10" t="s">
        <v>3223</v>
      </c>
      <c r="C176" s="11" t="s">
        <v>2972</v>
      </c>
      <c r="D176" s="11" t="s">
        <v>74</v>
      </c>
      <c r="E176" s="12">
        <v>45983.535624999997</v>
      </c>
      <c r="F176" s="10" t="str">
        <f>TEXT(events[[#This Row],[Start Date]],"DDD")</f>
        <v>Sat</v>
      </c>
      <c r="G176" s="10">
        <f>YEAR(events[[#This Row],[Start Date]])</f>
        <v>2025</v>
      </c>
      <c r="H176" s="10" t="str">
        <f>TEXT(events[[#This Row],[Start Date]],"mmm")</f>
        <v>Nov</v>
      </c>
      <c r="I176" s="10" t="str">
        <f>CONCATENATE("WK_",WEEKNUM(events[[#This Row],[Start Date]]))</f>
        <v>WK_47</v>
      </c>
      <c r="J176" s="12">
        <v>45983.536064814813</v>
      </c>
      <c r="K176" s="10">
        <v>87</v>
      </c>
      <c r="L176" s="10" t="s">
        <v>25</v>
      </c>
      <c r="M176" s="10" t="s">
        <v>943</v>
      </c>
      <c r="N176" s="13">
        <f t="shared" si="2"/>
        <v>0.6333333333333333</v>
      </c>
      <c r="O176" s="14" t="s">
        <v>27</v>
      </c>
      <c r="P176" s="14" t="s">
        <v>27</v>
      </c>
      <c r="Q176" s="14"/>
      <c r="R176" s="14"/>
      <c r="S176" s="14" t="s">
        <v>1237</v>
      </c>
      <c r="T176" s="14" t="s">
        <v>1238</v>
      </c>
      <c r="U176" s="15">
        <v>0.875</v>
      </c>
      <c r="V176" s="10">
        <v>1</v>
      </c>
    </row>
    <row r="177" spans="1:22" ht="18" customHeight="1" x14ac:dyDescent="0.35">
      <c r="A177" s="10" t="s">
        <v>86</v>
      </c>
      <c r="B177" s="10" t="s">
        <v>3223</v>
      </c>
      <c r="C177" s="11" t="s">
        <v>2972</v>
      </c>
      <c r="D177" s="11" t="s">
        <v>74</v>
      </c>
      <c r="E177" s="12">
        <v>45983.534131944441</v>
      </c>
      <c r="F177" s="10" t="str">
        <f>TEXT(events[[#This Row],[Start Date]],"DDD")</f>
        <v>Sat</v>
      </c>
      <c r="G177" s="10">
        <f>YEAR(events[[#This Row],[Start Date]])</f>
        <v>2025</v>
      </c>
      <c r="H177" s="10" t="str">
        <f>TEXT(events[[#This Row],[Start Date]],"mmm")</f>
        <v>Nov</v>
      </c>
      <c r="I177" s="10" t="str">
        <f>CONCATENATE("WK_",WEEKNUM(events[[#This Row],[Start Date]]))</f>
        <v>WK_47</v>
      </c>
      <c r="J177" s="12">
        <v>45983.534178240741</v>
      </c>
      <c r="K177" s="10">
        <v>82</v>
      </c>
      <c r="L177" s="10" t="s">
        <v>25</v>
      </c>
      <c r="M177" s="10" t="s">
        <v>275</v>
      </c>
      <c r="N177" s="13">
        <f t="shared" si="2"/>
        <v>6.6666666666666666E-2</v>
      </c>
      <c r="O177" s="14" t="s">
        <v>27</v>
      </c>
      <c r="P177" s="14" t="s">
        <v>27</v>
      </c>
      <c r="Q177" s="14"/>
      <c r="R177" s="14"/>
      <c r="S177" s="14" t="s">
        <v>1235</v>
      </c>
      <c r="T177" s="14" t="s">
        <v>1236</v>
      </c>
      <c r="U177" s="15">
        <v>6.2E-2</v>
      </c>
      <c r="V177" s="10">
        <v>1</v>
      </c>
    </row>
    <row r="178" spans="1:22" ht="18" customHeight="1" x14ac:dyDescent="0.35">
      <c r="A178" s="10" t="s">
        <v>86</v>
      </c>
      <c r="B178" s="10" t="s">
        <v>3236</v>
      </c>
      <c r="C178" s="11" t="s">
        <v>3003</v>
      </c>
      <c r="D178" s="11" t="s">
        <v>24</v>
      </c>
      <c r="E178" s="12">
        <v>45983.42396990741</v>
      </c>
      <c r="F178" s="10" t="str">
        <f>TEXT(events[[#This Row],[Start Date]],"DDD")</f>
        <v>Sat</v>
      </c>
      <c r="G178" s="10">
        <f>YEAR(events[[#This Row],[Start Date]])</f>
        <v>2025</v>
      </c>
      <c r="H178" s="10" t="str">
        <f>TEXT(events[[#This Row],[Start Date]],"mmm")</f>
        <v>Nov</v>
      </c>
      <c r="I178" s="10" t="str">
        <f>CONCATENATE("WK_",WEEKNUM(events[[#This Row],[Start Date]]))</f>
        <v>WK_47</v>
      </c>
      <c r="J178" s="12">
        <v>45983.424143518518</v>
      </c>
      <c r="K178" s="10">
        <v>40</v>
      </c>
      <c r="L178" s="10" t="s">
        <v>25</v>
      </c>
      <c r="M178" s="10" t="s">
        <v>394</v>
      </c>
      <c r="N178" s="13">
        <f t="shared" si="2"/>
        <v>0.25</v>
      </c>
      <c r="O178" s="14" t="s">
        <v>49</v>
      </c>
      <c r="P178" s="14" t="s">
        <v>49</v>
      </c>
      <c r="Q178" s="14"/>
      <c r="R178" s="14"/>
      <c r="S178" s="14" t="s">
        <v>1233</v>
      </c>
      <c r="T178" s="14" t="s">
        <v>1234</v>
      </c>
      <c r="U178" s="15">
        <v>9.4E-2</v>
      </c>
      <c r="V178" s="10">
        <v>1</v>
      </c>
    </row>
    <row r="179" spans="1:22" ht="18" customHeight="1" x14ac:dyDescent="0.35">
      <c r="A179" s="10" t="s">
        <v>86</v>
      </c>
      <c r="B179" s="10" t="s">
        <v>3197</v>
      </c>
      <c r="C179" s="11" t="s">
        <v>2964</v>
      </c>
      <c r="D179" s="11" t="s">
        <v>24</v>
      </c>
      <c r="E179" s="12">
        <v>45982.707453703704</v>
      </c>
      <c r="F179" s="10" t="str">
        <f>TEXT(events[[#This Row],[Start Date]],"DDD")</f>
        <v>Fri</v>
      </c>
      <c r="G179" s="10">
        <f>YEAR(events[[#This Row],[Start Date]])</f>
        <v>2025</v>
      </c>
      <c r="H179" s="10" t="str">
        <f>TEXT(events[[#This Row],[Start Date]],"mmm")</f>
        <v>Nov</v>
      </c>
      <c r="I179" s="10" t="str">
        <f>CONCATENATE("WK_",WEEKNUM(events[[#This Row],[Start Date]]))</f>
        <v>WK_47</v>
      </c>
      <c r="J179" s="12">
        <v>45982.70758101852</v>
      </c>
      <c r="K179" s="10">
        <v>36</v>
      </c>
      <c r="L179" s="10" t="s">
        <v>25</v>
      </c>
      <c r="M179" s="10" t="s">
        <v>212</v>
      </c>
      <c r="N179" s="13">
        <f t="shared" si="2"/>
        <v>0.18333333333333332</v>
      </c>
      <c r="O179" s="14" t="s">
        <v>38</v>
      </c>
      <c r="P179" s="14" t="s">
        <v>38</v>
      </c>
      <c r="Q179" s="14"/>
      <c r="R179" s="14"/>
      <c r="S179" s="14" t="s">
        <v>1231</v>
      </c>
      <c r="T179" s="14" t="s">
        <v>1232</v>
      </c>
      <c r="U179" s="15">
        <v>0.125</v>
      </c>
      <c r="V179" s="10">
        <v>1</v>
      </c>
    </row>
    <row r="180" spans="1:22" ht="18" customHeight="1" x14ac:dyDescent="0.35">
      <c r="A180" s="10" t="s">
        <v>47</v>
      </c>
      <c r="B180" s="10" t="s">
        <v>3237</v>
      </c>
      <c r="C180" s="11" t="s">
        <v>3004</v>
      </c>
      <c r="D180" s="11" t="s">
        <v>24</v>
      </c>
      <c r="E180" s="12">
        <v>45981.740972222222</v>
      </c>
      <c r="F180" s="10" t="str">
        <f>TEXT(events[[#This Row],[Start Date]],"DDD")</f>
        <v>Thu</v>
      </c>
      <c r="G180" s="10">
        <f>YEAR(events[[#This Row],[Start Date]])</f>
        <v>2025</v>
      </c>
      <c r="H180" s="10" t="str">
        <f>TEXT(events[[#This Row],[Start Date]],"mmm")</f>
        <v>Nov</v>
      </c>
      <c r="I180" s="10" t="str">
        <f>CONCATENATE("WK_",WEEKNUM(events[[#This Row],[Start Date]]))</f>
        <v>WK_47</v>
      </c>
      <c r="J180" s="12">
        <v>45981.740995370368</v>
      </c>
      <c r="K180" s="10">
        <v>34</v>
      </c>
      <c r="L180" s="10" t="s">
        <v>25</v>
      </c>
      <c r="M180" s="10" t="s">
        <v>31</v>
      </c>
      <c r="N180" s="13">
        <f t="shared" si="2"/>
        <v>3.3333333333333333E-2</v>
      </c>
      <c r="O180" s="14" t="s">
        <v>92</v>
      </c>
      <c r="P180" s="14" t="s">
        <v>92</v>
      </c>
      <c r="Q180" s="14"/>
      <c r="R180" s="14"/>
      <c r="S180" s="14" t="s">
        <v>1219</v>
      </c>
      <c r="T180" s="14" t="s">
        <v>1220</v>
      </c>
      <c r="U180" s="15">
        <v>9.4E-2</v>
      </c>
      <c r="V180" s="10">
        <v>1</v>
      </c>
    </row>
    <row r="181" spans="1:22" ht="18" customHeight="1" x14ac:dyDescent="0.35">
      <c r="A181" s="10" t="s">
        <v>86</v>
      </c>
      <c r="B181" s="10" t="s">
        <v>3205</v>
      </c>
      <c r="C181" s="11" t="s">
        <v>2973</v>
      </c>
      <c r="D181" s="11" t="s">
        <v>24</v>
      </c>
      <c r="E181" s="12">
        <v>45980.737395833334</v>
      </c>
      <c r="F181" s="10" t="str">
        <f>TEXT(events[[#This Row],[Start Date]],"DDD")</f>
        <v>Wed</v>
      </c>
      <c r="G181" s="10">
        <f>YEAR(events[[#This Row],[Start Date]])</f>
        <v>2025</v>
      </c>
      <c r="H181" s="10" t="str">
        <f>TEXT(events[[#This Row],[Start Date]],"mmm")</f>
        <v>Nov</v>
      </c>
      <c r="I181" s="10" t="str">
        <f>CONCATENATE("WK_",WEEKNUM(events[[#This Row],[Start Date]]))</f>
        <v>WK_47</v>
      </c>
      <c r="J181" s="12">
        <v>45980.737523148149</v>
      </c>
      <c r="K181" s="10">
        <v>36</v>
      </c>
      <c r="L181" s="10" t="s">
        <v>25</v>
      </c>
      <c r="M181" s="10" t="s">
        <v>212</v>
      </c>
      <c r="N181" s="13">
        <f t="shared" si="2"/>
        <v>0.18333333333333332</v>
      </c>
      <c r="O181" s="14" t="s">
        <v>231</v>
      </c>
      <c r="P181" s="14" t="s">
        <v>231</v>
      </c>
      <c r="Q181" s="14"/>
      <c r="R181" s="14"/>
      <c r="S181" s="14" t="s">
        <v>1264</v>
      </c>
      <c r="T181" s="14" t="s">
        <v>1265</v>
      </c>
      <c r="U181" s="15">
        <v>0.125</v>
      </c>
      <c r="V181" s="10">
        <v>1</v>
      </c>
    </row>
    <row r="182" spans="1:22" ht="18" customHeight="1" x14ac:dyDescent="0.35">
      <c r="A182" s="10" t="s">
        <v>86</v>
      </c>
      <c r="B182" s="10" t="s">
        <v>3205</v>
      </c>
      <c r="C182" s="11" t="s">
        <v>2973</v>
      </c>
      <c r="D182" s="11" t="s">
        <v>24</v>
      </c>
      <c r="E182" s="12">
        <v>45980.71366898148</v>
      </c>
      <c r="F182" s="10" t="str">
        <f>TEXT(events[[#This Row],[Start Date]],"DDD")</f>
        <v>Wed</v>
      </c>
      <c r="G182" s="10">
        <f>YEAR(events[[#This Row],[Start Date]])</f>
        <v>2025</v>
      </c>
      <c r="H182" s="10" t="str">
        <f>TEXT(events[[#This Row],[Start Date]],"mmm")</f>
        <v>Nov</v>
      </c>
      <c r="I182" s="10" t="str">
        <f>CONCATENATE("WK_",WEEKNUM(events[[#This Row],[Start Date]]))</f>
        <v>WK_47</v>
      </c>
      <c r="J182" s="12">
        <v>45980.713703703703</v>
      </c>
      <c r="K182" s="10">
        <v>38</v>
      </c>
      <c r="L182" s="10" t="s">
        <v>25</v>
      </c>
      <c r="M182" s="10" t="s">
        <v>75</v>
      </c>
      <c r="N182" s="13">
        <f t="shared" si="2"/>
        <v>0.05</v>
      </c>
      <c r="O182" s="14" t="s">
        <v>231</v>
      </c>
      <c r="P182" s="14" t="s">
        <v>231</v>
      </c>
      <c r="Q182" s="14"/>
      <c r="R182" s="14"/>
      <c r="S182" s="14" t="s">
        <v>1262</v>
      </c>
      <c r="T182" s="14" t="s">
        <v>1263</v>
      </c>
      <c r="U182" s="15">
        <v>0.125</v>
      </c>
      <c r="V182" s="10">
        <v>1</v>
      </c>
    </row>
    <row r="183" spans="1:22" ht="18" customHeight="1" x14ac:dyDescent="0.35">
      <c r="A183" s="10" t="s">
        <v>86</v>
      </c>
      <c r="B183" s="10" t="s">
        <v>3205</v>
      </c>
      <c r="C183" s="11" t="s">
        <v>2973</v>
      </c>
      <c r="D183" s="11" t="s">
        <v>24</v>
      </c>
      <c r="E183" s="12">
        <v>45980.71297453704</v>
      </c>
      <c r="F183" s="10" t="str">
        <f>TEXT(events[[#This Row],[Start Date]],"DDD")</f>
        <v>Wed</v>
      </c>
      <c r="G183" s="10">
        <f>YEAR(events[[#This Row],[Start Date]])</f>
        <v>2025</v>
      </c>
      <c r="H183" s="10" t="str">
        <f>TEXT(events[[#This Row],[Start Date]],"mmm")</f>
        <v>Nov</v>
      </c>
      <c r="I183" s="10" t="str">
        <f>CONCATENATE("WK_",WEEKNUM(events[[#This Row],[Start Date]]))</f>
        <v>WK_47</v>
      </c>
      <c r="J183" s="12">
        <v>45980.71298611111</v>
      </c>
      <c r="K183" s="10">
        <v>38</v>
      </c>
      <c r="L183" s="10" t="s">
        <v>25</v>
      </c>
      <c r="M183" s="10" t="s">
        <v>26</v>
      </c>
      <c r="N183" s="13">
        <f t="shared" si="2"/>
        <v>1.6666666666666666E-2</v>
      </c>
      <c r="O183" s="14" t="s">
        <v>231</v>
      </c>
      <c r="P183" s="14" t="s">
        <v>231</v>
      </c>
      <c r="Q183" s="14"/>
      <c r="R183" s="14"/>
      <c r="S183" s="14" t="s">
        <v>1260</v>
      </c>
      <c r="T183" s="14" t="s">
        <v>1261</v>
      </c>
      <c r="U183" s="15">
        <v>9.4E-2</v>
      </c>
      <c r="V183" s="10">
        <v>1</v>
      </c>
    </row>
    <row r="184" spans="1:22" ht="18" customHeight="1" x14ac:dyDescent="0.35">
      <c r="A184" s="10" t="s">
        <v>86</v>
      </c>
      <c r="B184" s="10" t="s">
        <v>3205</v>
      </c>
      <c r="C184" s="11" t="s">
        <v>2973</v>
      </c>
      <c r="D184" s="11" t="s">
        <v>24</v>
      </c>
      <c r="E184" s="12">
        <v>45980.712731481479</v>
      </c>
      <c r="F184" s="10" t="str">
        <f>TEXT(events[[#This Row],[Start Date]],"DDD")</f>
        <v>Wed</v>
      </c>
      <c r="G184" s="10">
        <f>YEAR(events[[#This Row],[Start Date]])</f>
        <v>2025</v>
      </c>
      <c r="H184" s="10" t="str">
        <f>TEXT(events[[#This Row],[Start Date]],"mmm")</f>
        <v>Nov</v>
      </c>
      <c r="I184" s="10" t="str">
        <f>CONCATENATE("WK_",WEEKNUM(events[[#This Row],[Start Date]]))</f>
        <v>WK_47</v>
      </c>
      <c r="J184" s="12">
        <v>45980.712835648148</v>
      </c>
      <c r="K184" s="10">
        <v>38</v>
      </c>
      <c r="L184" s="10" t="s">
        <v>25</v>
      </c>
      <c r="M184" s="10" t="s">
        <v>414</v>
      </c>
      <c r="N184" s="13">
        <f t="shared" si="2"/>
        <v>0.15</v>
      </c>
      <c r="O184" s="14" t="s">
        <v>231</v>
      </c>
      <c r="P184" s="14" t="s">
        <v>231</v>
      </c>
      <c r="Q184" s="14"/>
      <c r="R184" s="14"/>
      <c r="S184" s="14" t="s">
        <v>1258</v>
      </c>
      <c r="T184" s="14" t="s">
        <v>1259</v>
      </c>
      <c r="U184" s="15">
        <v>9.4E-2</v>
      </c>
      <c r="V184" s="10">
        <v>1</v>
      </c>
    </row>
    <row r="185" spans="1:22" ht="18" customHeight="1" x14ac:dyDescent="0.35">
      <c r="A185" s="10" t="s">
        <v>47</v>
      </c>
      <c r="B185" s="10" t="s">
        <v>3237</v>
      </c>
      <c r="C185" s="11" t="s">
        <v>3004</v>
      </c>
      <c r="D185" s="11" t="s">
        <v>24</v>
      </c>
      <c r="E185" s="12">
        <v>45980.477442129632</v>
      </c>
      <c r="F185" s="10" t="str">
        <f>TEXT(events[[#This Row],[Start Date]],"DDD")</f>
        <v>Wed</v>
      </c>
      <c r="G185" s="10">
        <f>YEAR(events[[#This Row],[Start Date]])</f>
        <v>2025</v>
      </c>
      <c r="H185" s="10" t="str">
        <f>TEXT(events[[#This Row],[Start Date]],"mmm")</f>
        <v>Nov</v>
      </c>
      <c r="I185" s="10" t="str">
        <f>CONCATENATE("WK_",WEEKNUM(events[[#This Row],[Start Date]]))</f>
        <v>WK_47</v>
      </c>
      <c r="J185" s="12">
        <v>45980.477453703701</v>
      </c>
      <c r="K185" s="10">
        <v>34</v>
      </c>
      <c r="L185" s="10" t="s">
        <v>25</v>
      </c>
      <c r="M185" s="10" t="s">
        <v>26</v>
      </c>
      <c r="N185" s="13">
        <f t="shared" si="2"/>
        <v>1.6666666666666666E-2</v>
      </c>
      <c r="O185" s="14" t="s">
        <v>157</v>
      </c>
      <c r="P185" s="14" t="s">
        <v>157</v>
      </c>
      <c r="Q185" s="14"/>
      <c r="R185" s="14"/>
      <c r="S185" s="14" t="s">
        <v>1255</v>
      </c>
      <c r="T185" s="14" t="s">
        <v>1256</v>
      </c>
      <c r="U185" s="15">
        <v>0</v>
      </c>
      <c r="V185" s="10">
        <v>1</v>
      </c>
    </row>
    <row r="186" spans="1:22" ht="18" customHeight="1" x14ac:dyDescent="0.35">
      <c r="A186" s="10" t="s">
        <v>123</v>
      </c>
      <c r="B186" s="10" t="s">
        <v>3160</v>
      </c>
      <c r="C186" s="11" t="s">
        <v>2926</v>
      </c>
      <c r="D186" s="11" t="s">
        <v>74</v>
      </c>
      <c r="E186" s="12">
        <v>45979.688969907409</v>
      </c>
      <c r="F186" s="10" t="str">
        <f>TEXT(events[[#This Row],[Start Date]],"DDD")</f>
        <v>Tue</v>
      </c>
      <c r="G186" s="10">
        <f>YEAR(events[[#This Row],[Start Date]])</f>
        <v>2025</v>
      </c>
      <c r="H186" s="10" t="str">
        <f>TEXT(events[[#This Row],[Start Date]],"mmm")</f>
        <v>Nov</v>
      </c>
      <c r="I186" s="10" t="str">
        <f>CONCATENATE("WK_",WEEKNUM(events[[#This Row],[Start Date]]))</f>
        <v>WK_47</v>
      </c>
      <c r="J186" s="12">
        <v>45979.689780092594</v>
      </c>
      <c r="K186" s="10">
        <v>84.4</v>
      </c>
      <c r="L186" s="10" t="s">
        <v>25</v>
      </c>
      <c r="M186" s="10" t="s">
        <v>828</v>
      </c>
      <c r="N186" s="13">
        <f t="shared" si="2"/>
        <v>1.1666666666666667</v>
      </c>
      <c r="O186" s="14"/>
      <c r="P186" s="14"/>
      <c r="Q186" s="14" t="s">
        <v>174</v>
      </c>
      <c r="R186" s="14" t="s">
        <v>174</v>
      </c>
      <c r="S186" s="14" t="s">
        <v>1266</v>
      </c>
      <c r="T186" s="14" t="s">
        <v>1267</v>
      </c>
      <c r="U186" s="15">
        <v>1.8</v>
      </c>
      <c r="V186" s="10">
        <v>1</v>
      </c>
    </row>
    <row r="187" spans="1:22" ht="18" customHeight="1" x14ac:dyDescent="0.35">
      <c r="A187" s="10" t="s">
        <v>123</v>
      </c>
      <c r="B187" s="10" t="s">
        <v>3238</v>
      </c>
      <c r="C187" s="11" t="s">
        <v>3005</v>
      </c>
      <c r="D187" s="11" t="s">
        <v>74</v>
      </c>
      <c r="E187" s="12">
        <v>45979.073078703703</v>
      </c>
      <c r="F187" s="10" t="str">
        <f>TEXT(events[[#This Row],[Start Date]],"DDD")</f>
        <v>Tue</v>
      </c>
      <c r="G187" s="10">
        <f>YEAR(events[[#This Row],[Start Date]])</f>
        <v>2025</v>
      </c>
      <c r="H187" s="10" t="str">
        <f>TEXT(events[[#This Row],[Start Date]],"mmm")</f>
        <v>Nov</v>
      </c>
      <c r="I187" s="10" t="str">
        <f>CONCATENATE("WK_",WEEKNUM(events[[#This Row],[Start Date]]))</f>
        <v>WK_47</v>
      </c>
      <c r="J187" s="12">
        <v>45979.074224537035</v>
      </c>
      <c r="K187" s="10">
        <v>91.9</v>
      </c>
      <c r="L187" s="10" t="s">
        <v>25</v>
      </c>
      <c r="M187" s="10" t="s">
        <v>1268</v>
      </c>
      <c r="N187" s="13">
        <f t="shared" si="2"/>
        <v>1.65</v>
      </c>
      <c r="O187" s="14"/>
      <c r="P187" s="14"/>
      <c r="Q187" s="14" t="s">
        <v>1269</v>
      </c>
      <c r="R187" s="14" t="s">
        <v>1270</v>
      </c>
      <c r="S187" s="14" t="s">
        <v>1271</v>
      </c>
      <c r="T187" s="14" t="s">
        <v>1272</v>
      </c>
      <c r="U187" s="15">
        <v>2.7</v>
      </c>
      <c r="V187" s="10">
        <v>1</v>
      </c>
    </row>
    <row r="188" spans="1:22" ht="18" customHeight="1" x14ac:dyDescent="0.35">
      <c r="A188" s="10" t="s">
        <v>47</v>
      </c>
      <c r="B188" s="10" t="s">
        <v>3157</v>
      </c>
      <c r="C188" s="11" t="s">
        <v>2923</v>
      </c>
      <c r="D188" s="11" t="s">
        <v>35</v>
      </c>
      <c r="E188" s="12">
        <v>45978.981435185182</v>
      </c>
      <c r="F188" s="10" t="str">
        <f>TEXT(events[[#This Row],[Start Date]],"DDD")</f>
        <v>Mon</v>
      </c>
      <c r="G188" s="10">
        <f>YEAR(events[[#This Row],[Start Date]])</f>
        <v>2025</v>
      </c>
      <c r="H188" s="10" t="str">
        <f>TEXT(events[[#This Row],[Start Date]],"mmm")</f>
        <v>Nov</v>
      </c>
      <c r="I188" s="10" t="str">
        <f>CONCATENATE("WK_",WEEKNUM(events[[#This Row],[Start Date]]))</f>
        <v>WK_47</v>
      </c>
      <c r="J188" s="12">
        <v>45978.981446759259</v>
      </c>
      <c r="K188" s="10">
        <v>77.400000000000006</v>
      </c>
      <c r="L188" s="10" t="s">
        <v>36</v>
      </c>
      <c r="M188" s="10" t="s">
        <v>26</v>
      </c>
      <c r="N188" s="13">
        <f t="shared" si="2"/>
        <v>1.6666666666666666E-2</v>
      </c>
      <c r="O188" s="14" t="s">
        <v>92</v>
      </c>
      <c r="P188" s="14" t="s">
        <v>92</v>
      </c>
      <c r="Q188" s="14"/>
      <c r="R188" s="14"/>
      <c r="S188" s="14" t="s">
        <v>1253</v>
      </c>
      <c r="T188" s="14" t="s">
        <v>1254</v>
      </c>
      <c r="U188" s="15">
        <v>0</v>
      </c>
      <c r="V188" s="10">
        <v>1</v>
      </c>
    </row>
    <row r="189" spans="1:22" ht="18" customHeight="1" x14ac:dyDescent="0.35">
      <c r="A189" s="10" t="s">
        <v>123</v>
      </c>
      <c r="B189" s="10" t="s">
        <v>3239</v>
      </c>
      <c r="C189" s="11" t="s">
        <v>3006</v>
      </c>
      <c r="D189" s="11" t="s">
        <v>74</v>
      </c>
      <c r="E189" s="12">
        <v>45978.766018518516</v>
      </c>
      <c r="F189" s="10" t="str">
        <f>TEXT(events[[#This Row],[Start Date]],"DDD")</f>
        <v>Mon</v>
      </c>
      <c r="G189" s="10">
        <f>YEAR(events[[#This Row],[Start Date]])</f>
        <v>2025</v>
      </c>
      <c r="H189" s="10" t="str">
        <f>TEXT(events[[#This Row],[Start Date]],"mmm")</f>
        <v>Nov</v>
      </c>
      <c r="I189" s="10" t="str">
        <f>CONCATENATE("WK_",WEEKNUM(events[[#This Row],[Start Date]]))</f>
        <v>WK_47</v>
      </c>
      <c r="J189" s="12">
        <v>45978.766192129631</v>
      </c>
      <c r="K189" s="10">
        <v>85.9</v>
      </c>
      <c r="L189" s="10" t="s">
        <v>25</v>
      </c>
      <c r="M189" s="10" t="s">
        <v>394</v>
      </c>
      <c r="N189" s="13">
        <f t="shared" si="2"/>
        <v>0.25</v>
      </c>
      <c r="O189" s="14"/>
      <c r="P189" s="14"/>
      <c r="Q189" s="14" t="s">
        <v>1281</v>
      </c>
      <c r="R189" s="14" t="s">
        <v>1281</v>
      </c>
      <c r="S189" s="14" t="s">
        <v>1282</v>
      </c>
      <c r="T189" s="14" t="s">
        <v>1283</v>
      </c>
      <c r="U189" s="15">
        <v>0.5</v>
      </c>
      <c r="V189" s="10">
        <v>1</v>
      </c>
    </row>
    <row r="190" spans="1:22" ht="18" customHeight="1" x14ac:dyDescent="0.35">
      <c r="A190" s="10" t="s">
        <v>123</v>
      </c>
      <c r="B190" s="10" t="s">
        <v>3221</v>
      </c>
      <c r="C190" s="11" t="s">
        <v>2990</v>
      </c>
      <c r="D190" s="11" t="s">
        <v>74</v>
      </c>
      <c r="E190" s="12">
        <v>45978.757361111115</v>
      </c>
      <c r="F190" s="10" t="str">
        <f>TEXT(events[[#This Row],[Start Date]],"DDD")</f>
        <v>Mon</v>
      </c>
      <c r="G190" s="10">
        <f>YEAR(events[[#This Row],[Start Date]])</f>
        <v>2025</v>
      </c>
      <c r="H190" s="10" t="str">
        <f>TEXT(events[[#This Row],[Start Date]],"mmm")</f>
        <v>Nov</v>
      </c>
      <c r="I190" s="10" t="str">
        <f>CONCATENATE("WK_",WEEKNUM(events[[#This Row],[Start Date]]))</f>
        <v>WK_47</v>
      </c>
      <c r="J190" s="12">
        <v>45978.757939814815</v>
      </c>
      <c r="K190" s="10">
        <v>82.3</v>
      </c>
      <c r="L190" s="10" t="s">
        <v>25</v>
      </c>
      <c r="M190" s="10" t="s">
        <v>489</v>
      </c>
      <c r="N190" s="13">
        <f t="shared" si="2"/>
        <v>0.81666666666666665</v>
      </c>
      <c r="O190" s="14"/>
      <c r="P190" s="14"/>
      <c r="Q190" s="14" t="s">
        <v>797</v>
      </c>
      <c r="R190" s="14" t="s">
        <v>797</v>
      </c>
      <c r="S190" s="14" t="s">
        <v>1284</v>
      </c>
      <c r="T190" s="14" t="s">
        <v>1285</v>
      </c>
      <c r="U190" s="15">
        <v>1.3</v>
      </c>
      <c r="V190" s="10">
        <v>1</v>
      </c>
    </row>
    <row r="191" spans="1:22" ht="18" customHeight="1" x14ac:dyDescent="0.35">
      <c r="A191" s="10" t="s">
        <v>123</v>
      </c>
      <c r="B191" s="10" t="s">
        <v>3240</v>
      </c>
      <c r="C191" s="11" t="s">
        <v>3007</v>
      </c>
      <c r="D191" s="11" t="s">
        <v>74</v>
      </c>
      <c r="E191" s="12">
        <v>45978.676770833335</v>
      </c>
      <c r="F191" s="10" t="str">
        <f>TEXT(events[[#This Row],[Start Date]],"DDD")</f>
        <v>Mon</v>
      </c>
      <c r="G191" s="10">
        <f>YEAR(events[[#This Row],[Start Date]])</f>
        <v>2025</v>
      </c>
      <c r="H191" s="10" t="str">
        <f>TEXT(events[[#This Row],[Start Date]],"mmm")</f>
        <v>Nov</v>
      </c>
      <c r="I191" s="10" t="str">
        <f>CONCATENATE("WK_",WEEKNUM(events[[#This Row],[Start Date]]))</f>
        <v>WK_47</v>
      </c>
      <c r="J191" s="12">
        <v>45978.678148148145</v>
      </c>
      <c r="K191" s="10">
        <v>82.8</v>
      </c>
      <c r="L191" s="10" t="s">
        <v>25</v>
      </c>
      <c r="M191" s="10" t="s">
        <v>794</v>
      </c>
      <c r="N191" s="13">
        <f t="shared" si="2"/>
        <v>1.9833333333333334</v>
      </c>
      <c r="O191" s="14"/>
      <c r="P191" s="14"/>
      <c r="Q191" s="14" t="s">
        <v>1286</v>
      </c>
      <c r="R191" s="14" t="s">
        <v>1287</v>
      </c>
      <c r="S191" s="14" t="s">
        <v>1288</v>
      </c>
      <c r="T191" s="14" t="s">
        <v>1289</v>
      </c>
      <c r="U191" s="15">
        <v>2.9</v>
      </c>
      <c r="V191" s="10">
        <v>1</v>
      </c>
    </row>
    <row r="192" spans="1:22" ht="18" customHeight="1" x14ac:dyDescent="0.35">
      <c r="A192" s="10" t="s">
        <v>86</v>
      </c>
      <c r="B192" s="10" t="s">
        <v>3183</v>
      </c>
      <c r="C192" s="11" t="s">
        <v>3008</v>
      </c>
      <c r="D192" s="11" t="s">
        <v>24</v>
      </c>
      <c r="E192" s="12">
        <v>45977.814340277779</v>
      </c>
      <c r="F192" s="10" t="str">
        <f>TEXT(events[[#This Row],[Start Date]],"DDD")</f>
        <v>Sun</v>
      </c>
      <c r="G192" s="10">
        <f>YEAR(events[[#This Row],[Start Date]])</f>
        <v>2025</v>
      </c>
      <c r="H192" s="10" t="str">
        <f>TEXT(events[[#This Row],[Start Date]],"mmm")</f>
        <v>Nov</v>
      </c>
      <c r="I192" s="10" t="str">
        <f>CONCATENATE("WK_",WEEKNUM(events[[#This Row],[Start Date]]))</f>
        <v>WK_47</v>
      </c>
      <c r="J192" s="12">
        <v>45977.814340277779</v>
      </c>
      <c r="K192" s="10">
        <v>43</v>
      </c>
      <c r="L192" s="10" t="s">
        <v>25</v>
      </c>
      <c r="M192" s="10" t="s">
        <v>87</v>
      </c>
      <c r="N192" s="13">
        <f t="shared" si="2"/>
        <v>0</v>
      </c>
      <c r="O192" s="14" t="s">
        <v>138</v>
      </c>
      <c r="P192" s="14" t="s">
        <v>138</v>
      </c>
      <c r="Q192" s="14"/>
      <c r="R192" s="14"/>
      <c r="S192" s="14" t="s">
        <v>1257</v>
      </c>
      <c r="T192" s="14" t="s">
        <v>1257</v>
      </c>
      <c r="U192" s="15">
        <v>0.125</v>
      </c>
      <c r="V192" s="10">
        <v>1</v>
      </c>
    </row>
    <row r="193" spans="1:22" ht="18" customHeight="1" x14ac:dyDescent="0.35">
      <c r="A193" s="10" t="s">
        <v>23</v>
      </c>
      <c r="B193" s="10" t="s">
        <v>3226</v>
      </c>
      <c r="C193" s="11" t="s">
        <v>2994</v>
      </c>
      <c r="D193" s="11" t="s">
        <v>24</v>
      </c>
      <c r="E193" s="12">
        <v>45977.493506944447</v>
      </c>
      <c r="F193" s="10" t="str">
        <f>TEXT(events[[#This Row],[Start Date]],"DDD")</f>
        <v>Sun</v>
      </c>
      <c r="G193" s="10">
        <f>YEAR(events[[#This Row],[Start Date]])</f>
        <v>2025</v>
      </c>
      <c r="H193" s="10" t="str">
        <f>TEXT(events[[#This Row],[Start Date]],"mmm")</f>
        <v>Nov</v>
      </c>
      <c r="I193" s="10" t="str">
        <f>CONCATENATE("WK_",WEEKNUM(events[[#This Row],[Start Date]]))</f>
        <v>WK_47</v>
      </c>
      <c r="J193" s="12">
        <v>45977.493680555555</v>
      </c>
      <c r="K193" s="10">
        <v>46</v>
      </c>
      <c r="L193" s="10" t="s">
        <v>25</v>
      </c>
      <c r="M193" s="10" t="s">
        <v>394</v>
      </c>
      <c r="N193" s="13">
        <f t="shared" si="2"/>
        <v>0.25</v>
      </c>
      <c r="O193" s="14" t="s">
        <v>142</v>
      </c>
      <c r="P193" s="14" t="s">
        <v>142</v>
      </c>
      <c r="Q193" s="14"/>
      <c r="R193" s="14"/>
      <c r="S193" s="14" t="s">
        <v>1251</v>
      </c>
      <c r="T193" s="14" t="s">
        <v>1252</v>
      </c>
      <c r="U193" s="15">
        <v>0.188</v>
      </c>
      <c r="V193" s="10">
        <v>1</v>
      </c>
    </row>
    <row r="194" spans="1:22" ht="18" customHeight="1" x14ac:dyDescent="0.35">
      <c r="A194" s="10" t="s">
        <v>123</v>
      </c>
      <c r="B194" s="10" t="s">
        <v>3238</v>
      </c>
      <c r="C194" s="11" t="s">
        <v>3005</v>
      </c>
      <c r="D194" s="11" t="s">
        <v>74</v>
      </c>
      <c r="E194" s="12">
        <v>45977.258506944447</v>
      </c>
      <c r="F194" s="10" t="str">
        <f>TEXT(events[[#This Row],[Start Date]],"DDD")</f>
        <v>Sun</v>
      </c>
      <c r="G194" s="10">
        <f>YEAR(events[[#This Row],[Start Date]])</f>
        <v>2025</v>
      </c>
      <c r="H194" s="10" t="str">
        <f>TEXT(events[[#This Row],[Start Date]],"mmm")</f>
        <v>Nov</v>
      </c>
      <c r="I194" s="10" t="str">
        <f>CONCATENATE("WK_",WEEKNUM(events[[#This Row],[Start Date]]))</f>
        <v>WK_47</v>
      </c>
      <c r="J194" s="12">
        <v>45977.259189814817</v>
      </c>
      <c r="K194" s="10">
        <v>94.1</v>
      </c>
      <c r="L194" s="10" t="s">
        <v>25</v>
      </c>
      <c r="M194" s="10" t="s">
        <v>1273</v>
      </c>
      <c r="N194" s="13">
        <f t="shared" ref="N194:N257" si="3">HOUR(M194)*60+MINUTE(M194)+SECOND(M194)/60</f>
        <v>0.96666666666666667</v>
      </c>
      <c r="O194" s="14"/>
      <c r="P194" s="14"/>
      <c r="Q194" s="14" t="s">
        <v>1274</v>
      </c>
      <c r="R194" s="14" t="s">
        <v>1274</v>
      </c>
      <c r="S194" s="14" t="s">
        <v>1275</v>
      </c>
      <c r="T194" s="14" t="s">
        <v>1276</v>
      </c>
      <c r="U194" s="15">
        <v>1.7</v>
      </c>
      <c r="V194" s="10">
        <v>1</v>
      </c>
    </row>
    <row r="195" spans="1:22" ht="18" customHeight="1" x14ac:dyDescent="0.35">
      <c r="A195" s="10" t="s">
        <v>123</v>
      </c>
      <c r="B195" s="10" t="s">
        <v>3238</v>
      </c>
      <c r="C195" s="11" t="s">
        <v>3005</v>
      </c>
      <c r="D195" s="11" t="s">
        <v>74</v>
      </c>
      <c r="E195" s="12">
        <v>45976.919456018521</v>
      </c>
      <c r="F195" s="10" t="str">
        <f>TEXT(events[[#This Row],[Start Date]],"DDD")</f>
        <v>Sat</v>
      </c>
      <c r="G195" s="10">
        <f>YEAR(events[[#This Row],[Start Date]])</f>
        <v>2025</v>
      </c>
      <c r="H195" s="10" t="str">
        <f>TEXT(events[[#This Row],[Start Date]],"mmm")</f>
        <v>Nov</v>
      </c>
      <c r="I195" s="10" t="str">
        <f>CONCATENATE("WK_",WEEKNUM(events[[#This Row],[Start Date]]))</f>
        <v>WK_46</v>
      </c>
      <c r="J195" s="12">
        <v>45976.920127314814</v>
      </c>
      <c r="K195" s="10">
        <v>80.3</v>
      </c>
      <c r="L195" s="10" t="s">
        <v>25</v>
      </c>
      <c r="M195" s="10" t="s">
        <v>1290</v>
      </c>
      <c r="N195" s="13">
        <f t="shared" si="3"/>
        <v>0.95</v>
      </c>
      <c r="O195" s="14"/>
      <c r="P195" s="14"/>
      <c r="Q195" s="14" t="s">
        <v>1291</v>
      </c>
      <c r="R195" s="14" t="s">
        <v>1292</v>
      </c>
      <c r="S195" s="14" t="s">
        <v>1293</v>
      </c>
      <c r="T195" s="14" t="s">
        <v>1294</v>
      </c>
      <c r="U195" s="15">
        <v>1.4</v>
      </c>
      <c r="V195" s="10">
        <v>1</v>
      </c>
    </row>
    <row r="196" spans="1:22" ht="18" customHeight="1" x14ac:dyDescent="0.35">
      <c r="A196" s="10" t="s">
        <v>123</v>
      </c>
      <c r="B196" s="10" t="s">
        <v>3239</v>
      </c>
      <c r="C196" s="11" t="s">
        <v>3006</v>
      </c>
      <c r="D196" s="11" t="s">
        <v>74</v>
      </c>
      <c r="E196" s="12">
        <v>45976.770833333336</v>
      </c>
      <c r="F196" s="10" t="str">
        <f>TEXT(events[[#This Row],[Start Date]],"DDD")</f>
        <v>Sat</v>
      </c>
      <c r="G196" s="10">
        <f>YEAR(events[[#This Row],[Start Date]])</f>
        <v>2025</v>
      </c>
      <c r="H196" s="10" t="str">
        <f>TEXT(events[[#This Row],[Start Date]],"mmm")</f>
        <v>Nov</v>
      </c>
      <c r="I196" s="10" t="str">
        <f>CONCATENATE("WK_",WEEKNUM(events[[#This Row],[Start Date]]))</f>
        <v>WK_46</v>
      </c>
      <c r="J196" s="12">
        <v>45976.771932870368</v>
      </c>
      <c r="K196" s="10">
        <v>81.599999999999994</v>
      </c>
      <c r="L196" s="10" t="s">
        <v>25</v>
      </c>
      <c r="M196" s="10" t="s">
        <v>580</v>
      </c>
      <c r="N196" s="13">
        <f t="shared" si="3"/>
        <v>0.83333333333333337</v>
      </c>
      <c r="O196" s="14"/>
      <c r="P196" s="14"/>
      <c r="Q196" s="14" t="s">
        <v>1295</v>
      </c>
      <c r="R196" s="14" t="s">
        <v>1295</v>
      </c>
      <c r="S196" s="14" t="s">
        <v>1296</v>
      </c>
      <c r="T196" s="14" t="s">
        <v>1297</v>
      </c>
      <c r="U196" s="15">
        <v>1.2</v>
      </c>
      <c r="V196" s="10">
        <v>1</v>
      </c>
    </row>
    <row r="197" spans="1:22" ht="18" customHeight="1" x14ac:dyDescent="0.35">
      <c r="A197" s="10" t="s">
        <v>23</v>
      </c>
      <c r="B197" s="10" t="s">
        <v>3211</v>
      </c>
      <c r="C197" s="11" t="s">
        <v>2980</v>
      </c>
      <c r="D197" s="11" t="s">
        <v>24</v>
      </c>
      <c r="E197" s="12">
        <v>45975.803252314814</v>
      </c>
      <c r="F197" s="10" t="str">
        <f>TEXT(events[[#This Row],[Start Date]],"DDD")</f>
        <v>Fri</v>
      </c>
      <c r="G197" s="10">
        <f>YEAR(events[[#This Row],[Start Date]])</f>
        <v>2025</v>
      </c>
      <c r="H197" s="10" t="str">
        <f>TEXT(events[[#This Row],[Start Date]],"mmm")</f>
        <v>Nov</v>
      </c>
      <c r="I197" s="10" t="str">
        <f>CONCATENATE("WK_",WEEKNUM(events[[#This Row],[Start Date]]))</f>
        <v>WK_46</v>
      </c>
      <c r="J197" s="12">
        <v>45975.803310185183</v>
      </c>
      <c r="K197" s="10">
        <v>36</v>
      </c>
      <c r="L197" s="10" t="s">
        <v>25</v>
      </c>
      <c r="M197" s="10" t="s">
        <v>431</v>
      </c>
      <c r="N197" s="13">
        <f t="shared" si="3"/>
        <v>8.3333333333333329E-2</v>
      </c>
      <c r="O197" s="14" t="s">
        <v>50</v>
      </c>
      <c r="P197" s="14" t="s">
        <v>50</v>
      </c>
      <c r="Q197" s="14"/>
      <c r="R197" s="14"/>
      <c r="S197" s="14" t="s">
        <v>1249</v>
      </c>
      <c r="T197" s="14" t="s">
        <v>1250</v>
      </c>
      <c r="U197" s="15">
        <v>9.4E-2</v>
      </c>
      <c r="V197" s="10">
        <v>1</v>
      </c>
    </row>
    <row r="198" spans="1:22" ht="18" customHeight="1" x14ac:dyDescent="0.35">
      <c r="A198" s="10" t="s">
        <v>23</v>
      </c>
      <c r="B198" s="10" t="s">
        <v>3196</v>
      </c>
      <c r="C198" s="11" t="s">
        <v>2963</v>
      </c>
      <c r="D198" s="11" t="s">
        <v>24</v>
      </c>
      <c r="E198" s="12">
        <v>45975.394999999997</v>
      </c>
      <c r="F198" s="10" t="str">
        <f>TEXT(events[[#This Row],[Start Date]],"DDD")</f>
        <v>Fri</v>
      </c>
      <c r="G198" s="10">
        <f>YEAR(events[[#This Row],[Start Date]])</f>
        <v>2025</v>
      </c>
      <c r="H198" s="10" t="str">
        <f>TEXT(events[[#This Row],[Start Date]],"mmm")</f>
        <v>Nov</v>
      </c>
      <c r="I198" s="10" t="str">
        <f>CONCATENATE("WK_",WEEKNUM(events[[#This Row],[Start Date]]))</f>
        <v>WK_46</v>
      </c>
      <c r="J198" s="12">
        <v>45975.39503472222</v>
      </c>
      <c r="K198" s="10">
        <v>31</v>
      </c>
      <c r="L198" s="10" t="s">
        <v>25</v>
      </c>
      <c r="M198" s="10" t="s">
        <v>75</v>
      </c>
      <c r="N198" s="13">
        <f t="shared" si="3"/>
        <v>0.05</v>
      </c>
      <c r="O198" s="14" t="s">
        <v>38</v>
      </c>
      <c r="P198" s="14" t="s">
        <v>38</v>
      </c>
      <c r="Q198" s="14"/>
      <c r="R198" s="14"/>
      <c r="S198" s="14" t="s">
        <v>1247</v>
      </c>
      <c r="T198" s="14" t="s">
        <v>1248</v>
      </c>
      <c r="U198" s="15">
        <v>9.4E-2</v>
      </c>
      <c r="V198" s="10">
        <v>1</v>
      </c>
    </row>
    <row r="199" spans="1:22" ht="18" customHeight="1" x14ac:dyDescent="0.35">
      <c r="A199" s="10" t="s">
        <v>23</v>
      </c>
      <c r="B199" s="10" t="s">
        <v>3196</v>
      </c>
      <c r="C199" s="11" t="s">
        <v>2963</v>
      </c>
      <c r="D199" s="11" t="s">
        <v>24</v>
      </c>
      <c r="E199" s="12">
        <v>45975.230254629627</v>
      </c>
      <c r="F199" s="10" t="str">
        <f>TEXT(events[[#This Row],[Start Date]],"DDD")</f>
        <v>Fri</v>
      </c>
      <c r="G199" s="10">
        <f>YEAR(events[[#This Row],[Start Date]])</f>
        <v>2025</v>
      </c>
      <c r="H199" s="10" t="str">
        <f>TEXT(events[[#This Row],[Start Date]],"mmm")</f>
        <v>Nov</v>
      </c>
      <c r="I199" s="10" t="str">
        <f>CONCATENATE("WK_",WEEKNUM(events[[#This Row],[Start Date]]))</f>
        <v>WK_46</v>
      </c>
      <c r="J199" s="12">
        <v>45975.23027777778</v>
      </c>
      <c r="K199" s="10">
        <v>34</v>
      </c>
      <c r="L199" s="10" t="s">
        <v>25</v>
      </c>
      <c r="M199" s="10" t="s">
        <v>31</v>
      </c>
      <c r="N199" s="13">
        <f t="shared" si="3"/>
        <v>3.3333333333333333E-2</v>
      </c>
      <c r="O199" s="14" t="s">
        <v>38</v>
      </c>
      <c r="P199" s="14" t="s">
        <v>38</v>
      </c>
      <c r="Q199" s="14"/>
      <c r="R199" s="14"/>
      <c r="S199" s="14" t="s">
        <v>1245</v>
      </c>
      <c r="T199" s="14" t="s">
        <v>1246</v>
      </c>
      <c r="U199" s="15">
        <v>0</v>
      </c>
      <c r="V199" s="10">
        <v>1</v>
      </c>
    </row>
    <row r="200" spans="1:22" ht="18" customHeight="1" x14ac:dyDescent="0.35">
      <c r="A200" s="10" t="s">
        <v>123</v>
      </c>
      <c r="B200" s="10" t="s">
        <v>3241</v>
      </c>
      <c r="C200" s="11" t="s">
        <v>3009</v>
      </c>
      <c r="D200" s="11" t="s">
        <v>74</v>
      </c>
      <c r="E200" s="12">
        <v>45974.522094907406</v>
      </c>
      <c r="F200" s="10" t="str">
        <f>TEXT(events[[#This Row],[Start Date]],"DDD")</f>
        <v>Thu</v>
      </c>
      <c r="G200" s="10">
        <f>YEAR(events[[#This Row],[Start Date]])</f>
        <v>2025</v>
      </c>
      <c r="H200" s="10" t="str">
        <f>TEXT(events[[#This Row],[Start Date]],"mmm")</f>
        <v>Nov</v>
      </c>
      <c r="I200" s="10" t="str">
        <f>CONCATENATE("WK_",WEEKNUM(events[[#This Row],[Start Date]]))</f>
        <v>WK_46</v>
      </c>
      <c r="J200" s="12">
        <v>45974.522789351853</v>
      </c>
      <c r="K200" s="10">
        <v>84.5</v>
      </c>
      <c r="L200" s="10" t="s">
        <v>25</v>
      </c>
      <c r="M200" s="10" t="s">
        <v>177</v>
      </c>
      <c r="N200" s="13">
        <f t="shared" si="3"/>
        <v>1</v>
      </c>
      <c r="O200" s="14"/>
      <c r="P200" s="14"/>
      <c r="Q200" s="14" t="s">
        <v>801</v>
      </c>
      <c r="R200" s="14" t="s">
        <v>801</v>
      </c>
      <c r="S200" s="14" t="s">
        <v>1277</v>
      </c>
      <c r="T200" s="14" t="s">
        <v>1278</v>
      </c>
      <c r="U200" s="15">
        <v>1.5</v>
      </c>
      <c r="V200" s="10">
        <v>1</v>
      </c>
    </row>
    <row r="201" spans="1:22" ht="18" customHeight="1" x14ac:dyDescent="0.35">
      <c r="A201" s="10" t="s">
        <v>123</v>
      </c>
      <c r="B201" s="10" t="s">
        <v>3238</v>
      </c>
      <c r="C201" s="11" t="s">
        <v>3005</v>
      </c>
      <c r="D201" s="11" t="s">
        <v>74</v>
      </c>
      <c r="E201" s="12">
        <v>45974.311412037037</v>
      </c>
      <c r="F201" s="10" t="str">
        <f>TEXT(events[[#This Row],[Start Date]],"DDD")</f>
        <v>Thu</v>
      </c>
      <c r="G201" s="10">
        <f>YEAR(events[[#This Row],[Start Date]])</f>
        <v>2025</v>
      </c>
      <c r="H201" s="10" t="str">
        <f>TEXT(events[[#This Row],[Start Date]],"mmm")</f>
        <v>Nov</v>
      </c>
      <c r="I201" s="10" t="str">
        <f>CONCATENATE("WK_",WEEKNUM(events[[#This Row],[Start Date]]))</f>
        <v>WK_46</v>
      </c>
      <c r="J201" s="12">
        <v>45974.312106481484</v>
      </c>
      <c r="K201" s="10">
        <v>89.1</v>
      </c>
      <c r="L201" s="10" t="s">
        <v>25</v>
      </c>
      <c r="M201" s="10" t="s">
        <v>538</v>
      </c>
      <c r="N201" s="13">
        <f t="shared" si="3"/>
        <v>0.98333333333333328</v>
      </c>
      <c r="O201" s="14"/>
      <c r="P201" s="14"/>
      <c r="Q201" s="14" t="s">
        <v>657</v>
      </c>
      <c r="R201" s="14" t="s">
        <v>658</v>
      </c>
      <c r="S201" s="14" t="s">
        <v>1279</v>
      </c>
      <c r="T201" s="14" t="s">
        <v>1280</v>
      </c>
      <c r="U201" s="15">
        <v>1.6</v>
      </c>
      <c r="V201" s="10">
        <v>1</v>
      </c>
    </row>
    <row r="202" spans="1:22" ht="18" customHeight="1" x14ac:dyDescent="0.35">
      <c r="A202" s="10" t="s">
        <v>123</v>
      </c>
      <c r="B202" s="10" t="s">
        <v>3242</v>
      </c>
      <c r="C202" s="11" t="s">
        <v>3010</v>
      </c>
      <c r="D202" s="11" t="s">
        <v>74</v>
      </c>
      <c r="E202" s="12">
        <v>45972.856817129628</v>
      </c>
      <c r="F202" s="10" t="str">
        <f>TEXT(events[[#This Row],[Start Date]],"DDD")</f>
        <v>Tue</v>
      </c>
      <c r="G202" s="10">
        <f>YEAR(events[[#This Row],[Start Date]])</f>
        <v>2025</v>
      </c>
      <c r="H202" s="10" t="str">
        <f>TEXT(events[[#This Row],[Start Date]],"mmm")</f>
        <v>Nov</v>
      </c>
      <c r="I202" s="10" t="str">
        <f>CONCATENATE("WK_",WEEKNUM(events[[#This Row],[Start Date]]))</f>
        <v>WK_46</v>
      </c>
      <c r="J202" s="12">
        <v>45972.857129629629</v>
      </c>
      <c r="K202" s="16">
        <v>96</v>
      </c>
      <c r="L202" s="10" t="s">
        <v>25</v>
      </c>
      <c r="M202" s="10" t="s">
        <v>1353</v>
      </c>
      <c r="N202" s="13">
        <f t="shared" si="3"/>
        <v>0.45</v>
      </c>
      <c r="O202" s="14"/>
      <c r="P202" s="14"/>
      <c r="Q202" s="14" t="s">
        <v>455</v>
      </c>
      <c r="R202" s="14" t="s">
        <v>455</v>
      </c>
      <c r="S202" s="14" t="s">
        <v>1354</v>
      </c>
      <c r="T202" s="14" t="s">
        <v>1355</v>
      </c>
      <c r="U202" s="15">
        <v>0.7</v>
      </c>
      <c r="V202" s="10">
        <v>1</v>
      </c>
    </row>
    <row r="203" spans="1:22" ht="18" customHeight="1" x14ac:dyDescent="0.35">
      <c r="A203" s="10" t="s">
        <v>86</v>
      </c>
      <c r="B203" s="10" t="s">
        <v>3167</v>
      </c>
      <c r="C203" s="11" t="s">
        <v>2943</v>
      </c>
      <c r="D203" s="11" t="s">
        <v>24</v>
      </c>
      <c r="E203" s="12">
        <v>45971.443657407406</v>
      </c>
      <c r="F203" s="10" t="str">
        <f>TEXT(events[[#This Row],[Start Date]],"DDD")</f>
        <v>Mon</v>
      </c>
      <c r="G203" s="10">
        <f>YEAR(events[[#This Row],[Start Date]])</f>
        <v>2025</v>
      </c>
      <c r="H203" s="10" t="str">
        <f>TEXT(events[[#This Row],[Start Date]],"mmm")</f>
        <v>Nov</v>
      </c>
      <c r="I203" s="10" t="str">
        <f>CONCATENATE("WK_",WEEKNUM(events[[#This Row],[Start Date]]))</f>
        <v>WK_46</v>
      </c>
      <c r="J203" s="12">
        <v>45971.443761574075</v>
      </c>
      <c r="K203" s="10">
        <v>69</v>
      </c>
      <c r="L203" s="10" t="s">
        <v>25</v>
      </c>
      <c r="M203" s="10" t="s">
        <v>414</v>
      </c>
      <c r="N203" s="13">
        <f t="shared" si="3"/>
        <v>0.15</v>
      </c>
      <c r="O203" s="14" t="s">
        <v>65</v>
      </c>
      <c r="P203" s="14" t="s">
        <v>65</v>
      </c>
      <c r="Q203" s="14"/>
      <c r="R203" s="14"/>
      <c r="S203" s="14" t="s">
        <v>1349</v>
      </c>
      <c r="T203" s="14" t="s">
        <v>1350</v>
      </c>
      <c r="U203" s="15">
        <v>0.188</v>
      </c>
      <c r="V203" s="10">
        <v>1</v>
      </c>
    </row>
    <row r="204" spans="1:22" ht="18" customHeight="1" x14ac:dyDescent="0.35">
      <c r="A204" s="10" t="s">
        <v>123</v>
      </c>
      <c r="B204" s="10" t="s">
        <v>3243</v>
      </c>
      <c r="C204" s="11" t="s">
        <v>3011</v>
      </c>
      <c r="D204" s="11" t="s">
        <v>74</v>
      </c>
      <c r="E204" s="12">
        <v>45971.287291666667</v>
      </c>
      <c r="F204" s="10" t="str">
        <f>TEXT(events[[#This Row],[Start Date]],"DDD")</f>
        <v>Mon</v>
      </c>
      <c r="G204" s="10">
        <f>YEAR(events[[#This Row],[Start Date]])</f>
        <v>2025</v>
      </c>
      <c r="H204" s="10" t="str">
        <f>TEXT(events[[#This Row],[Start Date]],"mmm")</f>
        <v>Nov</v>
      </c>
      <c r="I204" s="10" t="str">
        <f>CONCATENATE("WK_",WEEKNUM(events[[#This Row],[Start Date]]))</f>
        <v>WK_46</v>
      </c>
      <c r="J204" s="12">
        <v>45971.287465277775</v>
      </c>
      <c r="K204" s="16">
        <v>82</v>
      </c>
      <c r="L204" s="10" t="s">
        <v>25</v>
      </c>
      <c r="M204" s="10" t="s">
        <v>418</v>
      </c>
      <c r="N204" s="13">
        <f t="shared" si="3"/>
        <v>0.23333333333333334</v>
      </c>
      <c r="O204" s="14"/>
      <c r="P204" s="14"/>
      <c r="Q204" s="14" t="s">
        <v>713</v>
      </c>
      <c r="R204" s="14" t="s">
        <v>713</v>
      </c>
      <c r="S204" s="14" t="s">
        <v>1358</v>
      </c>
      <c r="T204" s="14" t="s">
        <v>1359</v>
      </c>
      <c r="U204" s="15">
        <v>0.4</v>
      </c>
      <c r="V204" s="10">
        <v>1</v>
      </c>
    </row>
    <row r="205" spans="1:22" ht="18" customHeight="1" x14ac:dyDescent="0.35">
      <c r="A205" s="10" t="s">
        <v>86</v>
      </c>
      <c r="B205" s="10" t="s">
        <v>3223</v>
      </c>
      <c r="C205" s="11" t="s">
        <v>3012</v>
      </c>
      <c r="D205" s="11" t="s">
        <v>35</v>
      </c>
      <c r="E205" s="12">
        <v>45970.964814814812</v>
      </c>
      <c r="F205" s="10" t="str">
        <f>TEXT(events[[#This Row],[Start Date]],"DDD")</f>
        <v>Sun</v>
      </c>
      <c r="G205" s="10">
        <f>YEAR(events[[#This Row],[Start Date]])</f>
        <v>2025</v>
      </c>
      <c r="H205" s="10" t="str">
        <f>TEXT(events[[#This Row],[Start Date]],"mmm")</f>
        <v>Nov</v>
      </c>
      <c r="I205" s="10" t="str">
        <f>CONCATENATE("WK_",WEEKNUM(events[[#This Row],[Start Date]]))</f>
        <v>WK_46</v>
      </c>
      <c r="J205" s="12">
        <v>45970.983738425923</v>
      </c>
      <c r="K205" s="10">
        <v>18.3</v>
      </c>
      <c r="L205" s="10" t="s">
        <v>36</v>
      </c>
      <c r="M205" s="10" t="s">
        <v>1346</v>
      </c>
      <c r="N205" s="13">
        <f t="shared" si="3"/>
        <v>27.25</v>
      </c>
      <c r="O205" s="14" t="s">
        <v>38</v>
      </c>
      <c r="P205" s="14" t="s">
        <v>38</v>
      </c>
      <c r="Q205" s="14"/>
      <c r="R205" s="14"/>
      <c r="S205" s="14" t="s">
        <v>1347</v>
      </c>
      <c r="T205" s="14" t="s">
        <v>1348</v>
      </c>
      <c r="U205" s="15">
        <v>18.125</v>
      </c>
      <c r="V205" s="10">
        <v>1</v>
      </c>
    </row>
    <row r="206" spans="1:22" ht="18" customHeight="1" x14ac:dyDescent="0.35">
      <c r="A206" s="10" t="s">
        <v>23</v>
      </c>
      <c r="B206" s="10" t="s">
        <v>3196</v>
      </c>
      <c r="C206" s="11" t="s">
        <v>2963</v>
      </c>
      <c r="D206" s="11" t="s">
        <v>35</v>
      </c>
      <c r="E206" s="12">
        <v>45970.958333333336</v>
      </c>
      <c r="F206" s="10" t="str">
        <f>TEXT(events[[#This Row],[Start Date]],"DDD")</f>
        <v>Sun</v>
      </c>
      <c r="G206" s="10">
        <f>YEAR(events[[#This Row],[Start Date]])</f>
        <v>2025</v>
      </c>
      <c r="H206" s="10" t="str">
        <f>TEXT(events[[#This Row],[Start Date]],"mmm")</f>
        <v>Nov</v>
      </c>
      <c r="I206" s="10" t="str">
        <f>CONCATENATE("WK_",WEEKNUM(events[[#This Row],[Start Date]]))</f>
        <v>WK_46</v>
      </c>
      <c r="J206" s="12">
        <v>45970.959351851852</v>
      </c>
      <c r="K206" s="10">
        <v>1.4</v>
      </c>
      <c r="L206" s="10" t="s">
        <v>36</v>
      </c>
      <c r="M206" s="10" t="s">
        <v>1302</v>
      </c>
      <c r="N206" s="13">
        <f t="shared" si="3"/>
        <v>1.4666666666666668</v>
      </c>
      <c r="O206" s="14" t="s">
        <v>38</v>
      </c>
      <c r="P206" s="14" t="s">
        <v>38</v>
      </c>
      <c r="Q206" s="14"/>
      <c r="R206" s="14"/>
      <c r="S206" s="14" t="s">
        <v>1303</v>
      </c>
      <c r="T206" s="14" t="s">
        <v>1304</v>
      </c>
      <c r="U206" s="15">
        <v>0.312</v>
      </c>
      <c r="V206" s="10">
        <v>1</v>
      </c>
    </row>
    <row r="207" spans="1:22" ht="18" customHeight="1" x14ac:dyDescent="0.35">
      <c r="A207" s="10" t="s">
        <v>86</v>
      </c>
      <c r="B207" s="10" t="s">
        <v>3181</v>
      </c>
      <c r="C207" s="11" t="s">
        <v>2943</v>
      </c>
      <c r="D207" s="11" t="s">
        <v>24</v>
      </c>
      <c r="E207" s="12">
        <v>45970.706423611111</v>
      </c>
      <c r="F207" s="10" t="str">
        <f>TEXT(events[[#This Row],[Start Date]],"DDD")</f>
        <v>Sun</v>
      </c>
      <c r="G207" s="10">
        <f>YEAR(events[[#This Row],[Start Date]])</f>
        <v>2025</v>
      </c>
      <c r="H207" s="10" t="str">
        <f>TEXT(events[[#This Row],[Start Date]],"mmm")</f>
        <v>Nov</v>
      </c>
      <c r="I207" s="10" t="str">
        <f>CONCATENATE("WK_",WEEKNUM(events[[#This Row],[Start Date]]))</f>
        <v>WK_46</v>
      </c>
      <c r="J207" s="12">
        <v>45970.70652777778</v>
      </c>
      <c r="K207" s="10">
        <v>51</v>
      </c>
      <c r="L207" s="10" t="s">
        <v>25</v>
      </c>
      <c r="M207" s="10" t="s">
        <v>414</v>
      </c>
      <c r="N207" s="13">
        <f t="shared" si="3"/>
        <v>0.15</v>
      </c>
      <c r="O207" s="14" t="s">
        <v>27</v>
      </c>
      <c r="P207" s="14" t="s">
        <v>27</v>
      </c>
      <c r="Q207" s="14"/>
      <c r="R207" s="14"/>
      <c r="S207" s="14" t="s">
        <v>1344</v>
      </c>
      <c r="T207" s="14" t="s">
        <v>1345</v>
      </c>
      <c r="U207" s="15">
        <v>0.125</v>
      </c>
      <c r="V207" s="10">
        <v>1</v>
      </c>
    </row>
    <row r="208" spans="1:22" ht="18" customHeight="1" x14ac:dyDescent="0.35">
      <c r="A208" s="10" t="s">
        <v>123</v>
      </c>
      <c r="B208" s="10" t="s">
        <v>3244</v>
      </c>
      <c r="C208" s="11" t="s">
        <v>3013</v>
      </c>
      <c r="D208" s="11" t="s">
        <v>74</v>
      </c>
      <c r="E208" s="12">
        <v>45970.560879629629</v>
      </c>
      <c r="F208" s="10" t="str">
        <f>TEXT(events[[#This Row],[Start Date]],"DDD")</f>
        <v>Sun</v>
      </c>
      <c r="G208" s="10">
        <f>YEAR(events[[#This Row],[Start Date]])</f>
        <v>2025</v>
      </c>
      <c r="H208" s="10" t="str">
        <f>TEXT(events[[#This Row],[Start Date]],"mmm")</f>
        <v>Nov</v>
      </c>
      <c r="I208" s="10" t="str">
        <f>CONCATENATE("WK_",WEEKNUM(events[[#This Row],[Start Date]]))</f>
        <v>WK_46</v>
      </c>
      <c r="J208" s="12">
        <v>45970.561921296299</v>
      </c>
      <c r="K208" s="16">
        <v>89</v>
      </c>
      <c r="L208" s="10" t="s">
        <v>25</v>
      </c>
      <c r="M208" s="10" t="s">
        <v>365</v>
      </c>
      <c r="N208" s="13">
        <f t="shared" si="3"/>
        <v>1.5</v>
      </c>
      <c r="O208" s="14"/>
      <c r="P208" s="14"/>
      <c r="Q208" s="14" t="s">
        <v>451</v>
      </c>
      <c r="R208" s="14" t="s">
        <v>451</v>
      </c>
      <c r="S208" s="14" t="s">
        <v>1365</v>
      </c>
      <c r="T208" s="14" t="s">
        <v>1366</v>
      </c>
      <c r="U208" s="15">
        <v>2.1</v>
      </c>
      <c r="V208" s="10">
        <v>1</v>
      </c>
    </row>
    <row r="209" spans="1:22" ht="18" customHeight="1" x14ac:dyDescent="0.35">
      <c r="A209" s="10" t="s">
        <v>123</v>
      </c>
      <c r="B209" s="10" t="s">
        <v>3245</v>
      </c>
      <c r="C209" s="11" t="s">
        <v>3014</v>
      </c>
      <c r="D209" s="11" t="s">
        <v>74</v>
      </c>
      <c r="E209" s="12">
        <v>45970.447731481479</v>
      </c>
      <c r="F209" s="10" t="str">
        <f>TEXT(events[[#This Row],[Start Date]],"DDD")</f>
        <v>Sun</v>
      </c>
      <c r="G209" s="10">
        <f>YEAR(events[[#This Row],[Start Date]])</f>
        <v>2025</v>
      </c>
      <c r="H209" s="10" t="str">
        <f>TEXT(events[[#This Row],[Start Date]],"mmm")</f>
        <v>Nov</v>
      </c>
      <c r="I209" s="10" t="str">
        <f>CONCATENATE("WK_",WEEKNUM(events[[#This Row],[Start Date]]))</f>
        <v>WK_46</v>
      </c>
      <c r="J209" s="12">
        <v>45970.448541666665</v>
      </c>
      <c r="K209" s="16">
        <v>99</v>
      </c>
      <c r="L209" s="10" t="s">
        <v>25</v>
      </c>
      <c r="M209" s="10" t="s">
        <v>712</v>
      </c>
      <c r="N209" s="13">
        <f t="shared" si="3"/>
        <v>1.1499999999999999</v>
      </c>
      <c r="O209" s="14"/>
      <c r="P209" s="14"/>
      <c r="Q209" s="14" t="s">
        <v>1362</v>
      </c>
      <c r="R209" s="14" t="s">
        <v>1362</v>
      </c>
      <c r="S209" s="14" t="s">
        <v>1363</v>
      </c>
      <c r="T209" s="14" t="s">
        <v>1364</v>
      </c>
      <c r="U209" s="15">
        <v>1.8</v>
      </c>
      <c r="V209" s="10">
        <v>1</v>
      </c>
    </row>
    <row r="210" spans="1:22" ht="18" customHeight="1" x14ac:dyDescent="0.35">
      <c r="A210" s="10" t="s">
        <v>123</v>
      </c>
      <c r="B210" s="10" t="s">
        <v>3245</v>
      </c>
      <c r="C210" s="11" t="s">
        <v>3014</v>
      </c>
      <c r="D210" s="11" t="s">
        <v>74</v>
      </c>
      <c r="E210" s="12">
        <v>45970.262488425928</v>
      </c>
      <c r="F210" s="10" t="str">
        <f>TEXT(events[[#This Row],[Start Date]],"DDD")</f>
        <v>Sun</v>
      </c>
      <c r="G210" s="10">
        <f>YEAR(events[[#This Row],[Start Date]])</f>
        <v>2025</v>
      </c>
      <c r="H210" s="10" t="str">
        <f>TEXT(events[[#This Row],[Start Date]],"mmm")</f>
        <v>Nov</v>
      </c>
      <c r="I210" s="10" t="str">
        <f>CONCATENATE("WK_",WEEKNUM(events[[#This Row],[Start Date]]))</f>
        <v>WK_46</v>
      </c>
      <c r="J210" s="12">
        <v>45970.262800925928</v>
      </c>
      <c r="K210" s="16">
        <v>88</v>
      </c>
      <c r="L210" s="10" t="s">
        <v>25</v>
      </c>
      <c r="M210" s="10" t="s">
        <v>222</v>
      </c>
      <c r="N210" s="13">
        <f t="shared" si="3"/>
        <v>0.43333333333333335</v>
      </c>
      <c r="O210" s="14"/>
      <c r="P210" s="14"/>
      <c r="Q210" s="14" t="s">
        <v>255</v>
      </c>
      <c r="R210" s="14" t="s">
        <v>255</v>
      </c>
      <c r="S210" s="14" t="s">
        <v>1360</v>
      </c>
      <c r="T210" s="14" t="s">
        <v>1361</v>
      </c>
      <c r="U210" s="15">
        <v>0.7</v>
      </c>
      <c r="V210" s="10">
        <v>1</v>
      </c>
    </row>
    <row r="211" spans="1:22" ht="18" customHeight="1" x14ac:dyDescent="0.35">
      <c r="A211" s="10" t="s">
        <v>86</v>
      </c>
      <c r="B211" s="10" t="s">
        <v>3246</v>
      </c>
      <c r="C211" s="11" t="s">
        <v>2978</v>
      </c>
      <c r="D211" s="11" t="s">
        <v>35</v>
      </c>
      <c r="E211" s="12">
        <v>45969.958807870367</v>
      </c>
      <c r="F211" s="10" t="str">
        <f>TEXT(events[[#This Row],[Start Date]],"DDD")</f>
        <v>Sat</v>
      </c>
      <c r="G211" s="10">
        <f>YEAR(events[[#This Row],[Start Date]])</f>
        <v>2025</v>
      </c>
      <c r="H211" s="10" t="str">
        <f>TEXT(events[[#This Row],[Start Date]],"mmm")</f>
        <v>Nov</v>
      </c>
      <c r="I211" s="10" t="str">
        <f>CONCATENATE("WK_",WEEKNUM(events[[#This Row],[Start Date]]))</f>
        <v>WK_45</v>
      </c>
      <c r="J211" s="12">
        <v>45970.002141203702</v>
      </c>
      <c r="K211" s="10">
        <v>30.8</v>
      </c>
      <c r="L211" s="10" t="s">
        <v>36</v>
      </c>
      <c r="M211" s="10" t="s">
        <v>1341</v>
      </c>
      <c r="N211" s="13">
        <f t="shared" si="3"/>
        <v>62.4</v>
      </c>
      <c r="O211" s="14" t="s">
        <v>38</v>
      </c>
      <c r="P211" s="14" t="s">
        <v>38</v>
      </c>
      <c r="Q211" s="14"/>
      <c r="R211" s="14"/>
      <c r="S211" s="14" t="s">
        <v>1342</v>
      </c>
      <c r="T211" s="14" t="s">
        <v>1343</v>
      </c>
      <c r="U211" s="15">
        <v>30.687999999999999</v>
      </c>
      <c r="V211" s="10">
        <v>1</v>
      </c>
    </row>
    <row r="212" spans="1:22" ht="18" customHeight="1" x14ac:dyDescent="0.35">
      <c r="A212" s="10" t="s">
        <v>86</v>
      </c>
      <c r="B212" s="10" t="s">
        <v>3188</v>
      </c>
      <c r="C212" s="11" t="s">
        <v>3015</v>
      </c>
      <c r="D212" s="11" t="s">
        <v>35</v>
      </c>
      <c r="E212" s="12">
        <v>45969.958553240744</v>
      </c>
      <c r="F212" s="10" t="str">
        <f>TEXT(events[[#This Row],[Start Date]],"DDD")</f>
        <v>Sat</v>
      </c>
      <c r="G212" s="10">
        <f>YEAR(events[[#This Row],[Start Date]])</f>
        <v>2025</v>
      </c>
      <c r="H212" s="10" t="str">
        <f>TEXT(events[[#This Row],[Start Date]],"mmm")</f>
        <v>Nov</v>
      </c>
      <c r="I212" s="10" t="str">
        <f>CONCATENATE("WK_",WEEKNUM(events[[#This Row],[Start Date]]))</f>
        <v>WK_45</v>
      </c>
      <c r="J212" s="12">
        <v>45969.968576388892</v>
      </c>
      <c r="K212" s="10">
        <v>1.5</v>
      </c>
      <c r="L212" s="10" t="s">
        <v>36</v>
      </c>
      <c r="M212" s="10" t="s">
        <v>1338</v>
      </c>
      <c r="N212" s="13">
        <f t="shared" si="3"/>
        <v>14.433333333333334</v>
      </c>
      <c r="O212" s="14" t="s">
        <v>38</v>
      </c>
      <c r="P212" s="14" t="s">
        <v>38</v>
      </c>
      <c r="Q212" s="14"/>
      <c r="R212" s="14"/>
      <c r="S212" s="14" t="s">
        <v>1339</v>
      </c>
      <c r="T212" s="14" t="s">
        <v>1340</v>
      </c>
      <c r="U212" s="15">
        <v>1.4019999999999999</v>
      </c>
      <c r="V212" s="10">
        <v>1</v>
      </c>
    </row>
    <row r="213" spans="1:22" ht="18" customHeight="1" x14ac:dyDescent="0.35">
      <c r="A213" s="10" t="s">
        <v>23</v>
      </c>
      <c r="B213" s="10" t="s">
        <v>3196</v>
      </c>
      <c r="C213" s="11" t="s">
        <v>2963</v>
      </c>
      <c r="D213" s="11" t="s">
        <v>24</v>
      </c>
      <c r="E213" s="12">
        <v>45969.675312500003</v>
      </c>
      <c r="F213" s="10" t="str">
        <f>TEXT(events[[#This Row],[Start Date]],"DDD")</f>
        <v>Sat</v>
      </c>
      <c r="G213" s="10">
        <f>YEAR(events[[#This Row],[Start Date]])</f>
        <v>2025</v>
      </c>
      <c r="H213" s="10" t="str">
        <f>TEXT(events[[#This Row],[Start Date]],"mmm")</f>
        <v>Nov</v>
      </c>
      <c r="I213" s="10" t="str">
        <f>CONCATENATE("WK_",WEEKNUM(events[[#This Row],[Start Date]]))</f>
        <v>WK_45</v>
      </c>
      <c r="J213" s="12">
        <v>45969.675347222219</v>
      </c>
      <c r="K213" s="10">
        <v>35</v>
      </c>
      <c r="L213" s="10" t="s">
        <v>25</v>
      </c>
      <c r="M213" s="10" t="s">
        <v>75</v>
      </c>
      <c r="N213" s="13">
        <f t="shared" si="3"/>
        <v>0.05</v>
      </c>
      <c r="O213" s="14" t="s">
        <v>38</v>
      </c>
      <c r="P213" s="14" t="s">
        <v>38</v>
      </c>
      <c r="Q213" s="14"/>
      <c r="R213" s="14"/>
      <c r="S213" s="14" t="s">
        <v>1300</v>
      </c>
      <c r="T213" s="14" t="s">
        <v>1301</v>
      </c>
      <c r="U213" s="15">
        <v>9.4E-2</v>
      </c>
      <c r="V213" s="10">
        <v>1</v>
      </c>
    </row>
    <row r="214" spans="1:22" ht="18" customHeight="1" x14ac:dyDescent="0.35">
      <c r="A214" s="10" t="s">
        <v>123</v>
      </c>
      <c r="B214" s="10" t="s">
        <v>3247</v>
      </c>
      <c r="C214" s="11" t="s">
        <v>3016</v>
      </c>
      <c r="D214" s="11" t="s">
        <v>74</v>
      </c>
      <c r="E214" s="12">
        <v>45969.541458333333</v>
      </c>
      <c r="F214" s="10" t="str">
        <f>TEXT(events[[#This Row],[Start Date]],"DDD")</f>
        <v>Sat</v>
      </c>
      <c r="G214" s="10">
        <f>YEAR(events[[#This Row],[Start Date]])</f>
        <v>2025</v>
      </c>
      <c r="H214" s="10" t="str">
        <f>TEXT(events[[#This Row],[Start Date]],"mmm")</f>
        <v>Nov</v>
      </c>
      <c r="I214" s="10" t="str">
        <f>CONCATENATE("WK_",WEEKNUM(events[[#This Row],[Start Date]]))</f>
        <v>WK_45</v>
      </c>
      <c r="J214" s="12">
        <v>45969.542488425926</v>
      </c>
      <c r="K214" s="16">
        <v>86</v>
      </c>
      <c r="L214" s="10" t="s">
        <v>25</v>
      </c>
      <c r="M214" s="10" t="s">
        <v>900</v>
      </c>
      <c r="N214" s="13">
        <f t="shared" si="3"/>
        <v>1.4833333333333334</v>
      </c>
      <c r="O214" s="14"/>
      <c r="P214" s="14"/>
      <c r="Q214" s="14"/>
      <c r="R214" s="14"/>
      <c r="S214" s="14" t="s">
        <v>1351</v>
      </c>
      <c r="T214" s="14" t="s">
        <v>1352</v>
      </c>
      <c r="U214" s="15">
        <v>2.1</v>
      </c>
      <c r="V214" s="10">
        <v>1</v>
      </c>
    </row>
    <row r="215" spans="1:22" ht="18" customHeight="1" x14ac:dyDescent="0.35">
      <c r="A215" s="10" t="s">
        <v>86</v>
      </c>
      <c r="B215" s="10" t="s">
        <v>3182</v>
      </c>
      <c r="C215" s="11" t="s">
        <v>3017</v>
      </c>
      <c r="D215" s="11" t="s">
        <v>24</v>
      </c>
      <c r="E215" s="12">
        <v>45968.759953703702</v>
      </c>
      <c r="F215" s="10" t="str">
        <f>TEXT(events[[#This Row],[Start Date]],"DDD")</f>
        <v>Fri</v>
      </c>
      <c r="G215" s="10">
        <f>YEAR(events[[#This Row],[Start Date]])</f>
        <v>2025</v>
      </c>
      <c r="H215" s="10" t="str">
        <f>TEXT(events[[#This Row],[Start Date]],"mmm")</f>
        <v>Nov</v>
      </c>
      <c r="I215" s="10" t="str">
        <f>CONCATENATE("WK_",WEEKNUM(events[[#This Row],[Start Date]]))</f>
        <v>WK_45</v>
      </c>
      <c r="J215" s="12">
        <v>45968.759988425925</v>
      </c>
      <c r="K215" s="10">
        <v>36</v>
      </c>
      <c r="L215" s="10" t="s">
        <v>25</v>
      </c>
      <c r="M215" s="10" t="s">
        <v>75</v>
      </c>
      <c r="N215" s="13">
        <f t="shared" si="3"/>
        <v>0.05</v>
      </c>
      <c r="O215" s="14" t="s">
        <v>458</v>
      </c>
      <c r="P215" s="14" t="s">
        <v>458</v>
      </c>
      <c r="Q215" s="14"/>
      <c r="R215" s="14"/>
      <c r="S215" s="14" t="s">
        <v>1336</v>
      </c>
      <c r="T215" s="14" t="s">
        <v>1337</v>
      </c>
      <c r="U215" s="15">
        <v>9.8000000000000004E-2</v>
      </c>
      <c r="V215" s="10">
        <v>1</v>
      </c>
    </row>
    <row r="216" spans="1:22" ht="18" customHeight="1" x14ac:dyDescent="0.35">
      <c r="A216" s="10" t="s">
        <v>123</v>
      </c>
      <c r="B216" s="10" t="s">
        <v>3248</v>
      </c>
      <c r="C216" s="11" t="s">
        <v>3018</v>
      </c>
      <c r="D216" s="11" t="s">
        <v>74</v>
      </c>
      <c r="E216" s="12">
        <v>45968.638923611114</v>
      </c>
      <c r="F216" s="10" t="str">
        <f>TEXT(events[[#This Row],[Start Date]],"DDD")</f>
        <v>Fri</v>
      </c>
      <c r="G216" s="10">
        <f>YEAR(events[[#This Row],[Start Date]])</f>
        <v>2025</v>
      </c>
      <c r="H216" s="10" t="str">
        <f>TEXT(events[[#This Row],[Start Date]],"mmm")</f>
        <v>Nov</v>
      </c>
      <c r="I216" s="10" t="str">
        <f>CONCATENATE("WK_",WEEKNUM(events[[#This Row],[Start Date]]))</f>
        <v>WK_45</v>
      </c>
      <c r="J216" s="12">
        <v>45968.639108796298</v>
      </c>
      <c r="K216" s="16">
        <v>84</v>
      </c>
      <c r="L216" s="10" t="s">
        <v>25</v>
      </c>
      <c r="M216" s="10" t="s">
        <v>353</v>
      </c>
      <c r="N216" s="13">
        <f t="shared" si="3"/>
        <v>0.26666666666666666</v>
      </c>
      <c r="O216" s="14"/>
      <c r="P216" s="14"/>
      <c r="Q216" s="14" t="s">
        <v>366</v>
      </c>
      <c r="R216" s="14" t="s">
        <v>366</v>
      </c>
      <c r="S216" s="14" t="s">
        <v>1356</v>
      </c>
      <c r="T216" s="14" t="s">
        <v>1357</v>
      </c>
      <c r="U216" s="15">
        <v>0.5</v>
      </c>
      <c r="V216" s="10">
        <v>1</v>
      </c>
    </row>
    <row r="217" spans="1:22" ht="18" customHeight="1" x14ac:dyDescent="0.35">
      <c r="A217" s="10" t="s">
        <v>86</v>
      </c>
      <c r="B217" s="10" t="s">
        <v>3249</v>
      </c>
      <c r="C217" s="11" t="s">
        <v>3019</v>
      </c>
      <c r="D217" s="11" t="s">
        <v>24</v>
      </c>
      <c r="E217" s="12">
        <v>45968.227430555555</v>
      </c>
      <c r="F217" s="10" t="str">
        <f>TEXT(events[[#This Row],[Start Date]],"DDD")</f>
        <v>Fri</v>
      </c>
      <c r="G217" s="10">
        <f>YEAR(events[[#This Row],[Start Date]])</f>
        <v>2025</v>
      </c>
      <c r="H217" s="10" t="str">
        <f>TEXT(events[[#This Row],[Start Date]],"mmm")</f>
        <v>Nov</v>
      </c>
      <c r="I217" s="10" t="str">
        <f>CONCATENATE("WK_",WEEKNUM(events[[#This Row],[Start Date]]))</f>
        <v>WK_45</v>
      </c>
      <c r="J217" s="12">
        <v>45968.227870370371</v>
      </c>
      <c r="K217" s="10">
        <v>68</v>
      </c>
      <c r="L217" s="10" t="s">
        <v>25</v>
      </c>
      <c r="M217" s="10" t="s">
        <v>943</v>
      </c>
      <c r="N217" s="13">
        <f t="shared" si="3"/>
        <v>0.6333333333333333</v>
      </c>
      <c r="O217" s="14" t="s">
        <v>27</v>
      </c>
      <c r="P217" s="14" t="s">
        <v>27</v>
      </c>
      <c r="Q217" s="14"/>
      <c r="R217" s="14"/>
      <c r="S217" s="14" t="s">
        <v>1334</v>
      </c>
      <c r="T217" s="14" t="s">
        <v>1335</v>
      </c>
      <c r="U217" s="15">
        <v>0.68799999999999994</v>
      </c>
      <c r="V217" s="10">
        <v>1</v>
      </c>
    </row>
    <row r="218" spans="1:22" ht="18" customHeight="1" x14ac:dyDescent="0.35">
      <c r="A218" s="10" t="s">
        <v>86</v>
      </c>
      <c r="B218" s="10" t="s">
        <v>3249</v>
      </c>
      <c r="C218" s="11" t="s">
        <v>3019</v>
      </c>
      <c r="D218" s="11" t="s">
        <v>24</v>
      </c>
      <c r="E218" s="12">
        <v>45968.224178240744</v>
      </c>
      <c r="F218" s="10" t="str">
        <f>TEXT(events[[#This Row],[Start Date]],"DDD")</f>
        <v>Fri</v>
      </c>
      <c r="G218" s="10">
        <f>YEAR(events[[#This Row],[Start Date]])</f>
        <v>2025</v>
      </c>
      <c r="H218" s="10" t="str">
        <f>TEXT(events[[#This Row],[Start Date]],"mmm")</f>
        <v>Nov</v>
      </c>
      <c r="I218" s="10" t="str">
        <f>CONCATENATE("WK_",WEEKNUM(events[[#This Row],[Start Date]]))</f>
        <v>WK_45</v>
      </c>
      <c r="J218" s="12">
        <v>45968.224259259259</v>
      </c>
      <c r="K218" s="10">
        <v>66</v>
      </c>
      <c r="L218" s="10" t="s">
        <v>25</v>
      </c>
      <c r="M218" s="10" t="s">
        <v>115</v>
      </c>
      <c r="N218" s="13">
        <f t="shared" si="3"/>
        <v>0.11666666666666667</v>
      </c>
      <c r="O218" s="14" t="s">
        <v>27</v>
      </c>
      <c r="P218" s="14" t="s">
        <v>27</v>
      </c>
      <c r="Q218" s="14"/>
      <c r="R218" s="14"/>
      <c r="S218" s="14" t="s">
        <v>1332</v>
      </c>
      <c r="T218" s="14" t="s">
        <v>1333</v>
      </c>
      <c r="U218" s="15">
        <v>0.188</v>
      </c>
      <c r="V218" s="10">
        <v>1</v>
      </c>
    </row>
    <row r="219" spans="1:22" ht="18" customHeight="1" x14ac:dyDescent="0.35">
      <c r="A219" s="10" t="s">
        <v>86</v>
      </c>
      <c r="B219" s="10" t="s">
        <v>3249</v>
      </c>
      <c r="C219" s="11" t="s">
        <v>3019</v>
      </c>
      <c r="D219" s="11" t="s">
        <v>24</v>
      </c>
      <c r="E219" s="12">
        <v>45968.221666666665</v>
      </c>
      <c r="F219" s="10" t="str">
        <f>TEXT(events[[#This Row],[Start Date]],"DDD")</f>
        <v>Fri</v>
      </c>
      <c r="G219" s="10">
        <f>YEAR(events[[#This Row],[Start Date]])</f>
        <v>2025</v>
      </c>
      <c r="H219" s="10" t="str">
        <f>TEXT(events[[#This Row],[Start Date]],"mmm")</f>
        <v>Nov</v>
      </c>
      <c r="I219" s="10" t="str">
        <f>CONCATENATE("WK_",WEEKNUM(events[[#This Row],[Start Date]]))</f>
        <v>WK_45</v>
      </c>
      <c r="J219" s="12">
        <v>45968.221863425926</v>
      </c>
      <c r="K219" s="10">
        <v>74</v>
      </c>
      <c r="L219" s="10" t="s">
        <v>25</v>
      </c>
      <c r="M219" s="10" t="s">
        <v>775</v>
      </c>
      <c r="N219" s="13">
        <f t="shared" si="3"/>
        <v>0.28333333333333333</v>
      </c>
      <c r="O219" s="14" t="s">
        <v>92</v>
      </c>
      <c r="P219" s="14" t="s">
        <v>92</v>
      </c>
      <c r="Q219" s="14"/>
      <c r="R219" s="14"/>
      <c r="S219" s="14" t="s">
        <v>1330</v>
      </c>
      <c r="T219" s="14" t="s">
        <v>1331</v>
      </c>
      <c r="U219" s="15">
        <v>0.375</v>
      </c>
      <c r="V219" s="10">
        <v>1</v>
      </c>
    </row>
    <row r="220" spans="1:22" ht="18" customHeight="1" x14ac:dyDescent="0.35">
      <c r="A220" s="10" t="s">
        <v>86</v>
      </c>
      <c r="B220" s="10" t="s">
        <v>3249</v>
      </c>
      <c r="C220" s="11" t="s">
        <v>3019</v>
      </c>
      <c r="D220" s="11" t="s">
        <v>24</v>
      </c>
      <c r="E220" s="12">
        <v>45968.220127314817</v>
      </c>
      <c r="F220" s="10" t="str">
        <f>TEXT(events[[#This Row],[Start Date]],"DDD")</f>
        <v>Fri</v>
      </c>
      <c r="G220" s="10">
        <f>YEAR(events[[#This Row],[Start Date]])</f>
        <v>2025</v>
      </c>
      <c r="H220" s="10" t="str">
        <f>TEXT(events[[#This Row],[Start Date]],"mmm")</f>
        <v>Nov</v>
      </c>
      <c r="I220" s="10" t="str">
        <f>CONCATENATE("WK_",WEEKNUM(events[[#This Row],[Start Date]]))</f>
        <v>WK_45</v>
      </c>
      <c r="J220" s="12">
        <v>45968.220289351855</v>
      </c>
      <c r="K220" s="10">
        <v>75</v>
      </c>
      <c r="L220" s="10" t="s">
        <v>25</v>
      </c>
      <c r="M220" s="10" t="s">
        <v>418</v>
      </c>
      <c r="N220" s="13">
        <f t="shared" si="3"/>
        <v>0.23333333333333334</v>
      </c>
      <c r="O220" s="14" t="s">
        <v>92</v>
      </c>
      <c r="P220" s="14" t="s">
        <v>92</v>
      </c>
      <c r="Q220" s="14"/>
      <c r="R220" s="14"/>
      <c r="S220" s="14" t="s">
        <v>1328</v>
      </c>
      <c r="T220" s="14" t="s">
        <v>1329</v>
      </c>
      <c r="U220" s="15">
        <v>0.312</v>
      </c>
      <c r="V220" s="10">
        <v>1</v>
      </c>
    </row>
    <row r="221" spans="1:22" ht="18" customHeight="1" x14ac:dyDescent="0.35">
      <c r="A221" s="10" t="s">
        <v>86</v>
      </c>
      <c r="B221" s="10" t="s">
        <v>3208</v>
      </c>
      <c r="C221" s="11" t="s">
        <v>2943</v>
      </c>
      <c r="D221" s="11" t="s">
        <v>35</v>
      </c>
      <c r="E221" s="12">
        <v>45967.980312500003</v>
      </c>
      <c r="F221" s="10" t="str">
        <f>TEXT(events[[#This Row],[Start Date]],"DDD")</f>
        <v>Thu</v>
      </c>
      <c r="G221" s="10">
        <f>YEAR(events[[#This Row],[Start Date]])</f>
        <v>2025</v>
      </c>
      <c r="H221" s="10" t="str">
        <f>TEXT(events[[#This Row],[Start Date]],"mmm")</f>
        <v>Nov</v>
      </c>
      <c r="I221" s="10" t="str">
        <f>CONCATENATE("WK_",WEEKNUM(events[[#This Row],[Start Date]]))</f>
        <v>WK_45</v>
      </c>
      <c r="J221" s="12">
        <v>45967.992673611108</v>
      </c>
      <c r="K221" s="10">
        <v>1.6</v>
      </c>
      <c r="L221" s="10" t="s">
        <v>36</v>
      </c>
      <c r="M221" s="10" t="s">
        <v>1325</v>
      </c>
      <c r="N221" s="13">
        <f t="shared" si="3"/>
        <v>17.8</v>
      </c>
      <c r="O221" s="14" t="s">
        <v>341</v>
      </c>
      <c r="P221" s="14" t="s">
        <v>341</v>
      </c>
      <c r="Q221" s="14"/>
      <c r="R221" s="14"/>
      <c r="S221" s="14" t="s">
        <v>1326</v>
      </c>
      <c r="T221" s="14" t="s">
        <v>1327</v>
      </c>
      <c r="U221" s="15">
        <v>1.5</v>
      </c>
      <c r="V221" s="10">
        <v>1</v>
      </c>
    </row>
    <row r="222" spans="1:22" ht="18" customHeight="1" x14ac:dyDescent="0.35">
      <c r="A222" s="10" t="s">
        <v>86</v>
      </c>
      <c r="B222" s="10" t="s">
        <v>3250</v>
      </c>
      <c r="C222" s="11" t="s">
        <v>3020</v>
      </c>
      <c r="D222" s="11" t="s">
        <v>35</v>
      </c>
      <c r="E222" s="12">
        <v>45967.969861111109</v>
      </c>
      <c r="F222" s="10" t="str">
        <f>TEXT(events[[#This Row],[Start Date]],"DDD")</f>
        <v>Thu</v>
      </c>
      <c r="G222" s="10">
        <f>YEAR(events[[#This Row],[Start Date]])</f>
        <v>2025</v>
      </c>
      <c r="H222" s="10" t="str">
        <f>TEXT(events[[#This Row],[Start Date]],"mmm")</f>
        <v>Nov</v>
      </c>
      <c r="I222" s="10" t="str">
        <f>CONCATENATE("WK_",WEEKNUM(events[[#This Row],[Start Date]]))</f>
        <v>WK_45</v>
      </c>
      <c r="J222" s="12">
        <v>45967.976643518516</v>
      </c>
      <c r="K222" s="10">
        <v>2.8</v>
      </c>
      <c r="L222" s="10" t="s">
        <v>36</v>
      </c>
      <c r="M222" s="10" t="s">
        <v>1322</v>
      </c>
      <c r="N222" s="13">
        <f t="shared" si="3"/>
        <v>9.7666666666666675</v>
      </c>
      <c r="O222" s="14" t="s">
        <v>38</v>
      </c>
      <c r="P222" s="14" t="s">
        <v>38</v>
      </c>
      <c r="Q222" s="14"/>
      <c r="R222" s="14"/>
      <c r="S222" s="14" t="s">
        <v>1323</v>
      </c>
      <c r="T222" s="14" t="s">
        <v>1324</v>
      </c>
      <c r="U222" s="15">
        <v>2.625</v>
      </c>
      <c r="V222" s="10">
        <v>1</v>
      </c>
    </row>
    <row r="223" spans="1:22" ht="18" customHeight="1" x14ac:dyDescent="0.35">
      <c r="A223" s="10" t="s">
        <v>86</v>
      </c>
      <c r="B223" s="10" t="s">
        <v>3208</v>
      </c>
      <c r="C223" s="11" t="s">
        <v>2943</v>
      </c>
      <c r="D223" s="11" t="s">
        <v>35</v>
      </c>
      <c r="E223" s="12">
        <v>45967.967268518521</v>
      </c>
      <c r="F223" s="10" t="str">
        <f>TEXT(events[[#This Row],[Start Date]],"DDD")</f>
        <v>Thu</v>
      </c>
      <c r="G223" s="10">
        <f>YEAR(events[[#This Row],[Start Date]])</f>
        <v>2025</v>
      </c>
      <c r="H223" s="10" t="str">
        <f>TEXT(events[[#This Row],[Start Date]],"mmm")</f>
        <v>Nov</v>
      </c>
      <c r="I223" s="10" t="str">
        <f>CONCATENATE("WK_",WEEKNUM(events[[#This Row],[Start Date]]))</f>
        <v>WK_45</v>
      </c>
      <c r="J223" s="12">
        <v>45967.979004629633</v>
      </c>
      <c r="K223" s="10">
        <v>7.1</v>
      </c>
      <c r="L223" s="10" t="s">
        <v>36</v>
      </c>
      <c r="M223" s="10" t="s">
        <v>1319</v>
      </c>
      <c r="N223" s="13">
        <f t="shared" si="3"/>
        <v>16.899999999999999</v>
      </c>
      <c r="O223" s="14" t="s">
        <v>341</v>
      </c>
      <c r="P223" s="14" t="s">
        <v>341</v>
      </c>
      <c r="Q223" s="14"/>
      <c r="R223" s="14"/>
      <c r="S223" s="14" t="s">
        <v>1320</v>
      </c>
      <c r="T223" s="14" t="s">
        <v>1321</v>
      </c>
      <c r="U223" s="15">
        <v>6.875</v>
      </c>
      <c r="V223" s="10">
        <v>1</v>
      </c>
    </row>
    <row r="224" spans="1:22" ht="18" customHeight="1" x14ac:dyDescent="0.35">
      <c r="A224" s="10" t="s">
        <v>86</v>
      </c>
      <c r="B224" s="10" t="s">
        <v>3246</v>
      </c>
      <c r="C224" s="11" t="s">
        <v>2978</v>
      </c>
      <c r="D224" s="11" t="s">
        <v>35</v>
      </c>
      <c r="E224" s="12">
        <v>45967.958344907405</v>
      </c>
      <c r="F224" s="10" t="str">
        <f>TEXT(events[[#This Row],[Start Date]],"DDD")</f>
        <v>Thu</v>
      </c>
      <c r="G224" s="10">
        <f>YEAR(events[[#This Row],[Start Date]])</f>
        <v>2025</v>
      </c>
      <c r="H224" s="10" t="str">
        <f>TEXT(events[[#This Row],[Start Date]],"mmm")</f>
        <v>Nov</v>
      </c>
      <c r="I224" s="10" t="str">
        <f>CONCATENATE("WK_",WEEKNUM(events[[#This Row],[Start Date]]))</f>
        <v>WK_45</v>
      </c>
      <c r="J224" s="12">
        <v>45967.968356481484</v>
      </c>
      <c r="K224" s="10">
        <v>44.5</v>
      </c>
      <c r="L224" s="10" t="s">
        <v>36</v>
      </c>
      <c r="M224" s="10" t="s">
        <v>1310</v>
      </c>
      <c r="N224" s="13">
        <f t="shared" si="3"/>
        <v>14.416666666666666</v>
      </c>
      <c r="O224" s="14" t="s">
        <v>38</v>
      </c>
      <c r="P224" s="14" t="s">
        <v>38</v>
      </c>
      <c r="Q224" s="14"/>
      <c r="R224" s="14"/>
      <c r="S224" s="14" t="s">
        <v>1311</v>
      </c>
      <c r="T224" s="14" t="s">
        <v>1312</v>
      </c>
      <c r="U224" s="15">
        <v>6.6879999999999997</v>
      </c>
      <c r="V224" s="10">
        <v>1</v>
      </c>
    </row>
    <row r="225" spans="1:22" ht="18" customHeight="1" x14ac:dyDescent="0.35">
      <c r="A225" s="10" t="s">
        <v>86</v>
      </c>
      <c r="B225" s="10" t="s">
        <v>3208</v>
      </c>
      <c r="C225" s="11" t="s">
        <v>2943</v>
      </c>
      <c r="D225" s="11" t="s">
        <v>35</v>
      </c>
      <c r="E225" s="12">
        <v>45967.958344907405</v>
      </c>
      <c r="F225" s="10" t="str">
        <f>TEXT(events[[#This Row],[Start Date]],"DDD")</f>
        <v>Thu</v>
      </c>
      <c r="G225" s="10">
        <f>YEAR(events[[#This Row],[Start Date]])</f>
        <v>2025</v>
      </c>
      <c r="H225" s="10" t="str">
        <f>TEXT(events[[#This Row],[Start Date]],"mmm")</f>
        <v>Nov</v>
      </c>
      <c r="I225" s="10" t="str">
        <f>CONCATENATE("WK_",WEEKNUM(events[[#This Row],[Start Date]]))</f>
        <v>WK_45</v>
      </c>
      <c r="J225" s="12">
        <v>45967.966944444444</v>
      </c>
      <c r="K225" s="10">
        <v>14.4</v>
      </c>
      <c r="L225" s="10" t="s">
        <v>25</v>
      </c>
      <c r="M225" s="10" t="s">
        <v>1313</v>
      </c>
      <c r="N225" s="13">
        <f t="shared" si="3"/>
        <v>12.383333333333333</v>
      </c>
      <c r="O225" s="14" t="s">
        <v>341</v>
      </c>
      <c r="P225" s="14" t="s">
        <v>341</v>
      </c>
      <c r="Q225" s="14"/>
      <c r="R225" s="14"/>
      <c r="S225" s="14" t="s">
        <v>1314</v>
      </c>
      <c r="T225" s="14" t="s">
        <v>1315</v>
      </c>
      <c r="U225" s="15">
        <v>3.625</v>
      </c>
      <c r="V225" s="10">
        <v>1</v>
      </c>
    </row>
    <row r="226" spans="1:22" ht="18" customHeight="1" x14ac:dyDescent="0.35">
      <c r="A226" s="10" t="s">
        <v>86</v>
      </c>
      <c r="B226" s="10" t="s">
        <v>3188</v>
      </c>
      <c r="C226" s="11" t="s">
        <v>3015</v>
      </c>
      <c r="D226" s="11" t="s">
        <v>35</v>
      </c>
      <c r="E226" s="12">
        <v>45967.958344907405</v>
      </c>
      <c r="F226" s="10" t="str">
        <f>TEXT(events[[#This Row],[Start Date]],"DDD")</f>
        <v>Thu</v>
      </c>
      <c r="G226" s="10">
        <f>YEAR(events[[#This Row],[Start Date]])</f>
        <v>2025</v>
      </c>
      <c r="H226" s="10" t="str">
        <f>TEXT(events[[#This Row],[Start Date]],"mmm")</f>
        <v>Nov</v>
      </c>
      <c r="I226" s="10" t="str">
        <f>CONCATENATE("WK_",WEEKNUM(events[[#This Row],[Start Date]]))</f>
        <v>WK_45</v>
      </c>
      <c r="J226" s="12">
        <v>45967.975162037037</v>
      </c>
      <c r="K226" s="16">
        <v>34.700000000000003</v>
      </c>
      <c r="L226" s="10" t="s">
        <v>36</v>
      </c>
      <c r="M226" s="10" t="s">
        <v>1316</v>
      </c>
      <c r="N226" s="13">
        <f t="shared" si="3"/>
        <v>24.216666666666665</v>
      </c>
      <c r="O226" s="14" t="s">
        <v>38</v>
      </c>
      <c r="P226" s="14" t="s">
        <v>38</v>
      </c>
      <c r="Q226" s="14" t="s">
        <v>451</v>
      </c>
      <c r="R226" s="14" t="s">
        <v>451</v>
      </c>
      <c r="S226" s="14" t="s">
        <v>1317</v>
      </c>
      <c r="T226" s="14" t="s">
        <v>1318</v>
      </c>
      <c r="U226" s="15">
        <v>11.699</v>
      </c>
      <c r="V226" s="10">
        <v>1</v>
      </c>
    </row>
    <row r="227" spans="1:22" ht="18" customHeight="1" x14ac:dyDescent="0.35">
      <c r="A227" s="10" t="s">
        <v>86</v>
      </c>
      <c r="B227" s="10" t="s">
        <v>3182</v>
      </c>
      <c r="C227" s="11" t="s">
        <v>3017</v>
      </c>
      <c r="D227" s="11" t="s">
        <v>24</v>
      </c>
      <c r="E227" s="12">
        <v>45967.767557870371</v>
      </c>
      <c r="F227" s="10" t="str">
        <f>TEXT(events[[#This Row],[Start Date]],"DDD")</f>
        <v>Thu</v>
      </c>
      <c r="G227" s="10">
        <f>YEAR(events[[#This Row],[Start Date]])</f>
        <v>2025</v>
      </c>
      <c r="H227" s="10" t="str">
        <f>TEXT(events[[#This Row],[Start Date]],"mmm")</f>
        <v>Nov</v>
      </c>
      <c r="I227" s="10" t="str">
        <f>CONCATENATE("WK_",WEEKNUM(events[[#This Row],[Start Date]]))</f>
        <v>WK_45</v>
      </c>
      <c r="J227" s="12">
        <v>45967.767627314817</v>
      </c>
      <c r="K227" s="10">
        <v>49</v>
      </c>
      <c r="L227" s="10" t="s">
        <v>25</v>
      </c>
      <c r="M227" s="10" t="s">
        <v>328</v>
      </c>
      <c r="N227" s="13">
        <f t="shared" si="3"/>
        <v>0.1</v>
      </c>
      <c r="O227" s="14" t="s">
        <v>142</v>
      </c>
      <c r="P227" s="14" t="s">
        <v>142</v>
      </c>
      <c r="Q227" s="14"/>
      <c r="R227" s="14"/>
      <c r="S227" s="14" t="s">
        <v>1308</v>
      </c>
      <c r="T227" s="14" t="s">
        <v>1309</v>
      </c>
      <c r="U227" s="15">
        <v>9.8000000000000004E-2</v>
      </c>
      <c r="V227" s="10">
        <v>1</v>
      </c>
    </row>
    <row r="228" spans="1:22" ht="18" customHeight="1" x14ac:dyDescent="0.35">
      <c r="A228" s="10" t="s">
        <v>23</v>
      </c>
      <c r="B228" s="10" t="s">
        <v>3207</v>
      </c>
      <c r="C228" s="11" t="s">
        <v>2975</v>
      </c>
      <c r="D228" s="11" t="s">
        <v>24</v>
      </c>
      <c r="E228" s="12">
        <v>45967.682962962965</v>
      </c>
      <c r="F228" s="10" t="str">
        <f>TEXT(events[[#This Row],[Start Date]],"DDD")</f>
        <v>Thu</v>
      </c>
      <c r="G228" s="10">
        <f>YEAR(events[[#This Row],[Start Date]])</f>
        <v>2025</v>
      </c>
      <c r="H228" s="10" t="str">
        <f>TEXT(events[[#This Row],[Start Date]],"mmm")</f>
        <v>Nov</v>
      </c>
      <c r="I228" s="10" t="str">
        <f>CONCATENATE("WK_",WEEKNUM(events[[#This Row],[Start Date]]))</f>
        <v>WK_45</v>
      </c>
      <c r="J228" s="12">
        <v>45967.683009259257</v>
      </c>
      <c r="K228" s="10">
        <v>33</v>
      </c>
      <c r="L228" s="10" t="s">
        <v>25</v>
      </c>
      <c r="M228" s="10" t="s">
        <v>275</v>
      </c>
      <c r="N228" s="13">
        <f t="shared" si="3"/>
        <v>6.6666666666666666E-2</v>
      </c>
      <c r="O228" s="14" t="s">
        <v>142</v>
      </c>
      <c r="P228" s="14" t="s">
        <v>142</v>
      </c>
      <c r="Q228" s="14"/>
      <c r="R228" s="14"/>
      <c r="S228" s="14" t="s">
        <v>1298</v>
      </c>
      <c r="T228" s="14" t="s">
        <v>1299</v>
      </c>
      <c r="U228" s="15">
        <v>0.125</v>
      </c>
      <c r="V228" s="10">
        <v>1</v>
      </c>
    </row>
    <row r="229" spans="1:22" ht="18" customHeight="1" x14ac:dyDescent="0.35">
      <c r="A229" s="10" t="s">
        <v>86</v>
      </c>
      <c r="B229" s="10" t="s">
        <v>3182</v>
      </c>
      <c r="C229" s="11" t="s">
        <v>3017</v>
      </c>
      <c r="D229" s="11" t="s">
        <v>24</v>
      </c>
      <c r="E229" s="12">
        <v>45967.472719907404</v>
      </c>
      <c r="F229" s="10" t="str">
        <f>TEXT(events[[#This Row],[Start Date]],"DDD")</f>
        <v>Thu</v>
      </c>
      <c r="G229" s="10">
        <f>YEAR(events[[#This Row],[Start Date]])</f>
        <v>2025</v>
      </c>
      <c r="H229" s="10" t="str">
        <f>TEXT(events[[#This Row],[Start Date]],"mmm")</f>
        <v>Nov</v>
      </c>
      <c r="I229" s="10" t="str">
        <f>CONCATENATE("WK_",WEEKNUM(events[[#This Row],[Start Date]]))</f>
        <v>WK_45</v>
      </c>
      <c r="J229" s="12">
        <v>45967.472731481481</v>
      </c>
      <c r="K229" s="10">
        <v>31</v>
      </c>
      <c r="L229" s="10" t="s">
        <v>25</v>
      </c>
      <c r="M229" s="10" t="s">
        <v>26</v>
      </c>
      <c r="N229" s="13">
        <f t="shared" si="3"/>
        <v>1.6666666666666666E-2</v>
      </c>
      <c r="O229" s="14" t="s">
        <v>27</v>
      </c>
      <c r="P229" s="14" t="s">
        <v>27</v>
      </c>
      <c r="Q229" s="14"/>
      <c r="R229" s="14"/>
      <c r="S229" s="14" t="s">
        <v>1306</v>
      </c>
      <c r="T229" s="14" t="s">
        <v>1307</v>
      </c>
      <c r="U229" s="15">
        <v>9.8000000000000004E-2</v>
      </c>
      <c r="V229" s="10">
        <v>1</v>
      </c>
    </row>
    <row r="230" spans="1:22" ht="18" customHeight="1" x14ac:dyDescent="0.35">
      <c r="A230" s="10" t="s">
        <v>47</v>
      </c>
      <c r="B230" s="10" t="s">
        <v>3251</v>
      </c>
      <c r="C230" s="11" t="s">
        <v>3021</v>
      </c>
      <c r="D230" s="11" t="s">
        <v>678</v>
      </c>
      <c r="E230" s="12">
        <v>45967.332835648151</v>
      </c>
      <c r="F230" s="10" t="str">
        <f>TEXT(events[[#This Row],[Start Date]],"DDD")</f>
        <v>Thu</v>
      </c>
      <c r="G230" s="10">
        <f>YEAR(events[[#This Row],[Start Date]])</f>
        <v>2025</v>
      </c>
      <c r="H230" s="10" t="str">
        <f>TEXT(events[[#This Row],[Start Date]],"mmm")</f>
        <v>Nov</v>
      </c>
      <c r="I230" s="10" t="str">
        <f>CONCATENATE("WK_",WEEKNUM(events[[#This Row],[Start Date]]))</f>
        <v>WK_45</v>
      </c>
      <c r="J230" s="12">
        <v>45967.33284722222</v>
      </c>
      <c r="K230" s="10">
        <v>11</v>
      </c>
      <c r="L230" s="10" t="s">
        <v>83</v>
      </c>
      <c r="M230" s="10" t="s">
        <v>26</v>
      </c>
      <c r="N230" s="13">
        <f t="shared" si="3"/>
        <v>1.6666666666666666E-2</v>
      </c>
      <c r="O230" s="14" t="s">
        <v>92</v>
      </c>
      <c r="P230" s="14"/>
      <c r="Q230" s="14"/>
      <c r="R230" s="14"/>
      <c r="S230" s="14" t="s">
        <v>1305</v>
      </c>
      <c r="T230" s="14"/>
      <c r="U230" s="15">
        <v>0</v>
      </c>
      <c r="V230" s="10">
        <v>1</v>
      </c>
    </row>
    <row r="231" spans="1:22" ht="18" customHeight="1" x14ac:dyDescent="0.35">
      <c r="A231" s="10" t="s">
        <v>23</v>
      </c>
      <c r="B231" s="10" t="s">
        <v>3209</v>
      </c>
      <c r="C231" s="11" t="s">
        <v>2977</v>
      </c>
      <c r="D231" s="11" t="s">
        <v>35</v>
      </c>
      <c r="E231" s="12">
        <v>45966.958333333336</v>
      </c>
      <c r="F231" s="10" t="str">
        <f>TEXT(events[[#This Row],[Start Date]],"DDD")</f>
        <v>Wed</v>
      </c>
      <c r="G231" s="10">
        <f>YEAR(events[[#This Row],[Start Date]])</f>
        <v>2025</v>
      </c>
      <c r="H231" s="10" t="str">
        <f>TEXT(events[[#This Row],[Start Date]],"mmm")</f>
        <v>Nov</v>
      </c>
      <c r="I231" s="10" t="str">
        <f>CONCATENATE("WK_",WEEKNUM(events[[#This Row],[Start Date]]))</f>
        <v>WK_45</v>
      </c>
      <c r="J231" s="12">
        <v>45966.958703703705</v>
      </c>
      <c r="K231" s="10">
        <v>47.1</v>
      </c>
      <c r="L231" s="10" t="s">
        <v>36</v>
      </c>
      <c r="M231" s="10" t="s">
        <v>1146</v>
      </c>
      <c r="N231" s="13">
        <f t="shared" si="3"/>
        <v>0.53333333333333333</v>
      </c>
      <c r="O231" s="14" t="s">
        <v>38</v>
      </c>
      <c r="P231" s="14" t="s">
        <v>38</v>
      </c>
      <c r="Q231" s="14"/>
      <c r="R231" s="14"/>
      <c r="S231" s="14" t="s">
        <v>1388</v>
      </c>
      <c r="T231" s="14" t="s">
        <v>1388</v>
      </c>
      <c r="U231" s="15">
        <v>0</v>
      </c>
      <c r="V231" s="10">
        <v>1</v>
      </c>
    </row>
    <row r="232" spans="1:22" ht="18" customHeight="1" x14ac:dyDescent="0.35">
      <c r="A232" s="10" t="s">
        <v>47</v>
      </c>
      <c r="B232" s="10" t="s">
        <v>3252</v>
      </c>
      <c r="C232" s="11" t="s">
        <v>3022</v>
      </c>
      <c r="D232" s="11" t="s">
        <v>24</v>
      </c>
      <c r="E232" s="12">
        <v>45966.712962962964</v>
      </c>
      <c r="F232" s="10" t="str">
        <f>TEXT(events[[#This Row],[Start Date]],"DDD")</f>
        <v>Wed</v>
      </c>
      <c r="G232" s="10">
        <f>YEAR(events[[#This Row],[Start Date]])</f>
        <v>2025</v>
      </c>
      <c r="H232" s="10" t="str">
        <f>TEXT(events[[#This Row],[Start Date]],"mmm")</f>
        <v>Nov</v>
      </c>
      <c r="I232" s="10" t="str">
        <f>CONCATENATE("WK_",WEEKNUM(events[[#This Row],[Start Date]]))</f>
        <v>WK_45</v>
      </c>
      <c r="J232" s="12">
        <v>45966.71303240741</v>
      </c>
      <c r="K232" s="10">
        <v>67</v>
      </c>
      <c r="L232" s="10" t="s">
        <v>25</v>
      </c>
      <c r="M232" s="10" t="s">
        <v>328</v>
      </c>
      <c r="N232" s="13">
        <f t="shared" si="3"/>
        <v>0.1</v>
      </c>
      <c r="O232" s="14" t="s">
        <v>50</v>
      </c>
      <c r="P232" s="14" t="s">
        <v>50</v>
      </c>
      <c r="Q232" s="14"/>
      <c r="R232" s="14"/>
      <c r="S232" s="14" t="s">
        <v>1400</v>
      </c>
      <c r="T232" s="14" t="s">
        <v>1401</v>
      </c>
      <c r="U232" s="15">
        <v>0.109</v>
      </c>
      <c r="V232" s="10">
        <v>1</v>
      </c>
    </row>
    <row r="233" spans="1:22" ht="18" customHeight="1" x14ac:dyDescent="0.35">
      <c r="A233" s="10" t="s">
        <v>47</v>
      </c>
      <c r="B233" s="10" t="s">
        <v>3252</v>
      </c>
      <c r="C233" s="11" t="s">
        <v>3022</v>
      </c>
      <c r="D233" s="11" t="s">
        <v>24</v>
      </c>
      <c r="E233" s="12">
        <v>45966.711168981485</v>
      </c>
      <c r="F233" s="10" t="str">
        <f>TEXT(events[[#This Row],[Start Date]],"DDD")</f>
        <v>Wed</v>
      </c>
      <c r="G233" s="10">
        <f>YEAR(events[[#This Row],[Start Date]])</f>
        <v>2025</v>
      </c>
      <c r="H233" s="10" t="str">
        <f>TEXT(events[[#This Row],[Start Date]],"mmm")</f>
        <v>Nov</v>
      </c>
      <c r="I233" s="10" t="str">
        <f>CONCATENATE("WK_",WEEKNUM(events[[#This Row],[Start Date]]))</f>
        <v>WK_45</v>
      </c>
      <c r="J233" s="12">
        <v>45966.711215277777</v>
      </c>
      <c r="K233" s="10">
        <v>53</v>
      </c>
      <c r="L233" s="10" t="s">
        <v>25</v>
      </c>
      <c r="M233" s="10" t="s">
        <v>275</v>
      </c>
      <c r="N233" s="13">
        <f t="shared" si="3"/>
        <v>6.6666666666666666E-2</v>
      </c>
      <c r="O233" s="14" t="s">
        <v>50</v>
      </c>
      <c r="P233" s="14" t="s">
        <v>50</v>
      </c>
      <c r="Q233" s="14"/>
      <c r="R233" s="14"/>
      <c r="S233" s="14" t="s">
        <v>1398</v>
      </c>
      <c r="T233" s="14" t="s">
        <v>1399</v>
      </c>
      <c r="U233" s="15">
        <v>0.109</v>
      </c>
      <c r="V233" s="10">
        <v>1</v>
      </c>
    </row>
    <row r="234" spans="1:22" ht="18" customHeight="1" x14ac:dyDescent="0.35">
      <c r="A234" s="10" t="s">
        <v>47</v>
      </c>
      <c r="B234" s="10" t="s">
        <v>3252</v>
      </c>
      <c r="C234" s="11" t="s">
        <v>3022</v>
      </c>
      <c r="D234" s="11" t="s">
        <v>24</v>
      </c>
      <c r="E234" s="12">
        <v>45966.704004629632</v>
      </c>
      <c r="F234" s="10" t="str">
        <f>TEXT(events[[#This Row],[Start Date]],"DDD")</f>
        <v>Wed</v>
      </c>
      <c r="G234" s="10">
        <f>YEAR(events[[#This Row],[Start Date]])</f>
        <v>2025</v>
      </c>
      <c r="H234" s="10" t="str">
        <f>TEXT(events[[#This Row],[Start Date]],"mmm")</f>
        <v>Nov</v>
      </c>
      <c r="I234" s="10" t="str">
        <f>CONCATENATE("WK_",WEEKNUM(events[[#This Row],[Start Date]]))</f>
        <v>WK_45</v>
      </c>
      <c r="J234" s="12">
        <v>45966.704062500001</v>
      </c>
      <c r="K234" s="10">
        <v>70</v>
      </c>
      <c r="L234" s="10" t="s">
        <v>25</v>
      </c>
      <c r="M234" s="10" t="s">
        <v>431</v>
      </c>
      <c r="N234" s="13">
        <f t="shared" si="3"/>
        <v>8.3333333333333329E-2</v>
      </c>
      <c r="O234" s="14" t="s">
        <v>50</v>
      </c>
      <c r="P234" s="14" t="s">
        <v>50</v>
      </c>
      <c r="Q234" s="14"/>
      <c r="R234" s="14"/>
      <c r="S234" s="14" t="s">
        <v>1396</v>
      </c>
      <c r="T234" s="14" t="s">
        <v>1397</v>
      </c>
      <c r="U234" s="15">
        <v>9.4E-2</v>
      </c>
      <c r="V234" s="10">
        <v>1</v>
      </c>
    </row>
    <row r="235" spans="1:22" ht="18" customHeight="1" x14ac:dyDescent="0.35">
      <c r="A235" s="10" t="s">
        <v>47</v>
      </c>
      <c r="B235" s="10" t="s">
        <v>3252</v>
      </c>
      <c r="C235" s="11" t="s">
        <v>3022</v>
      </c>
      <c r="D235" s="11" t="s">
        <v>24</v>
      </c>
      <c r="E235" s="12">
        <v>45966.685277777775</v>
      </c>
      <c r="F235" s="10" t="str">
        <f>TEXT(events[[#This Row],[Start Date]],"DDD")</f>
        <v>Wed</v>
      </c>
      <c r="G235" s="10">
        <f>YEAR(events[[#This Row],[Start Date]])</f>
        <v>2025</v>
      </c>
      <c r="H235" s="10" t="str">
        <f>TEXT(events[[#This Row],[Start Date]],"mmm")</f>
        <v>Nov</v>
      </c>
      <c r="I235" s="10" t="str">
        <f>CONCATENATE("WK_",WEEKNUM(events[[#This Row],[Start Date]]))</f>
        <v>WK_45</v>
      </c>
      <c r="J235" s="12">
        <v>45966.685289351852</v>
      </c>
      <c r="K235" s="10">
        <v>49</v>
      </c>
      <c r="L235" s="10" t="s">
        <v>25</v>
      </c>
      <c r="M235" s="10" t="s">
        <v>26</v>
      </c>
      <c r="N235" s="13">
        <f t="shared" si="3"/>
        <v>1.6666666666666666E-2</v>
      </c>
      <c r="O235" s="14" t="s">
        <v>50</v>
      </c>
      <c r="P235" s="14" t="s">
        <v>50</v>
      </c>
      <c r="Q235" s="14"/>
      <c r="R235" s="14"/>
      <c r="S235" s="14" t="s">
        <v>1394</v>
      </c>
      <c r="T235" s="14" t="s">
        <v>1395</v>
      </c>
      <c r="U235" s="15">
        <v>0</v>
      </c>
      <c r="V235" s="10">
        <v>1</v>
      </c>
    </row>
    <row r="236" spans="1:22" ht="18" customHeight="1" x14ac:dyDescent="0.35">
      <c r="A236" s="10" t="s">
        <v>23</v>
      </c>
      <c r="B236" s="10" t="s">
        <v>3202</v>
      </c>
      <c r="C236" s="11" t="s">
        <v>2969</v>
      </c>
      <c r="D236" s="11" t="s">
        <v>35</v>
      </c>
      <c r="E236" s="12">
        <v>45966.164039351854</v>
      </c>
      <c r="F236" s="10" t="str">
        <f>TEXT(events[[#This Row],[Start Date]],"DDD")</f>
        <v>Wed</v>
      </c>
      <c r="G236" s="10">
        <f>YEAR(events[[#This Row],[Start Date]])</f>
        <v>2025</v>
      </c>
      <c r="H236" s="10" t="str">
        <f>TEXT(events[[#This Row],[Start Date]],"mmm")</f>
        <v>Nov</v>
      </c>
      <c r="I236" s="10" t="str">
        <f>CONCATENATE("WK_",WEEKNUM(events[[#This Row],[Start Date]]))</f>
        <v>WK_45</v>
      </c>
      <c r="J236" s="12">
        <v>45966.166643518518</v>
      </c>
      <c r="K236" s="10">
        <v>0.4</v>
      </c>
      <c r="L236" s="10" t="s">
        <v>36</v>
      </c>
      <c r="M236" s="10" t="s">
        <v>1386</v>
      </c>
      <c r="N236" s="13">
        <f t="shared" si="3"/>
        <v>3.75</v>
      </c>
      <c r="O236" s="14" t="s">
        <v>38</v>
      </c>
      <c r="P236" s="14" t="s">
        <v>38</v>
      </c>
      <c r="Q236" s="14"/>
      <c r="R236" s="14"/>
      <c r="S236" s="14" t="s">
        <v>1387</v>
      </c>
      <c r="T236" s="14" t="s">
        <v>1387</v>
      </c>
      <c r="U236" s="15">
        <v>0</v>
      </c>
      <c r="V236" s="10">
        <v>1</v>
      </c>
    </row>
    <row r="237" spans="1:22" ht="18" customHeight="1" x14ac:dyDescent="0.35">
      <c r="A237" s="10" t="s">
        <v>123</v>
      </c>
      <c r="B237" s="10" t="s">
        <v>3194</v>
      </c>
      <c r="C237" s="11" t="s">
        <v>2961</v>
      </c>
      <c r="D237" s="11" t="s">
        <v>74</v>
      </c>
      <c r="E237" s="12">
        <v>45966</v>
      </c>
      <c r="F237" s="10" t="str">
        <f>TEXT(events[[#This Row],[Start Date]],"DDD")</f>
        <v>Wed</v>
      </c>
      <c r="G237" s="10">
        <f>YEAR(events[[#This Row],[Start Date]])</f>
        <v>2025</v>
      </c>
      <c r="H237" s="10" t="str">
        <f>TEXT(events[[#This Row],[Start Date]],"mmm")</f>
        <v>Nov</v>
      </c>
      <c r="I237" s="10" t="str">
        <f>CONCATENATE("WK_",WEEKNUM(events[[#This Row],[Start Date]]))</f>
        <v>WK_45</v>
      </c>
      <c r="J237" s="12">
        <v>45966</v>
      </c>
      <c r="K237" s="10">
        <v>88</v>
      </c>
      <c r="L237" s="10" t="s">
        <v>25</v>
      </c>
      <c r="M237" s="10" t="s">
        <v>1008</v>
      </c>
      <c r="N237" s="13">
        <f t="shared" si="3"/>
        <v>1.1333333333333333</v>
      </c>
      <c r="O237" s="14" t="s">
        <v>138</v>
      </c>
      <c r="P237" s="14" t="s">
        <v>138</v>
      </c>
      <c r="Q237" s="14"/>
      <c r="R237" s="14"/>
      <c r="S237" s="14" t="s">
        <v>1434</v>
      </c>
      <c r="T237" s="14" t="s">
        <v>1434</v>
      </c>
      <c r="U237" s="15">
        <v>1.7</v>
      </c>
      <c r="V237" s="10">
        <v>1</v>
      </c>
    </row>
    <row r="238" spans="1:22" ht="18" customHeight="1" x14ac:dyDescent="0.35">
      <c r="A238" s="10" t="s">
        <v>123</v>
      </c>
      <c r="B238" s="10" t="s">
        <v>3253</v>
      </c>
      <c r="C238" s="11" t="s">
        <v>3023</v>
      </c>
      <c r="D238" s="11" t="s">
        <v>74</v>
      </c>
      <c r="E238" s="12">
        <v>45965</v>
      </c>
      <c r="F238" s="10" t="str">
        <f>TEXT(events[[#This Row],[Start Date]],"DDD")</f>
        <v>Tue</v>
      </c>
      <c r="G238" s="10">
        <f>YEAR(events[[#This Row],[Start Date]])</f>
        <v>2025</v>
      </c>
      <c r="H238" s="10" t="str">
        <f>TEXT(events[[#This Row],[Start Date]],"mmm")</f>
        <v>Nov</v>
      </c>
      <c r="I238" s="10" t="str">
        <f>CONCATENATE("WK_",WEEKNUM(events[[#This Row],[Start Date]]))</f>
        <v>WK_45</v>
      </c>
      <c r="J238" s="12">
        <v>45965</v>
      </c>
      <c r="K238" s="10">
        <v>101</v>
      </c>
      <c r="L238" s="10" t="s">
        <v>25</v>
      </c>
      <c r="M238" s="10" t="s">
        <v>794</v>
      </c>
      <c r="N238" s="13">
        <f t="shared" si="3"/>
        <v>1.9833333333333334</v>
      </c>
      <c r="O238" s="14" t="s">
        <v>1423</v>
      </c>
      <c r="P238" s="14" t="s">
        <v>1423</v>
      </c>
      <c r="Q238" s="14"/>
      <c r="R238" s="14"/>
      <c r="S238" s="14" t="s">
        <v>1424</v>
      </c>
      <c r="T238" s="14" t="s">
        <v>1425</v>
      </c>
      <c r="U238" s="15">
        <v>3</v>
      </c>
      <c r="V238" s="10">
        <v>1</v>
      </c>
    </row>
    <row r="239" spans="1:22" ht="18" customHeight="1" x14ac:dyDescent="0.35">
      <c r="A239" s="10" t="s">
        <v>23</v>
      </c>
      <c r="B239" s="10" t="s">
        <v>3199</v>
      </c>
      <c r="C239" s="11" t="s">
        <v>2966</v>
      </c>
      <c r="D239" s="11" t="s">
        <v>35</v>
      </c>
      <c r="E239" s="12">
        <v>45964.958333333336</v>
      </c>
      <c r="F239" s="10" t="str">
        <f>TEXT(events[[#This Row],[Start Date]],"DDD")</f>
        <v>Mon</v>
      </c>
      <c r="G239" s="10">
        <f>YEAR(events[[#This Row],[Start Date]])</f>
        <v>2025</v>
      </c>
      <c r="H239" s="10" t="str">
        <f>TEXT(events[[#This Row],[Start Date]],"mmm")</f>
        <v>Nov</v>
      </c>
      <c r="I239" s="10" t="str">
        <f>CONCATENATE("WK_",WEEKNUM(events[[#This Row],[Start Date]]))</f>
        <v>WK_45</v>
      </c>
      <c r="J239" s="12">
        <v>45964.974432870367</v>
      </c>
      <c r="K239" s="10">
        <v>92.7</v>
      </c>
      <c r="L239" s="10" t="s">
        <v>36</v>
      </c>
      <c r="M239" s="10" t="s">
        <v>1379</v>
      </c>
      <c r="N239" s="13">
        <f t="shared" si="3"/>
        <v>23.183333333333334</v>
      </c>
      <c r="O239" s="14" t="s">
        <v>231</v>
      </c>
      <c r="P239" s="14" t="s">
        <v>231</v>
      </c>
      <c r="Q239" s="14"/>
      <c r="R239" s="14" t="s">
        <v>1380</v>
      </c>
      <c r="S239" s="14" t="s">
        <v>1381</v>
      </c>
      <c r="T239" s="14" t="s">
        <v>1382</v>
      </c>
      <c r="U239" s="15">
        <v>9.609</v>
      </c>
      <c r="V239" s="10">
        <v>1</v>
      </c>
    </row>
    <row r="240" spans="1:22" ht="18" customHeight="1" x14ac:dyDescent="0.35">
      <c r="A240" s="10" t="s">
        <v>23</v>
      </c>
      <c r="B240" s="10" t="s">
        <v>3254</v>
      </c>
      <c r="C240" s="11" t="s">
        <v>3024</v>
      </c>
      <c r="D240" s="11" t="s">
        <v>35</v>
      </c>
      <c r="E240" s="12">
        <v>45964.958333333336</v>
      </c>
      <c r="F240" s="10" t="str">
        <f>TEXT(events[[#This Row],[Start Date]],"DDD")</f>
        <v>Mon</v>
      </c>
      <c r="G240" s="10">
        <f>YEAR(events[[#This Row],[Start Date]])</f>
        <v>2025</v>
      </c>
      <c r="H240" s="10" t="str">
        <f>TEXT(events[[#This Row],[Start Date]],"mmm")</f>
        <v>Nov</v>
      </c>
      <c r="I240" s="10" t="str">
        <f>CONCATENATE("WK_",WEEKNUM(events[[#This Row],[Start Date]]))</f>
        <v>WK_45</v>
      </c>
      <c r="J240" s="12">
        <v>45964.961886574078</v>
      </c>
      <c r="K240" s="10">
        <v>90.4</v>
      </c>
      <c r="L240" s="10" t="s">
        <v>36</v>
      </c>
      <c r="M240" s="10" t="s">
        <v>1383</v>
      </c>
      <c r="N240" s="13">
        <f t="shared" si="3"/>
        <v>5.1166666666666663</v>
      </c>
      <c r="O240" s="14" t="s">
        <v>231</v>
      </c>
      <c r="P240" s="14" t="s">
        <v>231</v>
      </c>
      <c r="Q240" s="14"/>
      <c r="R240" s="14"/>
      <c r="S240" s="14" t="s">
        <v>1384</v>
      </c>
      <c r="T240" s="14" t="s">
        <v>1385</v>
      </c>
      <c r="U240" s="15">
        <v>0.60199999999999998</v>
      </c>
      <c r="V240" s="10">
        <v>1</v>
      </c>
    </row>
    <row r="241" spans="1:22" ht="18" customHeight="1" x14ac:dyDescent="0.35">
      <c r="A241" s="10" t="s">
        <v>23</v>
      </c>
      <c r="B241" s="10" t="s">
        <v>3196</v>
      </c>
      <c r="C241" s="11" t="s">
        <v>2963</v>
      </c>
      <c r="D241" s="11" t="s">
        <v>24</v>
      </c>
      <c r="E241" s="12">
        <v>45964.886643518519</v>
      </c>
      <c r="F241" s="10" t="str">
        <f>TEXT(events[[#This Row],[Start Date]],"DDD")</f>
        <v>Mon</v>
      </c>
      <c r="G241" s="10">
        <f>YEAR(events[[#This Row],[Start Date]])</f>
        <v>2025</v>
      </c>
      <c r="H241" s="10" t="str">
        <f>TEXT(events[[#This Row],[Start Date]],"mmm")</f>
        <v>Nov</v>
      </c>
      <c r="I241" s="10" t="str">
        <f>CONCATENATE("WK_",WEEKNUM(events[[#This Row],[Start Date]]))</f>
        <v>WK_45</v>
      </c>
      <c r="J241" s="12">
        <v>45964.886655092596</v>
      </c>
      <c r="K241" s="10">
        <v>32</v>
      </c>
      <c r="L241" s="10" t="s">
        <v>25</v>
      </c>
      <c r="M241" s="10" t="s">
        <v>26</v>
      </c>
      <c r="N241" s="13">
        <f t="shared" si="3"/>
        <v>1.6666666666666666E-2</v>
      </c>
      <c r="O241" s="14" t="s">
        <v>142</v>
      </c>
      <c r="P241" s="14" t="s">
        <v>142</v>
      </c>
      <c r="Q241" s="14"/>
      <c r="R241" s="14"/>
      <c r="S241" s="14" t="s">
        <v>1377</v>
      </c>
      <c r="T241" s="14" t="s">
        <v>1378</v>
      </c>
      <c r="U241" s="15">
        <v>0</v>
      </c>
      <c r="V241" s="10">
        <v>1</v>
      </c>
    </row>
    <row r="242" spans="1:22" ht="18" customHeight="1" x14ac:dyDescent="0.35">
      <c r="A242" s="10" t="s">
        <v>86</v>
      </c>
      <c r="B242" s="10" t="s">
        <v>3255</v>
      </c>
      <c r="C242" s="11" t="s">
        <v>3025</v>
      </c>
      <c r="D242" s="11" t="s">
        <v>24</v>
      </c>
      <c r="E242" s="12">
        <v>45964.715821759259</v>
      </c>
      <c r="F242" s="10" t="str">
        <f>TEXT(events[[#This Row],[Start Date]],"DDD")</f>
        <v>Mon</v>
      </c>
      <c r="G242" s="10">
        <f>YEAR(events[[#This Row],[Start Date]])</f>
        <v>2025</v>
      </c>
      <c r="H242" s="10" t="str">
        <f>TEXT(events[[#This Row],[Start Date]],"mmm")</f>
        <v>Nov</v>
      </c>
      <c r="I242" s="10" t="str">
        <f>CONCATENATE("WK_",WEEKNUM(events[[#This Row],[Start Date]]))</f>
        <v>WK_45</v>
      </c>
      <c r="J242" s="12">
        <v>45964.715833333335</v>
      </c>
      <c r="K242" s="10">
        <v>33</v>
      </c>
      <c r="L242" s="10" t="s">
        <v>25</v>
      </c>
      <c r="M242" s="10" t="s">
        <v>26</v>
      </c>
      <c r="N242" s="13">
        <f t="shared" si="3"/>
        <v>1.6666666666666666E-2</v>
      </c>
      <c r="O242" s="14" t="s">
        <v>142</v>
      </c>
      <c r="P242" s="14" t="s">
        <v>142</v>
      </c>
      <c r="Q242" s="14"/>
      <c r="R242" s="14"/>
      <c r="S242" s="14" t="s">
        <v>1416</v>
      </c>
      <c r="T242" s="14" t="s">
        <v>1417</v>
      </c>
      <c r="U242" s="15">
        <v>0</v>
      </c>
      <c r="V242" s="10">
        <v>1</v>
      </c>
    </row>
    <row r="243" spans="1:22" ht="18" customHeight="1" x14ac:dyDescent="0.35">
      <c r="A243" s="10" t="s">
        <v>23</v>
      </c>
      <c r="B243" s="10" t="s">
        <v>3207</v>
      </c>
      <c r="C243" s="11" t="s">
        <v>2975</v>
      </c>
      <c r="D243" s="11" t="s">
        <v>35</v>
      </c>
      <c r="E243" s="12">
        <v>45963.958333333336</v>
      </c>
      <c r="F243" s="10" t="str">
        <f>TEXT(events[[#This Row],[Start Date]],"DDD")</f>
        <v>Sun</v>
      </c>
      <c r="G243" s="10">
        <f>YEAR(events[[#This Row],[Start Date]])</f>
        <v>2025</v>
      </c>
      <c r="H243" s="10" t="str">
        <f>TEXT(events[[#This Row],[Start Date]],"mmm")</f>
        <v>Nov</v>
      </c>
      <c r="I243" s="10" t="str">
        <f>CONCATENATE("WK_",WEEKNUM(events[[#This Row],[Start Date]]))</f>
        <v>WK_45</v>
      </c>
      <c r="J243" s="12">
        <v>45963.960196759261</v>
      </c>
      <c r="K243" s="10">
        <v>107.8</v>
      </c>
      <c r="L243" s="10" t="s">
        <v>36</v>
      </c>
      <c r="M243" s="10" t="s">
        <v>1372</v>
      </c>
      <c r="N243" s="13">
        <f t="shared" si="3"/>
        <v>2.6833333333333336</v>
      </c>
      <c r="O243" s="14" t="s">
        <v>38</v>
      </c>
      <c r="P243" s="14" t="s">
        <v>38</v>
      </c>
      <c r="Q243" s="14"/>
      <c r="R243" s="14"/>
      <c r="S243" s="14" t="s">
        <v>1373</v>
      </c>
      <c r="T243" s="14" t="s">
        <v>1373</v>
      </c>
      <c r="U243" s="15">
        <v>0</v>
      </c>
      <c r="V243" s="10">
        <v>1</v>
      </c>
    </row>
    <row r="244" spans="1:22" ht="18" customHeight="1" x14ac:dyDescent="0.35">
      <c r="A244" s="10" t="s">
        <v>23</v>
      </c>
      <c r="B244" s="10" t="s">
        <v>3202</v>
      </c>
      <c r="C244" s="11" t="s">
        <v>2969</v>
      </c>
      <c r="D244" s="11" t="s">
        <v>35</v>
      </c>
      <c r="E244" s="12">
        <v>45963.958333333336</v>
      </c>
      <c r="F244" s="10" t="str">
        <f>TEXT(events[[#This Row],[Start Date]],"DDD")</f>
        <v>Sun</v>
      </c>
      <c r="G244" s="10">
        <f>YEAR(events[[#This Row],[Start Date]])</f>
        <v>2025</v>
      </c>
      <c r="H244" s="10" t="str">
        <f>TEXT(events[[#This Row],[Start Date]],"mmm")</f>
        <v>Nov</v>
      </c>
      <c r="I244" s="10" t="str">
        <f>CONCATENATE("WK_",WEEKNUM(events[[#This Row],[Start Date]]))</f>
        <v>WK_45</v>
      </c>
      <c r="J244" s="12">
        <v>45963.963113425925</v>
      </c>
      <c r="K244" s="10">
        <v>223.1</v>
      </c>
      <c r="L244" s="10" t="s">
        <v>36</v>
      </c>
      <c r="M244" s="10" t="s">
        <v>1374</v>
      </c>
      <c r="N244" s="13">
        <f t="shared" si="3"/>
        <v>6.8833333333333329</v>
      </c>
      <c r="O244" s="14" t="s">
        <v>38</v>
      </c>
      <c r="P244" s="14" t="s">
        <v>38</v>
      </c>
      <c r="Q244" s="14"/>
      <c r="R244" s="14"/>
      <c r="S244" s="14" t="s">
        <v>1375</v>
      </c>
      <c r="T244" s="14" t="s">
        <v>1376</v>
      </c>
      <c r="U244" s="15">
        <v>0.219</v>
      </c>
      <c r="V244" s="10">
        <v>1</v>
      </c>
    </row>
    <row r="245" spans="1:22" ht="18" customHeight="1" x14ac:dyDescent="0.35">
      <c r="A245" s="10" t="s">
        <v>23</v>
      </c>
      <c r="B245" s="10" t="s">
        <v>3163</v>
      </c>
      <c r="C245" s="11" t="s">
        <v>2929</v>
      </c>
      <c r="D245" s="11" t="s">
        <v>678</v>
      </c>
      <c r="E245" s="12">
        <v>45963.670844907407</v>
      </c>
      <c r="F245" s="10" t="str">
        <f>TEXT(events[[#This Row],[Start Date]],"DDD")</f>
        <v>Sun</v>
      </c>
      <c r="G245" s="10">
        <f>YEAR(events[[#This Row],[Start Date]])</f>
        <v>2025</v>
      </c>
      <c r="H245" s="10" t="str">
        <f>TEXT(events[[#This Row],[Start Date]],"mmm")</f>
        <v>Nov</v>
      </c>
      <c r="I245" s="10" t="str">
        <f>CONCATENATE("WK_",WEEKNUM(events[[#This Row],[Start Date]]))</f>
        <v>WK_45</v>
      </c>
      <c r="J245" s="12">
        <v>45963.670856481483</v>
      </c>
      <c r="K245" s="10">
        <v>15</v>
      </c>
      <c r="L245" s="10" t="s">
        <v>83</v>
      </c>
      <c r="M245" s="10" t="s">
        <v>26</v>
      </c>
      <c r="N245" s="13">
        <f t="shared" si="3"/>
        <v>1.6666666666666666E-2</v>
      </c>
      <c r="O245" s="14" t="s">
        <v>92</v>
      </c>
      <c r="P245" s="14"/>
      <c r="Q245" s="14" t="s">
        <v>1370</v>
      </c>
      <c r="R245" s="14"/>
      <c r="S245" s="14" t="s">
        <v>1371</v>
      </c>
      <c r="T245" s="14"/>
      <c r="U245" s="15">
        <v>0</v>
      </c>
      <c r="V245" s="10">
        <v>1</v>
      </c>
    </row>
    <row r="246" spans="1:22" ht="18" customHeight="1" x14ac:dyDescent="0.35">
      <c r="A246" s="10" t="s">
        <v>86</v>
      </c>
      <c r="B246" s="10" t="s">
        <v>3205</v>
      </c>
      <c r="C246" s="11" t="s">
        <v>2930</v>
      </c>
      <c r="D246" s="11" t="s">
        <v>24</v>
      </c>
      <c r="E246" s="12">
        <v>45963.486759259256</v>
      </c>
      <c r="F246" s="10" t="str">
        <f>TEXT(events[[#This Row],[Start Date]],"DDD")</f>
        <v>Sun</v>
      </c>
      <c r="G246" s="10">
        <f>YEAR(events[[#This Row],[Start Date]])</f>
        <v>2025</v>
      </c>
      <c r="H246" s="10" t="str">
        <f>TEXT(events[[#This Row],[Start Date]],"mmm")</f>
        <v>Nov</v>
      </c>
      <c r="I246" s="10" t="str">
        <f>CONCATENATE("WK_",WEEKNUM(events[[#This Row],[Start Date]]))</f>
        <v>WK_45</v>
      </c>
      <c r="J246" s="12">
        <v>45963.486770833333</v>
      </c>
      <c r="K246" s="10">
        <v>36</v>
      </c>
      <c r="L246" s="10" t="s">
        <v>25</v>
      </c>
      <c r="M246" s="10" t="s">
        <v>26</v>
      </c>
      <c r="N246" s="13">
        <f t="shared" si="3"/>
        <v>1.6666666666666666E-2</v>
      </c>
      <c r="O246" s="14" t="s">
        <v>205</v>
      </c>
      <c r="P246" s="14" t="s">
        <v>205</v>
      </c>
      <c r="Q246" s="14"/>
      <c r="R246" s="14"/>
      <c r="S246" s="14" t="s">
        <v>1414</v>
      </c>
      <c r="T246" s="14" t="s">
        <v>1415</v>
      </c>
      <c r="U246" s="15">
        <v>0</v>
      </c>
      <c r="V246" s="10">
        <v>1</v>
      </c>
    </row>
    <row r="247" spans="1:22" ht="18" customHeight="1" x14ac:dyDescent="0.35">
      <c r="A247" s="10" t="s">
        <v>23</v>
      </c>
      <c r="B247" s="10" t="s">
        <v>3256</v>
      </c>
      <c r="C247" s="11" t="s">
        <v>3026</v>
      </c>
      <c r="D247" s="11" t="s">
        <v>82</v>
      </c>
      <c r="E247" s="12">
        <v>45963.358240740738</v>
      </c>
      <c r="F247" s="10" t="str">
        <f>TEXT(events[[#This Row],[Start Date]],"DDD")</f>
        <v>Sun</v>
      </c>
      <c r="G247" s="10">
        <f>YEAR(events[[#This Row],[Start Date]])</f>
        <v>2025</v>
      </c>
      <c r="H247" s="10" t="str">
        <f>TEXT(events[[#This Row],[Start Date]],"mmm")</f>
        <v>Nov</v>
      </c>
      <c r="I247" s="10" t="str">
        <f>CONCATENATE("WK_",WEEKNUM(events[[#This Row],[Start Date]]))</f>
        <v>WK_45</v>
      </c>
      <c r="J247" s="12">
        <v>45963.358252314814</v>
      </c>
      <c r="K247" s="10">
        <v>27</v>
      </c>
      <c r="L247" s="10" t="s">
        <v>83</v>
      </c>
      <c r="M247" s="10" t="s">
        <v>26</v>
      </c>
      <c r="N247" s="13">
        <f t="shared" si="3"/>
        <v>1.6666666666666666E-2</v>
      </c>
      <c r="O247" s="14" t="s">
        <v>92</v>
      </c>
      <c r="P247" s="14"/>
      <c r="Q247" s="14"/>
      <c r="R247" s="14"/>
      <c r="S247" s="14" t="s">
        <v>1369</v>
      </c>
      <c r="T247" s="14"/>
      <c r="U247" s="15">
        <v>0</v>
      </c>
      <c r="V247" s="10">
        <v>1</v>
      </c>
    </row>
    <row r="248" spans="1:22" ht="18" customHeight="1" x14ac:dyDescent="0.35">
      <c r="A248" s="10" t="s">
        <v>123</v>
      </c>
      <c r="B248" s="10" t="s">
        <v>3253</v>
      </c>
      <c r="C248" s="11" t="s">
        <v>3023</v>
      </c>
      <c r="D248" s="11" t="s">
        <v>74</v>
      </c>
      <c r="E248" s="12">
        <v>45963</v>
      </c>
      <c r="F248" s="10" t="str">
        <f>TEXT(events[[#This Row],[Start Date]],"DDD")</f>
        <v>Sun</v>
      </c>
      <c r="G248" s="10">
        <f>YEAR(events[[#This Row],[Start Date]])</f>
        <v>2025</v>
      </c>
      <c r="H248" s="10" t="str">
        <f>TEXT(events[[#This Row],[Start Date]],"mmm")</f>
        <v>Nov</v>
      </c>
      <c r="I248" s="10" t="str">
        <f>CONCATENATE("WK_",WEEKNUM(events[[#This Row],[Start Date]]))</f>
        <v>WK_45</v>
      </c>
      <c r="J248" s="12">
        <v>45963</v>
      </c>
      <c r="K248" s="10">
        <v>103</v>
      </c>
      <c r="L248" s="10" t="s">
        <v>25</v>
      </c>
      <c r="M248" s="10" t="s">
        <v>538</v>
      </c>
      <c r="N248" s="13">
        <f t="shared" si="3"/>
        <v>0.98333333333333328</v>
      </c>
      <c r="O248" s="14" t="s">
        <v>378</v>
      </c>
      <c r="P248" s="14" t="s">
        <v>378</v>
      </c>
      <c r="Q248" s="14"/>
      <c r="R248" s="14"/>
      <c r="S248" s="14" t="s">
        <v>1418</v>
      </c>
      <c r="T248" s="14" t="s">
        <v>1419</v>
      </c>
      <c r="U248" s="15">
        <v>1.5</v>
      </c>
      <c r="V248" s="10">
        <v>1</v>
      </c>
    </row>
    <row r="249" spans="1:22" ht="18" customHeight="1" x14ac:dyDescent="0.35">
      <c r="A249" s="10" t="s">
        <v>47</v>
      </c>
      <c r="B249" s="10" t="s">
        <v>3216</v>
      </c>
      <c r="C249" s="11" t="s">
        <v>3027</v>
      </c>
      <c r="D249" s="11" t="s">
        <v>24</v>
      </c>
      <c r="E249" s="12">
        <v>45962.670046296298</v>
      </c>
      <c r="F249" s="10" t="str">
        <f>TEXT(events[[#This Row],[Start Date]],"DDD")</f>
        <v>Sat</v>
      </c>
      <c r="G249" s="10">
        <f>YEAR(events[[#This Row],[Start Date]])</f>
        <v>2025</v>
      </c>
      <c r="H249" s="10" t="str">
        <f>TEXT(events[[#This Row],[Start Date]],"mmm")</f>
        <v>Nov</v>
      </c>
      <c r="I249" s="10" t="str">
        <f>CONCATENATE("WK_",WEEKNUM(events[[#This Row],[Start Date]]))</f>
        <v>WK_44</v>
      </c>
      <c r="J249" s="12">
        <v>45962.670092592591</v>
      </c>
      <c r="K249" s="10">
        <v>53</v>
      </c>
      <c r="L249" s="10" t="s">
        <v>25</v>
      </c>
      <c r="M249" s="10" t="s">
        <v>275</v>
      </c>
      <c r="N249" s="13">
        <f t="shared" si="3"/>
        <v>6.6666666666666666E-2</v>
      </c>
      <c r="O249" s="14" t="s">
        <v>92</v>
      </c>
      <c r="P249" s="14" t="s">
        <v>92</v>
      </c>
      <c r="Q249" s="14"/>
      <c r="R249" s="14"/>
      <c r="S249" s="14" t="s">
        <v>1392</v>
      </c>
      <c r="T249" s="14" t="s">
        <v>1393</v>
      </c>
      <c r="U249" s="15">
        <v>0</v>
      </c>
      <c r="V249" s="10">
        <v>1</v>
      </c>
    </row>
    <row r="250" spans="1:22" ht="18" customHeight="1" x14ac:dyDescent="0.35">
      <c r="A250" s="10" t="s">
        <v>123</v>
      </c>
      <c r="B250" s="10" t="s">
        <v>3257</v>
      </c>
      <c r="C250" s="11" t="s">
        <v>3028</v>
      </c>
      <c r="D250" s="11" t="s">
        <v>74</v>
      </c>
      <c r="E250" s="12">
        <v>45962</v>
      </c>
      <c r="F250" s="10" t="str">
        <f>TEXT(events[[#This Row],[Start Date]],"DDD")</f>
        <v>Sat</v>
      </c>
      <c r="G250" s="10">
        <f>YEAR(events[[#This Row],[Start Date]])</f>
        <v>2025</v>
      </c>
      <c r="H250" s="10" t="str">
        <f>TEXT(events[[#This Row],[Start Date]],"mmm")</f>
        <v>Nov</v>
      </c>
      <c r="I250" s="10" t="str">
        <f>CONCATENATE("WK_",WEEKNUM(events[[#This Row],[Start Date]]))</f>
        <v>WK_44</v>
      </c>
      <c r="J250" s="12">
        <v>45962</v>
      </c>
      <c r="K250" s="10">
        <v>88</v>
      </c>
      <c r="L250" s="10" t="s">
        <v>25</v>
      </c>
      <c r="M250" s="10" t="s">
        <v>441</v>
      </c>
      <c r="N250" s="13">
        <f t="shared" si="3"/>
        <v>1.3166666666666667</v>
      </c>
      <c r="O250" s="14" t="s">
        <v>138</v>
      </c>
      <c r="P250" s="14" t="s">
        <v>138</v>
      </c>
      <c r="Q250" s="14"/>
      <c r="R250" s="14"/>
      <c r="S250" s="14" t="s">
        <v>1426</v>
      </c>
      <c r="T250" s="14" t="s">
        <v>1427</v>
      </c>
      <c r="U250" s="15">
        <v>1.9</v>
      </c>
      <c r="V250" s="10">
        <v>1</v>
      </c>
    </row>
    <row r="251" spans="1:22" ht="18" customHeight="1" x14ac:dyDescent="0.35">
      <c r="A251" s="10" t="s">
        <v>123</v>
      </c>
      <c r="B251" s="10" t="s">
        <v>3258</v>
      </c>
      <c r="C251" s="11" t="s">
        <v>3029</v>
      </c>
      <c r="D251" s="11" t="s">
        <v>74</v>
      </c>
      <c r="E251" s="12">
        <v>45962</v>
      </c>
      <c r="F251" s="10" t="str">
        <f>TEXT(events[[#This Row],[Start Date]],"DDD")</f>
        <v>Sat</v>
      </c>
      <c r="G251" s="10">
        <f>YEAR(events[[#This Row],[Start Date]])</f>
        <v>2025</v>
      </c>
      <c r="H251" s="10" t="str">
        <f>TEXT(events[[#This Row],[Start Date]],"mmm")</f>
        <v>Nov</v>
      </c>
      <c r="I251" s="10" t="str">
        <f>CONCATENATE("WK_",WEEKNUM(events[[#This Row],[Start Date]]))</f>
        <v>WK_44</v>
      </c>
      <c r="J251" s="12">
        <v>45962</v>
      </c>
      <c r="K251" s="10">
        <v>88</v>
      </c>
      <c r="L251" s="10" t="s">
        <v>25</v>
      </c>
      <c r="M251" s="10" t="s">
        <v>394</v>
      </c>
      <c r="N251" s="13">
        <f t="shared" si="3"/>
        <v>0.25</v>
      </c>
      <c r="O251" s="14" t="s">
        <v>1428</v>
      </c>
      <c r="P251" s="14" t="s">
        <v>1428</v>
      </c>
      <c r="Q251" s="14"/>
      <c r="R251" s="14"/>
      <c r="S251" s="14" t="s">
        <v>1429</v>
      </c>
      <c r="T251" s="14" t="s">
        <v>1430</v>
      </c>
      <c r="U251" s="15">
        <v>0.5</v>
      </c>
      <c r="V251" s="10">
        <v>1</v>
      </c>
    </row>
    <row r="252" spans="1:22" ht="18" customHeight="1" x14ac:dyDescent="0.35">
      <c r="A252" s="10" t="s">
        <v>23</v>
      </c>
      <c r="B252" s="10" t="s">
        <v>3163</v>
      </c>
      <c r="C252" s="11" t="s">
        <v>2929</v>
      </c>
      <c r="D252" s="11" t="s">
        <v>678</v>
      </c>
      <c r="E252" s="12">
        <v>45961.696006944447</v>
      </c>
      <c r="F252" s="10" t="str">
        <f>TEXT(events[[#This Row],[Start Date]],"DDD")</f>
        <v>Fri</v>
      </c>
      <c r="G252" s="10">
        <f>YEAR(events[[#This Row],[Start Date]])</f>
        <v>2025</v>
      </c>
      <c r="H252" s="10" t="str">
        <f>TEXT(events[[#This Row],[Start Date]],"mmm")</f>
        <v>Oct</v>
      </c>
      <c r="I252" s="10" t="str">
        <f>CONCATENATE("WK_",WEEKNUM(events[[#This Row],[Start Date]]))</f>
        <v>WK_44</v>
      </c>
      <c r="J252" s="12">
        <v>45961.696018518516</v>
      </c>
      <c r="K252" s="10">
        <v>14</v>
      </c>
      <c r="L252" s="10" t="s">
        <v>83</v>
      </c>
      <c r="M252" s="10" t="s">
        <v>26</v>
      </c>
      <c r="N252" s="13">
        <f t="shared" si="3"/>
        <v>1.6666666666666666E-2</v>
      </c>
      <c r="O252" s="14" t="s">
        <v>458</v>
      </c>
      <c r="P252" s="14"/>
      <c r="Q252" s="14" t="s">
        <v>1367</v>
      </c>
      <c r="R252" s="14"/>
      <c r="S252" s="14" t="s">
        <v>1368</v>
      </c>
      <c r="T252" s="14"/>
      <c r="U252" s="15">
        <v>0</v>
      </c>
      <c r="V252" s="10">
        <v>1</v>
      </c>
    </row>
    <row r="253" spans="1:22" ht="18" customHeight="1" x14ac:dyDescent="0.35">
      <c r="A253" s="10" t="s">
        <v>47</v>
      </c>
      <c r="B253" s="10" t="s">
        <v>3259</v>
      </c>
      <c r="C253" s="11" t="s">
        <v>3030</v>
      </c>
      <c r="D253" s="11" t="s">
        <v>74</v>
      </c>
      <c r="E253" s="12">
        <v>45961.653981481482</v>
      </c>
      <c r="F253" s="10" t="str">
        <f>TEXT(events[[#This Row],[Start Date]],"DDD")</f>
        <v>Fri</v>
      </c>
      <c r="G253" s="10">
        <f>YEAR(events[[#This Row],[Start Date]])</f>
        <v>2025</v>
      </c>
      <c r="H253" s="10" t="str">
        <f>TEXT(events[[#This Row],[Start Date]],"mmm")</f>
        <v>Oct</v>
      </c>
      <c r="I253" s="10" t="str">
        <f>CONCATENATE("WK_",WEEKNUM(events[[#This Row],[Start Date]]))</f>
        <v>WK_44</v>
      </c>
      <c r="J253" s="12">
        <v>45961.654016203705</v>
      </c>
      <c r="K253" s="10">
        <v>84</v>
      </c>
      <c r="L253" s="10" t="s">
        <v>25</v>
      </c>
      <c r="M253" s="10" t="s">
        <v>75</v>
      </c>
      <c r="N253" s="13">
        <f t="shared" si="3"/>
        <v>0.05</v>
      </c>
      <c r="O253" s="14" t="s">
        <v>138</v>
      </c>
      <c r="P253" s="14" t="s">
        <v>138</v>
      </c>
      <c r="Q253" s="14"/>
      <c r="R253" s="14"/>
      <c r="S253" s="14" t="s">
        <v>1390</v>
      </c>
      <c r="T253" s="14" t="s">
        <v>1391</v>
      </c>
      <c r="U253" s="15">
        <v>0.1</v>
      </c>
      <c r="V253" s="10">
        <v>1</v>
      </c>
    </row>
    <row r="254" spans="1:22" ht="18" customHeight="1" x14ac:dyDescent="0.35">
      <c r="A254" s="10" t="s">
        <v>47</v>
      </c>
      <c r="B254" s="10" t="s">
        <v>3190</v>
      </c>
      <c r="C254" s="11" t="s">
        <v>2957</v>
      </c>
      <c r="D254" s="11" t="s">
        <v>678</v>
      </c>
      <c r="E254" s="12">
        <v>45961.592789351853</v>
      </c>
      <c r="F254" s="10" t="str">
        <f>TEXT(events[[#This Row],[Start Date]],"DDD")</f>
        <v>Fri</v>
      </c>
      <c r="G254" s="10">
        <f>YEAR(events[[#This Row],[Start Date]])</f>
        <v>2025</v>
      </c>
      <c r="H254" s="10" t="str">
        <f>TEXT(events[[#This Row],[Start Date]],"mmm")</f>
        <v>Oct</v>
      </c>
      <c r="I254" s="10" t="str">
        <f>CONCATENATE("WK_",WEEKNUM(events[[#This Row],[Start Date]]))</f>
        <v>WK_44</v>
      </c>
      <c r="J254" s="12">
        <v>45961.592789351853</v>
      </c>
      <c r="K254" s="10">
        <v>12</v>
      </c>
      <c r="L254" s="10" t="s">
        <v>83</v>
      </c>
      <c r="M254" s="10" t="s">
        <v>87</v>
      </c>
      <c r="N254" s="13">
        <f t="shared" si="3"/>
        <v>0</v>
      </c>
      <c r="O254" s="14" t="s">
        <v>50</v>
      </c>
      <c r="P254" s="14" t="s">
        <v>50</v>
      </c>
      <c r="Q254" s="14"/>
      <c r="R254" s="14"/>
      <c r="S254" s="14" t="s">
        <v>1389</v>
      </c>
      <c r="T254" s="14" t="s">
        <v>1389</v>
      </c>
      <c r="U254" s="15">
        <v>0</v>
      </c>
      <c r="V254" s="10">
        <v>1</v>
      </c>
    </row>
    <row r="255" spans="1:22" ht="18" customHeight="1" x14ac:dyDescent="0.35">
      <c r="A255" s="10" t="s">
        <v>123</v>
      </c>
      <c r="B255" s="10" t="s">
        <v>3260</v>
      </c>
      <c r="C255" s="11" t="s">
        <v>3031</v>
      </c>
      <c r="D255" s="11" t="s">
        <v>74</v>
      </c>
      <c r="E255" s="12">
        <v>45961</v>
      </c>
      <c r="F255" s="10" t="str">
        <f>TEXT(events[[#This Row],[Start Date]],"DDD")</f>
        <v>Fri</v>
      </c>
      <c r="G255" s="10">
        <f>YEAR(events[[#This Row],[Start Date]])</f>
        <v>2025</v>
      </c>
      <c r="H255" s="10" t="str">
        <f>TEXT(events[[#This Row],[Start Date]],"mmm")</f>
        <v>Oct</v>
      </c>
      <c r="I255" s="10" t="str">
        <f>CONCATENATE("WK_",WEEKNUM(events[[#This Row],[Start Date]]))</f>
        <v>WK_44</v>
      </c>
      <c r="J255" s="12">
        <v>45961</v>
      </c>
      <c r="K255" s="10">
        <v>118</v>
      </c>
      <c r="L255" s="10" t="s">
        <v>25</v>
      </c>
      <c r="M255" s="10" t="s">
        <v>1431</v>
      </c>
      <c r="N255" s="13">
        <f t="shared" si="3"/>
        <v>3.5</v>
      </c>
      <c r="O255" s="14" t="s">
        <v>378</v>
      </c>
      <c r="P255" s="14" t="s">
        <v>378</v>
      </c>
      <c r="Q255" s="14"/>
      <c r="R255" s="14"/>
      <c r="S255" s="14" t="s">
        <v>1432</v>
      </c>
      <c r="T255" s="14" t="s">
        <v>1433</v>
      </c>
      <c r="U255" s="15">
        <v>6.2</v>
      </c>
      <c r="V255" s="10">
        <v>1</v>
      </c>
    </row>
    <row r="256" spans="1:22" ht="18" customHeight="1" x14ac:dyDescent="0.35">
      <c r="A256" s="10" t="s">
        <v>86</v>
      </c>
      <c r="B256" s="10" t="s">
        <v>3246</v>
      </c>
      <c r="C256" s="11" t="s">
        <v>3032</v>
      </c>
      <c r="D256" s="11" t="s">
        <v>24</v>
      </c>
      <c r="E256" s="12">
        <v>45960.868368055555</v>
      </c>
      <c r="F256" s="10" t="str">
        <f>TEXT(events[[#This Row],[Start Date]],"DDD")</f>
        <v>Thu</v>
      </c>
      <c r="G256" s="10">
        <f>YEAR(events[[#This Row],[Start Date]])</f>
        <v>2025</v>
      </c>
      <c r="H256" s="10" t="str">
        <f>TEXT(events[[#This Row],[Start Date]],"mmm")</f>
        <v>Oct</v>
      </c>
      <c r="I256" s="10" t="str">
        <f>CONCATENATE("WK_",WEEKNUM(events[[#This Row],[Start Date]]))</f>
        <v>WK_44</v>
      </c>
      <c r="J256" s="12">
        <v>45960.868402777778</v>
      </c>
      <c r="K256" s="10">
        <v>34</v>
      </c>
      <c r="L256" s="10" t="s">
        <v>25</v>
      </c>
      <c r="M256" s="10" t="s">
        <v>75</v>
      </c>
      <c r="N256" s="13">
        <f t="shared" si="3"/>
        <v>0.05</v>
      </c>
      <c r="O256" s="14" t="s">
        <v>38</v>
      </c>
      <c r="P256" s="14" t="s">
        <v>38</v>
      </c>
      <c r="Q256" s="14"/>
      <c r="R256" s="14"/>
      <c r="S256" s="14" t="s">
        <v>1412</v>
      </c>
      <c r="T256" s="14" t="s">
        <v>1413</v>
      </c>
      <c r="U256" s="15">
        <v>0.125</v>
      </c>
      <c r="V256" s="10">
        <v>1</v>
      </c>
    </row>
    <row r="257" spans="1:22" ht="18" customHeight="1" x14ac:dyDescent="0.35">
      <c r="A257" s="10" t="s">
        <v>86</v>
      </c>
      <c r="B257" s="10" t="s">
        <v>3183</v>
      </c>
      <c r="C257" s="11" t="s">
        <v>3033</v>
      </c>
      <c r="D257" s="11" t="s">
        <v>74</v>
      </c>
      <c r="E257" s="12">
        <v>45960.665069444447</v>
      </c>
      <c r="F257" s="10" t="str">
        <f>TEXT(events[[#This Row],[Start Date]],"DDD")</f>
        <v>Thu</v>
      </c>
      <c r="G257" s="10">
        <f>YEAR(events[[#This Row],[Start Date]])</f>
        <v>2025</v>
      </c>
      <c r="H257" s="10" t="str">
        <f>TEXT(events[[#This Row],[Start Date]],"mmm")</f>
        <v>Oct</v>
      </c>
      <c r="I257" s="10" t="str">
        <f>CONCATENATE("WK_",WEEKNUM(events[[#This Row],[Start Date]]))</f>
        <v>WK_44</v>
      </c>
      <c r="J257" s="12">
        <v>45960.665069444447</v>
      </c>
      <c r="K257" s="10">
        <v>4.3</v>
      </c>
      <c r="L257" s="10" t="s">
        <v>25</v>
      </c>
      <c r="M257" s="10" t="s">
        <v>87</v>
      </c>
      <c r="N257" s="13">
        <f t="shared" si="3"/>
        <v>0</v>
      </c>
      <c r="O257" s="14" t="s">
        <v>27</v>
      </c>
      <c r="P257" s="14" t="s">
        <v>27</v>
      </c>
      <c r="Q257" s="14"/>
      <c r="R257" s="14"/>
      <c r="S257" s="14" t="s">
        <v>1411</v>
      </c>
      <c r="T257" s="14" t="s">
        <v>1411</v>
      </c>
      <c r="U257" s="15">
        <v>0</v>
      </c>
      <c r="V257" s="10">
        <v>1</v>
      </c>
    </row>
    <row r="258" spans="1:22" ht="18" customHeight="1" x14ac:dyDescent="0.35">
      <c r="A258" s="10" t="s">
        <v>86</v>
      </c>
      <c r="B258" s="10" t="s">
        <v>3183</v>
      </c>
      <c r="C258" s="11" t="s">
        <v>3033</v>
      </c>
      <c r="D258" s="11" t="s">
        <v>74</v>
      </c>
      <c r="E258" s="12">
        <v>45960.664004629631</v>
      </c>
      <c r="F258" s="10" t="str">
        <f>TEXT(events[[#This Row],[Start Date]],"DDD")</f>
        <v>Thu</v>
      </c>
      <c r="G258" s="10">
        <f>YEAR(events[[#This Row],[Start Date]])</f>
        <v>2025</v>
      </c>
      <c r="H258" s="10" t="str">
        <f>TEXT(events[[#This Row],[Start Date]],"mmm")</f>
        <v>Oct</v>
      </c>
      <c r="I258" s="10" t="str">
        <f>CONCATENATE("WK_",WEEKNUM(events[[#This Row],[Start Date]]))</f>
        <v>WK_44</v>
      </c>
      <c r="J258" s="12">
        <v>45960.664317129631</v>
      </c>
      <c r="K258" s="10">
        <v>86</v>
      </c>
      <c r="L258" s="10" t="s">
        <v>25</v>
      </c>
      <c r="M258" s="10" t="s">
        <v>1353</v>
      </c>
      <c r="N258" s="13">
        <f t="shared" ref="N258:N321" si="4">HOUR(M258)*60+MINUTE(M258)+SECOND(M258)/60</f>
        <v>0.45</v>
      </c>
      <c r="O258" s="14" t="s">
        <v>27</v>
      </c>
      <c r="P258" s="14" t="s">
        <v>27</v>
      </c>
      <c r="Q258" s="14"/>
      <c r="R258" s="14"/>
      <c r="S258" s="14" t="s">
        <v>1409</v>
      </c>
      <c r="T258" s="14" t="s">
        <v>1410</v>
      </c>
      <c r="U258" s="15">
        <v>0.56200000000000006</v>
      </c>
      <c r="V258" s="10">
        <v>1</v>
      </c>
    </row>
    <row r="259" spans="1:22" ht="18" customHeight="1" x14ac:dyDescent="0.35">
      <c r="A259" s="10" t="s">
        <v>86</v>
      </c>
      <c r="B259" s="10" t="s">
        <v>3183</v>
      </c>
      <c r="C259" s="11" t="s">
        <v>3033</v>
      </c>
      <c r="D259" s="11" t="s">
        <v>74</v>
      </c>
      <c r="E259" s="12">
        <v>45960.662881944445</v>
      </c>
      <c r="F259" s="10" t="str">
        <f>TEXT(events[[#This Row],[Start Date]],"DDD")</f>
        <v>Thu</v>
      </c>
      <c r="G259" s="10">
        <f>YEAR(events[[#This Row],[Start Date]])</f>
        <v>2025</v>
      </c>
      <c r="H259" s="10" t="str">
        <f>TEXT(events[[#This Row],[Start Date]],"mmm")</f>
        <v>Oct</v>
      </c>
      <c r="I259" s="10" t="str">
        <f>CONCATENATE("WK_",WEEKNUM(events[[#This Row],[Start Date]]))</f>
        <v>WK_44</v>
      </c>
      <c r="J259" s="12">
        <v>45960.662986111114</v>
      </c>
      <c r="K259" s="10">
        <v>87</v>
      </c>
      <c r="L259" s="10" t="s">
        <v>25</v>
      </c>
      <c r="M259" s="10" t="s">
        <v>414</v>
      </c>
      <c r="N259" s="13">
        <f t="shared" si="4"/>
        <v>0.15</v>
      </c>
      <c r="O259" s="14" t="s">
        <v>27</v>
      </c>
      <c r="P259" s="14" t="s">
        <v>27</v>
      </c>
      <c r="Q259" s="14"/>
      <c r="R259" s="14"/>
      <c r="S259" s="14" t="s">
        <v>1407</v>
      </c>
      <c r="T259" s="14" t="s">
        <v>1408</v>
      </c>
      <c r="U259" s="15">
        <v>0.188</v>
      </c>
      <c r="V259" s="10">
        <v>1</v>
      </c>
    </row>
    <row r="260" spans="1:22" ht="18" customHeight="1" x14ac:dyDescent="0.35">
      <c r="A260" s="10" t="s">
        <v>86</v>
      </c>
      <c r="B260" s="10" t="s">
        <v>3183</v>
      </c>
      <c r="C260" s="11" t="s">
        <v>3033</v>
      </c>
      <c r="D260" s="11" t="s">
        <v>74</v>
      </c>
      <c r="E260" s="12">
        <v>45960.662523148145</v>
      </c>
      <c r="F260" s="10" t="str">
        <f>TEXT(events[[#This Row],[Start Date]],"DDD")</f>
        <v>Thu</v>
      </c>
      <c r="G260" s="10">
        <f>YEAR(events[[#This Row],[Start Date]])</f>
        <v>2025</v>
      </c>
      <c r="H260" s="10" t="str">
        <f>TEXT(events[[#This Row],[Start Date]],"mmm")</f>
        <v>Oct</v>
      </c>
      <c r="I260" s="10" t="str">
        <f>CONCATENATE("WK_",WEEKNUM(events[[#This Row],[Start Date]]))</f>
        <v>WK_44</v>
      </c>
      <c r="J260" s="12">
        <v>45960.662523148145</v>
      </c>
      <c r="K260" s="10">
        <v>81</v>
      </c>
      <c r="L260" s="10" t="s">
        <v>25</v>
      </c>
      <c r="M260" s="10" t="s">
        <v>87</v>
      </c>
      <c r="N260" s="13">
        <f t="shared" si="4"/>
        <v>0</v>
      </c>
      <c r="O260" s="14" t="s">
        <v>27</v>
      </c>
      <c r="P260" s="14" t="s">
        <v>27</v>
      </c>
      <c r="Q260" s="14"/>
      <c r="R260" s="14"/>
      <c r="S260" s="14" t="s">
        <v>1406</v>
      </c>
      <c r="T260" s="14" t="s">
        <v>1406</v>
      </c>
      <c r="U260" s="15">
        <v>0</v>
      </c>
      <c r="V260" s="10">
        <v>1</v>
      </c>
    </row>
    <row r="261" spans="1:22" ht="18" customHeight="1" x14ac:dyDescent="0.35">
      <c r="A261" s="10" t="s">
        <v>86</v>
      </c>
      <c r="B261" s="10" t="s">
        <v>3183</v>
      </c>
      <c r="C261" s="11" t="s">
        <v>3033</v>
      </c>
      <c r="D261" s="11" t="s">
        <v>74</v>
      </c>
      <c r="E261" s="12">
        <v>45960.654664351852</v>
      </c>
      <c r="F261" s="10" t="str">
        <f>TEXT(events[[#This Row],[Start Date]],"DDD")</f>
        <v>Thu</v>
      </c>
      <c r="G261" s="10">
        <f>YEAR(events[[#This Row],[Start Date]])</f>
        <v>2025</v>
      </c>
      <c r="H261" s="10" t="str">
        <f>TEXT(events[[#This Row],[Start Date]],"mmm")</f>
        <v>Oct</v>
      </c>
      <c r="I261" s="10" t="str">
        <f>CONCATENATE("WK_",WEEKNUM(events[[#This Row],[Start Date]]))</f>
        <v>WK_44</v>
      </c>
      <c r="J261" s="12">
        <v>45960.654710648145</v>
      </c>
      <c r="K261" s="10">
        <v>82</v>
      </c>
      <c r="L261" s="10" t="s">
        <v>25</v>
      </c>
      <c r="M261" s="10" t="s">
        <v>275</v>
      </c>
      <c r="N261" s="13">
        <f t="shared" si="4"/>
        <v>6.6666666666666666E-2</v>
      </c>
      <c r="O261" s="14" t="s">
        <v>27</v>
      </c>
      <c r="P261" s="14" t="s">
        <v>27</v>
      </c>
      <c r="Q261" s="14"/>
      <c r="R261" s="14"/>
      <c r="S261" s="14" t="s">
        <v>1404</v>
      </c>
      <c r="T261" s="14" t="s">
        <v>1405</v>
      </c>
      <c r="U261" s="15">
        <v>6.2E-2</v>
      </c>
      <c r="V261" s="10">
        <v>1</v>
      </c>
    </row>
    <row r="262" spans="1:22" ht="18" customHeight="1" x14ac:dyDescent="0.35">
      <c r="A262" s="10" t="s">
        <v>86</v>
      </c>
      <c r="B262" s="10" t="s">
        <v>3183</v>
      </c>
      <c r="C262" s="11" t="s">
        <v>3033</v>
      </c>
      <c r="D262" s="11" t="s">
        <v>74</v>
      </c>
      <c r="E262" s="12">
        <v>45960.623194444444</v>
      </c>
      <c r="F262" s="10" t="str">
        <f>TEXT(events[[#This Row],[Start Date]],"DDD")</f>
        <v>Thu</v>
      </c>
      <c r="G262" s="10">
        <f>YEAR(events[[#This Row],[Start Date]])</f>
        <v>2025</v>
      </c>
      <c r="H262" s="10" t="str">
        <f>TEXT(events[[#This Row],[Start Date]],"mmm")</f>
        <v>Oct</v>
      </c>
      <c r="I262" s="10" t="str">
        <f>CONCATENATE("WK_",WEEKNUM(events[[#This Row],[Start Date]]))</f>
        <v>WK_44</v>
      </c>
      <c r="J262" s="12">
        <v>45960.623287037037</v>
      </c>
      <c r="K262" s="10">
        <v>90</v>
      </c>
      <c r="L262" s="10" t="s">
        <v>25</v>
      </c>
      <c r="M262" s="10" t="s">
        <v>357</v>
      </c>
      <c r="N262" s="13">
        <f t="shared" si="4"/>
        <v>0.13333333333333333</v>
      </c>
      <c r="O262" s="14" t="s">
        <v>92</v>
      </c>
      <c r="P262" s="14" t="s">
        <v>92</v>
      </c>
      <c r="Q262" s="14"/>
      <c r="R262" s="14"/>
      <c r="S262" s="14" t="s">
        <v>1402</v>
      </c>
      <c r="T262" s="14" t="s">
        <v>1403</v>
      </c>
      <c r="U262" s="15">
        <v>0.188</v>
      </c>
      <c r="V262" s="10">
        <v>1</v>
      </c>
    </row>
    <row r="263" spans="1:22" ht="18" customHeight="1" x14ac:dyDescent="0.35">
      <c r="A263" s="10" t="s">
        <v>123</v>
      </c>
      <c r="B263" s="10" t="s">
        <v>3257</v>
      </c>
      <c r="C263" s="11" t="s">
        <v>3028</v>
      </c>
      <c r="D263" s="11" t="s">
        <v>74</v>
      </c>
      <c r="E263" s="12">
        <v>45960</v>
      </c>
      <c r="F263" s="10" t="str">
        <f>TEXT(events[[#This Row],[Start Date]],"DDD")</f>
        <v>Thu</v>
      </c>
      <c r="G263" s="10">
        <f>YEAR(events[[#This Row],[Start Date]])</f>
        <v>2025</v>
      </c>
      <c r="H263" s="10" t="str">
        <f>TEXT(events[[#This Row],[Start Date]],"mmm")</f>
        <v>Oct</v>
      </c>
      <c r="I263" s="10" t="str">
        <f>CONCATENATE("WK_",WEEKNUM(events[[#This Row],[Start Date]]))</f>
        <v>WK_44</v>
      </c>
      <c r="J263" s="12">
        <v>45960</v>
      </c>
      <c r="K263" s="10">
        <v>93</v>
      </c>
      <c r="L263" s="10" t="s">
        <v>25</v>
      </c>
      <c r="M263" s="10" t="s">
        <v>177</v>
      </c>
      <c r="N263" s="13">
        <f t="shared" si="4"/>
        <v>1</v>
      </c>
      <c r="O263" s="14" t="s">
        <v>1420</v>
      </c>
      <c r="P263" s="14" t="s">
        <v>1420</v>
      </c>
      <c r="Q263" s="14"/>
      <c r="R263" s="14"/>
      <c r="S263" s="14" t="s">
        <v>1421</v>
      </c>
      <c r="T263" s="14" t="s">
        <v>1422</v>
      </c>
      <c r="U263" s="15">
        <v>1.5</v>
      </c>
      <c r="V263" s="10">
        <v>1</v>
      </c>
    </row>
    <row r="264" spans="1:22" ht="18" customHeight="1" x14ac:dyDescent="0.35">
      <c r="A264" s="10" t="s">
        <v>86</v>
      </c>
      <c r="B264" s="10" t="s">
        <v>3205</v>
      </c>
      <c r="C264" s="11" t="s">
        <v>2973</v>
      </c>
      <c r="D264" s="11" t="s">
        <v>24</v>
      </c>
      <c r="E264" s="12">
        <v>45959.736828703702</v>
      </c>
      <c r="F264" s="10" t="str">
        <f>TEXT(events[[#This Row],[Start Date]],"DDD")</f>
        <v>Wed</v>
      </c>
      <c r="G264" s="10">
        <f>YEAR(events[[#This Row],[Start Date]])</f>
        <v>2025</v>
      </c>
      <c r="H264" s="10" t="str">
        <f>TEXT(events[[#This Row],[Start Date]],"mmm")</f>
        <v>Oct</v>
      </c>
      <c r="I264" s="10" t="str">
        <f>CONCATENATE("WK_",WEEKNUM(events[[#This Row],[Start Date]]))</f>
        <v>WK_44</v>
      </c>
      <c r="J264" s="12">
        <v>45959.736875000002</v>
      </c>
      <c r="K264" s="10">
        <v>38</v>
      </c>
      <c r="L264" s="10" t="s">
        <v>25</v>
      </c>
      <c r="M264" s="10" t="s">
        <v>275</v>
      </c>
      <c r="N264" s="13">
        <f t="shared" si="4"/>
        <v>6.6666666666666666E-2</v>
      </c>
      <c r="O264" s="14" t="s">
        <v>50</v>
      </c>
      <c r="P264" s="14" t="s">
        <v>50</v>
      </c>
      <c r="Q264" s="14"/>
      <c r="R264" s="14"/>
      <c r="S264" s="14" t="s">
        <v>1475</v>
      </c>
      <c r="T264" s="14" t="s">
        <v>1476</v>
      </c>
      <c r="U264" s="15">
        <v>0</v>
      </c>
      <c r="V264" s="10">
        <v>1</v>
      </c>
    </row>
    <row r="265" spans="1:22" ht="18" customHeight="1" x14ac:dyDescent="0.35">
      <c r="A265" s="10" t="s">
        <v>86</v>
      </c>
      <c r="B265" s="10" t="s">
        <v>3205</v>
      </c>
      <c r="C265" s="11" t="s">
        <v>2973</v>
      </c>
      <c r="D265" s="11" t="s">
        <v>24</v>
      </c>
      <c r="E265" s="12">
        <v>45959.698067129626</v>
      </c>
      <c r="F265" s="10" t="str">
        <f>TEXT(events[[#This Row],[Start Date]],"DDD")</f>
        <v>Wed</v>
      </c>
      <c r="G265" s="10">
        <f>YEAR(events[[#This Row],[Start Date]])</f>
        <v>2025</v>
      </c>
      <c r="H265" s="10" t="str">
        <f>TEXT(events[[#This Row],[Start Date]],"mmm")</f>
        <v>Oct</v>
      </c>
      <c r="I265" s="10" t="str">
        <f>CONCATENATE("WK_",WEEKNUM(events[[#This Row],[Start Date]]))</f>
        <v>WK_44</v>
      </c>
      <c r="J265" s="12">
        <v>45959.698460648149</v>
      </c>
      <c r="K265" s="10">
        <v>38</v>
      </c>
      <c r="L265" s="10" t="s">
        <v>25</v>
      </c>
      <c r="M265" s="10" t="s">
        <v>656</v>
      </c>
      <c r="N265" s="13">
        <f t="shared" si="4"/>
        <v>0.56666666666666665</v>
      </c>
      <c r="O265" s="14" t="s">
        <v>50</v>
      </c>
      <c r="P265" s="14" t="s">
        <v>50</v>
      </c>
      <c r="Q265" s="14"/>
      <c r="R265" s="14"/>
      <c r="S265" s="14" t="s">
        <v>1473</v>
      </c>
      <c r="T265" s="14" t="s">
        <v>1474</v>
      </c>
      <c r="U265" s="15">
        <v>0.28100000000000003</v>
      </c>
      <c r="V265" s="10">
        <v>1</v>
      </c>
    </row>
    <row r="266" spans="1:22" ht="18" customHeight="1" x14ac:dyDescent="0.35">
      <c r="A266" s="10" t="s">
        <v>86</v>
      </c>
      <c r="B266" s="10" t="s">
        <v>3210</v>
      </c>
      <c r="C266" s="11" t="s">
        <v>2979</v>
      </c>
      <c r="D266" s="11" t="s">
        <v>74</v>
      </c>
      <c r="E266" s="12">
        <v>45959.695486111108</v>
      </c>
      <c r="F266" s="10" t="str">
        <f>TEXT(events[[#This Row],[Start Date]],"DDD")</f>
        <v>Wed</v>
      </c>
      <c r="G266" s="10">
        <f>YEAR(events[[#This Row],[Start Date]])</f>
        <v>2025</v>
      </c>
      <c r="H266" s="10" t="str">
        <f>TEXT(events[[#This Row],[Start Date]],"mmm")</f>
        <v>Oct</v>
      </c>
      <c r="I266" s="10" t="str">
        <f>CONCATENATE("WK_",WEEKNUM(events[[#This Row],[Start Date]]))</f>
        <v>WK_44</v>
      </c>
      <c r="J266" s="12">
        <v>45959.695555555554</v>
      </c>
      <c r="K266" s="10">
        <v>84</v>
      </c>
      <c r="L266" s="10" t="s">
        <v>25</v>
      </c>
      <c r="M266" s="10" t="s">
        <v>328</v>
      </c>
      <c r="N266" s="13">
        <f t="shared" si="4"/>
        <v>0.1</v>
      </c>
      <c r="O266" s="14" t="s">
        <v>142</v>
      </c>
      <c r="P266" s="14" t="s">
        <v>142</v>
      </c>
      <c r="Q266" s="14"/>
      <c r="R266" s="14"/>
      <c r="S266" s="14" t="s">
        <v>1457</v>
      </c>
      <c r="T266" s="14" t="s">
        <v>1458</v>
      </c>
      <c r="U266" s="15">
        <v>0.125</v>
      </c>
      <c r="V266" s="10">
        <v>1</v>
      </c>
    </row>
    <row r="267" spans="1:22" ht="18" customHeight="1" x14ac:dyDescent="0.35">
      <c r="A267" s="10" t="s">
        <v>86</v>
      </c>
      <c r="B267" s="10" t="s">
        <v>3210</v>
      </c>
      <c r="C267" s="11" t="s">
        <v>2979</v>
      </c>
      <c r="D267" s="11" t="s">
        <v>74</v>
      </c>
      <c r="E267" s="12">
        <v>45959.694571759261</v>
      </c>
      <c r="F267" s="10" t="str">
        <f>TEXT(events[[#This Row],[Start Date]],"DDD")</f>
        <v>Wed</v>
      </c>
      <c r="G267" s="10">
        <f>YEAR(events[[#This Row],[Start Date]])</f>
        <v>2025</v>
      </c>
      <c r="H267" s="10" t="str">
        <f>TEXT(events[[#This Row],[Start Date]],"mmm")</f>
        <v>Oct</v>
      </c>
      <c r="I267" s="10" t="str">
        <f>CONCATENATE("WK_",WEEKNUM(events[[#This Row],[Start Date]]))</f>
        <v>WK_44</v>
      </c>
      <c r="J267" s="12">
        <v>45959.694710648146</v>
      </c>
      <c r="K267" s="10">
        <v>83</v>
      </c>
      <c r="L267" s="10" t="s">
        <v>25</v>
      </c>
      <c r="M267" s="10" t="s">
        <v>1111</v>
      </c>
      <c r="N267" s="13">
        <f t="shared" si="4"/>
        <v>0.2</v>
      </c>
      <c r="O267" s="14" t="s">
        <v>142</v>
      </c>
      <c r="P267" s="14" t="s">
        <v>142</v>
      </c>
      <c r="Q267" s="14"/>
      <c r="R267" s="14"/>
      <c r="S267" s="14" t="s">
        <v>1455</v>
      </c>
      <c r="T267" s="14" t="s">
        <v>1456</v>
      </c>
      <c r="U267" s="15">
        <v>0.375</v>
      </c>
      <c r="V267" s="10">
        <v>1</v>
      </c>
    </row>
    <row r="268" spans="1:22" ht="18" customHeight="1" x14ac:dyDescent="0.35">
      <c r="A268" s="10" t="s">
        <v>86</v>
      </c>
      <c r="B268" s="10" t="s">
        <v>3210</v>
      </c>
      <c r="C268" s="11" t="s">
        <v>2979</v>
      </c>
      <c r="D268" s="11" t="s">
        <v>74</v>
      </c>
      <c r="E268" s="12">
        <v>45959.689571759256</v>
      </c>
      <c r="F268" s="10" t="str">
        <f>TEXT(events[[#This Row],[Start Date]],"DDD")</f>
        <v>Wed</v>
      </c>
      <c r="G268" s="10">
        <f>YEAR(events[[#This Row],[Start Date]])</f>
        <v>2025</v>
      </c>
      <c r="H268" s="10" t="str">
        <f>TEXT(events[[#This Row],[Start Date]],"mmm")</f>
        <v>Oct</v>
      </c>
      <c r="I268" s="10" t="str">
        <f>CONCATENATE("WK_",WEEKNUM(events[[#This Row],[Start Date]]))</f>
        <v>WK_44</v>
      </c>
      <c r="J268" s="12">
        <v>45959.689606481479</v>
      </c>
      <c r="K268" s="10">
        <v>82</v>
      </c>
      <c r="L268" s="10" t="s">
        <v>25</v>
      </c>
      <c r="M268" s="10" t="s">
        <v>75</v>
      </c>
      <c r="N268" s="13">
        <f t="shared" si="4"/>
        <v>0.05</v>
      </c>
      <c r="O268" s="14" t="s">
        <v>142</v>
      </c>
      <c r="P268" s="14" t="s">
        <v>142</v>
      </c>
      <c r="Q268" s="14"/>
      <c r="R268" s="14"/>
      <c r="S268" s="14" t="s">
        <v>1453</v>
      </c>
      <c r="T268" s="14" t="s">
        <v>1454</v>
      </c>
      <c r="U268" s="15">
        <v>0</v>
      </c>
      <c r="V268" s="10">
        <v>1</v>
      </c>
    </row>
    <row r="269" spans="1:22" ht="18" customHeight="1" x14ac:dyDescent="0.35">
      <c r="A269" s="10" t="s">
        <v>86</v>
      </c>
      <c r="B269" s="10" t="s">
        <v>3210</v>
      </c>
      <c r="C269" s="11" t="s">
        <v>2979</v>
      </c>
      <c r="D269" s="11" t="s">
        <v>74</v>
      </c>
      <c r="E269" s="12">
        <v>45959.689282407409</v>
      </c>
      <c r="F269" s="10" t="str">
        <f>TEXT(events[[#This Row],[Start Date]],"DDD")</f>
        <v>Wed</v>
      </c>
      <c r="G269" s="10">
        <f>YEAR(events[[#This Row],[Start Date]])</f>
        <v>2025</v>
      </c>
      <c r="H269" s="10" t="str">
        <f>TEXT(events[[#This Row],[Start Date]],"mmm")</f>
        <v>Oct</v>
      </c>
      <c r="I269" s="10" t="str">
        <f>CONCATENATE("WK_",WEEKNUM(events[[#This Row],[Start Date]]))</f>
        <v>WK_44</v>
      </c>
      <c r="J269" s="12">
        <v>45959.689293981479</v>
      </c>
      <c r="K269" s="10">
        <v>82</v>
      </c>
      <c r="L269" s="10" t="s">
        <v>25</v>
      </c>
      <c r="M269" s="10" t="s">
        <v>26</v>
      </c>
      <c r="N269" s="13">
        <f t="shared" si="4"/>
        <v>1.6666666666666666E-2</v>
      </c>
      <c r="O269" s="14" t="s">
        <v>142</v>
      </c>
      <c r="P269" s="14" t="s">
        <v>142</v>
      </c>
      <c r="Q269" s="14"/>
      <c r="R269" s="14"/>
      <c r="S269" s="14" t="s">
        <v>1451</v>
      </c>
      <c r="T269" s="14" t="s">
        <v>1452</v>
      </c>
      <c r="U269" s="15">
        <v>0</v>
      </c>
      <c r="V269" s="10">
        <v>1</v>
      </c>
    </row>
    <row r="270" spans="1:22" ht="18" customHeight="1" x14ac:dyDescent="0.35">
      <c r="A270" s="10" t="s">
        <v>86</v>
      </c>
      <c r="B270" s="10" t="s">
        <v>3210</v>
      </c>
      <c r="C270" s="11" t="s">
        <v>2979</v>
      </c>
      <c r="D270" s="11" t="s">
        <v>74</v>
      </c>
      <c r="E270" s="12">
        <v>45959.689062500001</v>
      </c>
      <c r="F270" s="10" t="str">
        <f>TEXT(events[[#This Row],[Start Date]],"DDD")</f>
        <v>Wed</v>
      </c>
      <c r="G270" s="10">
        <f>YEAR(events[[#This Row],[Start Date]])</f>
        <v>2025</v>
      </c>
      <c r="H270" s="10" t="str">
        <f>TEXT(events[[#This Row],[Start Date]],"mmm")</f>
        <v>Oct</v>
      </c>
      <c r="I270" s="10" t="str">
        <f>CONCATENATE("WK_",WEEKNUM(events[[#This Row],[Start Date]]))</f>
        <v>WK_44</v>
      </c>
      <c r="J270" s="12">
        <v>45959.689143518517</v>
      </c>
      <c r="K270" s="10">
        <v>82</v>
      </c>
      <c r="L270" s="10" t="s">
        <v>25</v>
      </c>
      <c r="M270" s="10" t="s">
        <v>115</v>
      </c>
      <c r="N270" s="13">
        <f t="shared" si="4"/>
        <v>0.11666666666666667</v>
      </c>
      <c r="O270" s="14" t="s">
        <v>142</v>
      </c>
      <c r="P270" s="14" t="s">
        <v>142</v>
      </c>
      <c r="Q270" s="14"/>
      <c r="R270" s="14"/>
      <c r="S270" s="14" t="s">
        <v>1449</v>
      </c>
      <c r="T270" s="14" t="s">
        <v>1450</v>
      </c>
      <c r="U270" s="15">
        <v>0.125</v>
      </c>
      <c r="V270" s="10">
        <v>1</v>
      </c>
    </row>
    <row r="271" spans="1:22" ht="18" customHeight="1" x14ac:dyDescent="0.35">
      <c r="A271" s="10" t="s">
        <v>86</v>
      </c>
      <c r="B271" s="10" t="s">
        <v>3210</v>
      </c>
      <c r="C271" s="11" t="s">
        <v>2979</v>
      </c>
      <c r="D271" s="11" t="s">
        <v>74</v>
      </c>
      <c r="E271" s="12">
        <v>45959.688263888886</v>
      </c>
      <c r="F271" s="10" t="str">
        <f>TEXT(events[[#This Row],[Start Date]],"DDD")</f>
        <v>Wed</v>
      </c>
      <c r="G271" s="10">
        <f>YEAR(events[[#This Row],[Start Date]])</f>
        <v>2025</v>
      </c>
      <c r="H271" s="10" t="str">
        <f>TEXT(events[[#This Row],[Start Date]],"mmm")</f>
        <v>Oct</v>
      </c>
      <c r="I271" s="10" t="str">
        <f>CONCATENATE("WK_",WEEKNUM(events[[#This Row],[Start Date]]))</f>
        <v>WK_44</v>
      </c>
      <c r="J271" s="12">
        <v>45959.688344907408</v>
      </c>
      <c r="K271" s="10">
        <v>83</v>
      </c>
      <c r="L271" s="10" t="s">
        <v>25</v>
      </c>
      <c r="M271" s="10" t="s">
        <v>115</v>
      </c>
      <c r="N271" s="13">
        <f t="shared" si="4"/>
        <v>0.11666666666666667</v>
      </c>
      <c r="O271" s="14" t="s">
        <v>142</v>
      </c>
      <c r="P271" s="14" t="s">
        <v>142</v>
      </c>
      <c r="Q271" s="14"/>
      <c r="R271" s="14"/>
      <c r="S271" s="14" t="s">
        <v>1447</v>
      </c>
      <c r="T271" s="14" t="s">
        <v>1448</v>
      </c>
      <c r="U271" s="15">
        <v>0.125</v>
      </c>
      <c r="V271" s="10">
        <v>1</v>
      </c>
    </row>
    <row r="272" spans="1:22" ht="18" customHeight="1" x14ac:dyDescent="0.35">
      <c r="A272" s="10" t="s">
        <v>47</v>
      </c>
      <c r="B272" s="10" t="s">
        <v>3190</v>
      </c>
      <c r="C272" s="11" t="s">
        <v>2957</v>
      </c>
      <c r="D272" s="11" t="s">
        <v>678</v>
      </c>
      <c r="E272" s="12">
        <v>45959.646944444445</v>
      </c>
      <c r="F272" s="10" t="str">
        <f>TEXT(events[[#This Row],[Start Date]],"DDD")</f>
        <v>Wed</v>
      </c>
      <c r="G272" s="10">
        <f>YEAR(events[[#This Row],[Start Date]])</f>
        <v>2025</v>
      </c>
      <c r="H272" s="10" t="str">
        <f>TEXT(events[[#This Row],[Start Date]],"mmm")</f>
        <v>Oct</v>
      </c>
      <c r="I272" s="10" t="str">
        <f>CONCATENATE("WK_",WEEKNUM(events[[#This Row],[Start Date]]))</f>
        <v>WK_44</v>
      </c>
      <c r="J272" s="12">
        <v>45959.646956018521</v>
      </c>
      <c r="K272" s="10">
        <v>13</v>
      </c>
      <c r="L272" s="10" t="s">
        <v>83</v>
      </c>
      <c r="M272" s="10" t="s">
        <v>26</v>
      </c>
      <c r="N272" s="13">
        <f t="shared" si="4"/>
        <v>1.6666666666666666E-2</v>
      </c>
      <c r="O272" s="14" t="s">
        <v>50</v>
      </c>
      <c r="P272" s="14"/>
      <c r="Q272" s="14"/>
      <c r="R272" s="14"/>
      <c r="S272" s="14" t="s">
        <v>1440</v>
      </c>
      <c r="T272" s="14"/>
      <c r="U272" s="15">
        <v>0</v>
      </c>
      <c r="V272" s="10">
        <v>1</v>
      </c>
    </row>
    <row r="273" spans="1:22" ht="18" customHeight="1" x14ac:dyDescent="0.35">
      <c r="A273" s="10" t="s">
        <v>86</v>
      </c>
      <c r="B273" s="10" t="s">
        <v>3210</v>
      </c>
      <c r="C273" s="11" t="s">
        <v>2979</v>
      </c>
      <c r="D273" s="11" t="s">
        <v>74</v>
      </c>
      <c r="E273" s="12">
        <v>45959.44568287037</v>
      </c>
      <c r="F273" s="10" t="str">
        <f>TEXT(events[[#This Row],[Start Date]],"DDD")</f>
        <v>Wed</v>
      </c>
      <c r="G273" s="10">
        <f>YEAR(events[[#This Row],[Start Date]])</f>
        <v>2025</v>
      </c>
      <c r="H273" s="10" t="str">
        <f>TEXT(events[[#This Row],[Start Date]],"mmm")</f>
        <v>Oct</v>
      </c>
      <c r="I273" s="10" t="str">
        <f>CONCATENATE("WK_",WEEKNUM(events[[#This Row],[Start Date]]))</f>
        <v>WK_44</v>
      </c>
      <c r="J273" s="12">
        <v>45959.445740740739</v>
      </c>
      <c r="K273" s="10">
        <v>82</v>
      </c>
      <c r="L273" s="10" t="s">
        <v>25</v>
      </c>
      <c r="M273" s="10" t="s">
        <v>431</v>
      </c>
      <c r="N273" s="13">
        <f t="shared" si="4"/>
        <v>8.3333333333333329E-2</v>
      </c>
      <c r="O273" s="14" t="s">
        <v>92</v>
      </c>
      <c r="P273" s="14" t="s">
        <v>92</v>
      </c>
      <c r="Q273" s="14"/>
      <c r="R273" s="14"/>
      <c r="S273" s="14" t="s">
        <v>1445</v>
      </c>
      <c r="T273" s="14" t="s">
        <v>1446</v>
      </c>
      <c r="U273" s="15">
        <v>0</v>
      </c>
      <c r="V273" s="10">
        <v>1</v>
      </c>
    </row>
    <row r="274" spans="1:22" ht="18" customHeight="1" x14ac:dyDescent="0.35">
      <c r="A274" s="10" t="s">
        <v>86</v>
      </c>
      <c r="B274" s="10" t="s">
        <v>3169</v>
      </c>
      <c r="C274" s="11" t="s">
        <v>2935</v>
      </c>
      <c r="D274" s="11" t="s">
        <v>24</v>
      </c>
      <c r="E274" s="12">
        <v>45958.418263888889</v>
      </c>
      <c r="F274" s="10" t="str">
        <f>TEXT(events[[#This Row],[Start Date]],"DDD")</f>
        <v>Tue</v>
      </c>
      <c r="G274" s="10">
        <f>YEAR(events[[#This Row],[Start Date]])</f>
        <v>2025</v>
      </c>
      <c r="H274" s="10" t="str">
        <f>TEXT(events[[#This Row],[Start Date]],"mmm")</f>
        <v>Oct</v>
      </c>
      <c r="I274" s="10" t="str">
        <f>CONCATENATE("WK_",WEEKNUM(events[[#This Row],[Start Date]]))</f>
        <v>WK_44</v>
      </c>
      <c r="J274" s="12">
        <v>45958.418263888889</v>
      </c>
      <c r="K274" s="10">
        <v>37</v>
      </c>
      <c r="L274" s="10" t="s">
        <v>25</v>
      </c>
      <c r="M274" s="10" t="s">
        <v>87</v>
      </c>
      <c r="N274" s="13">
        <f t="shared" si="4"/>
        <v>0</v>
      </c>
      <c r="O274" s="14" t="s">
        <v>251</v>
      </c>
      <c r="P274" s="14" t="s">
        <v>251</v>
      </c>
      <c r="Q274" s="14"/>
      <c r="R274" s="14"/>
      <c r="S274" s="14" t="s">
        <v>1472</v>
      </c>
      <c r="T274" s="14" t="s">
        <v>1472</v>
      </c>
      <c r="U274" s="15">
        <v>0</v>
      </c>
      <c r="V274" s="10">
        <v>1</v>
      </c>
    </row>
    <row r="275" spans="1:22" ht="18" customHeight="1" x14ac:dyDescent="0.35">
      <c r="A275" s="10" t="s">
        <v>86</v>
      </c>
      <c r="B275" s="10" t="s">
        <v>3261</v>
      </c>
      <c r="C275" s="11" t="s">
        <v>3034</v>
      </c>
      <c r="D275" s="11" t="s">
        <v>35</v>
      </c>
      <c r="E275" s="12">
        <v>45957.958344907405</v>
      </c>
      <c r="F275" s="10" t="str">
        <f>TEXT(events[[#This Row],[Start Date]],"DDD")</f>
        <v>Mon</v>
      </c>
      <c r="G275" s="10">
        <f>YEAR(events[[#This Row],[Start Date]])</f>
        <v>2025</v>
      </c>
      <c r="H275" s="10" t="str">
        <f>TEXT(events[[#This Row],[Start Date]],"mmm")</f>
        <v>Oct</v>
      </c>
      <c r="I275" s="10" t="str">
        <f>CONCATENATE("WK_",WEEKNUM(events[[#This Row],[Start Date]]))</f>
        <v>WK_44</v>
      </c>
      <c r="J275" s="12">
        <v>45957.987500000003</v>
      </c>
      <c r="K275" s="10">
        <v>26.8</v>
      </c>
      <c r="L275" s="10" t="s">
        <v>36</v>
      </c>
      <c r="M275" s="10" t="s">
        <v>1442</v>
      </c>
      <c r="N275" s="13">
        <f t="shared" si="4"/>
        <v>41.983333333333334</v>
      </c>
      <c r="O275" s="14" t="s">
        <v>49</v>
      </c>
      <c r="P275" s="14" t="s">
        <v>205</v>
      </c>
      <c r="Q275" s="14"/>
      <c r="R275" s="14"/>
      <c r="S275" s="14" t="s">
        <v>1443</v>
      </c>
      <c r="T275" s="14" t="s">
        <v>1444</v>
      </c>
      <c r="U275" s="15">
        <v>18.75</v>
      </c>
      <c r="V275" s="10">
        <v>1</v>
      </c>
    </row>
    <row r="276" spans="1:22" ht="18" customHeight="1" x14ac:dyDescent="0.35">
      <c r="A276" s="10" t="s">
        <v>86</v>
      </c>
      <c r="B276" s="10" t="s">
        <v>3223</v>
      </c>
      <c r="C276" s="11" t="s">
        <v>2978</v>
      </c>
      <c r="D276" s="11" t="s">
        <v>35</v>
      </c>
      <c r="E276" s="12">
        <v>45957.958344907405</v>
      </c>
      <c r="F276" s="10" t="str">
        <f>TEXT(events[[#This Row],[Start Date]],"DDD")</f>
        <v>Mon</v>
      </c>
      <c r="G276" s="10">
        <f>YEAR(events[[#This Row],[Start Date]])</f>
        <v>2025</v>
      </c>
      <c r="H276" s="10" t="str">
        <f>TEXT(events[[#This Row],[Start Date]],"mmm")</f>
        <v>Oct</v>
      </c>
      <c r="I276" s="10" t="str">
        <f>CONCATENATE("WK_",WEEKNUM(events[[#This Row],[Start Date]]))</f>
        <v>WK_44</v>
      </c>
      <c r="J276" s="12">
        <v>45958.007708333331</v>
      </c>
      <c r="K276" s="10">
        <v>142.9</v>
      </c>
      <c r="L276" s="10" t="s">
        <v>36</v>
      </c>
      <c r="M276" s="10" t="s">
        <v>1459</v>
      </c>
      <c r="N276" s="13">
        <f t="shared" si="4"/>
        <v>71.083333333333329</v>
      </c>
      <c r="O276" s="14" t="s">
        <v>49</v>
      </c>
      <c r="P276" s="14" t="s">
        <v>49</v>
      </c>
      <c r="Q276" s="14"/>
      <c r="R276" s="14"/>
      <c r="S276" s="14" t="s">
        <v>1460</v>
      </c>
      <c r="T276" s="14" t="s">
        <v>1461</v>
      </c>
      <c r="U276" s="15">
        <v>40.061999999999998</v>
      </c>
      <c r="V276" s="10">
        <v>1</v>
      </c>
    </row>
    <row r="277" spans="1:22" ht="18" customHeight="1" x14ac:dyDescent="0.35">
      <c r="A277" s="10" t="s">
        <v>86</v>
      </c>
      <c r="B277" s="10" t="s">
        <v>3213</v>
      </c>
      <c r="C277" s="11" t="s">
        <v>2973</v>
      </c>
      <c r="D277" s="11" t="s">
        <v>24</v>
      </c>
      <c r="E277" s="12">
        <v>45957.694456018522</v>
      </c>
      <c r="F277" s="10" t="str">
        <f>TEXT(events[[#This Row],[Start Date]],"DDD")</f>
        <v>Mon</v>
      </c>
      <c r="G277" s="10">
        <f>YEAR(events[[#This Row],[Start Date]])</f>
        <v>2025</v>
      </c>
      <c r="H277" s="10" t="str">
        <f>TEXT(events[[#This Row],[Start Date]],"mmm")</f>
        <v>Oct</v>
      </c>
      <c r="I277" s="10" t="str">
        <f>CONCATENATE("WK_",WEEKNUM(events[[#This Row],[Start Date]]))</f>
        <v>WK_44</v>
      </c>
      <c r="J277" s="12">
        <v>45957.694606481484</v>
      </c>
      <c r="K277" s="10">
        <v>43</v>
      </c>
      <c r="L277" s="10" t="s">
        <v>25</v>
      </c>
      <c r="M277" s="10" t="s">
        <v>167</v>
      </c>
      <c r="N277" s="13">
        <f t="shared" si="4"/>
        <v>0.21666666666666667</v>
      </c>
      <c r="O277" s="14" t="s">
        <v>27</v>
      </c>
      <c r="P277" s="14" t="s">
        <v>27</v>
      </c>
      <c r="Q277" s="14"/>
      <c r="R277" s="14"/>
      <c r="S277" s="14" t="s">
        <v>1468</v>
      </c>
      <c r="T277" s="14" t="s">
        <v>1469</v>
      </c>
      <c r="U277" s="15">
        <v>0.188</v>
      </c>
      <c r="V277" s="10">
        <v>1</v>
      </c>
    </row>
    <row r="278" spans="1:22" ht="18" customHeight="1" x14ac:dyDescent="0.35">
      <c r="A278" s="10" t="s">
        <v>86</v>
      </c>
      <c r="B278" s="10" t="s">
        <v>3213</v>
      </c>
      <c r="C278" s="11" t="s">
        <v>2973</v>
      </c>
      <c r="D278" s="11" t="s">
        <v>24</v>
      </c>
      <c r="E278" s="12">
        <v>45957.694236111114</v>
      </c>
      <c r="F278" s="10" t="str">
        <f>TEXT(events[[#This Row],[Start Date]],"DDD")</f>
        <v>Mon</v>
      </c>
      <c r="G278" s="10">
        <f>YEAR(events[[#This Row],[Start Date]])</f>
        <v>2025</v>
      </c>
      <c r="H278" s="10" t="str">
        <f>TEXT(events[[#This Row],[Start Date]],"mmm")</f>
        <v>Oct</v>
      </c>
      <c r="I278" s="10" t="str">
        <f>CONCATENATE("WK_",WEEKNUM(events[[#This Row],[Start Date]]))</f>
        <v>WK_44</v>
      </c>
      <c r="J278" s="12">
        <v>45957.69427083333</v>
      </c>
      <c r="K278" s="10">
        <v>44</v>
      </c>
      <c r="L278" s="10" t="s">
        <v>25</v>
      </c>
      <c r="M278" s="10" t="s">
        <v>75</v>
      </c>
      <c r="N278" s="13">
        <f t="shared" si="4"/>
        <v>0.05</v>
      </c>
      <c r="O278" s="14" t="s">
        <v>27</v>
      </c>
      <c r="P278" s="14" t="s">
        <v>27</v>
      </c>
      <c r="Q278" s="14"/>
      <c r="R278" s="14"/>
      <c r="S278" s="14" t="s">
        <v>1466</v>
      </c>
      <c r="T278" s="14" t="s">
        <v>1467</v>
      </c>
      <c r="U278" s="15">
        <v>0</v>
      </c>
      <c r="V278" s="10">
        <v>1</v>
      </c>
    </row>
    <row r="279" spans="1:22" ht="18" customHeight="1" x14ac:dyDescent="0.35">
      <c r="A279" s="10" t="s">
        <v>86</v>
      </c>
      <c r="B279" s="10" t="s">
        <v>3213</v>
      </c>
      <c r="C279" s="11" t="s">
        <v>2973</v>
      </c>
      <c r="D279" s="11" t="s">
        <v>24</v>
      </c>
      <c r="E279" s="12">
        <v>45957.692881944444</v>
      </c>
      <c r="F279" s="10" t="str">
        <f>TEXT(events[[#This Row],[Start Date]],"DDD")</f>
        <v>Mon</v>
      </c>
      <c r="G279" s="10">
        <f>YEAR(events[[#This Row],[Start Date]])</f>
        <v>2025</v>
      </c>
      <c r="H279" s="10" t="str">
        <f>TEXT(events[[#This Row],[Start Date]],"mmm")</f>
        <v>Oct</v>
      </c>
      <c r="I279" s="10" t="str">
        <f>CONCATENATE("WK_",WEEKNUM(events[[#This Row],[Start Date]]))</f>
        <v>WK_44</v>
      </c>
      <c r="J279" s="12">
        <v>45957.692939814813</v>
      </c>
      <c r="K279" s="10">
        <v>42</v>
      </c>
      <c r="L279" s="10" t="s">
        <v>25</v>
      </c>
      <c r="M279" s="10" t="s">
        <v>431</v>
      </c>
      <c r="N279" s="13">
        <f t="shared" si="4"/>
        <v>8.3333333333333329E-2</v>
      </c>
      <c r="O279" s="14" t="s">
        <v>27</v>
      </c>
      <c r="P279" s="14" t="s">
        <v>27</v>
      </c>
      <c r="Q279" s="14"/>
      <c r="R279" s="14"/>
      <c r="S279" s="14" t="s">
        <v>1464</v>
      </c>
      <c r="T279" s="14" t="s">
        <v>1465</v>
      </c>
      <c r="U279" s="15">
        <v>6.2E-2</v>
      </c>
      <c r="V279" s="10">
        <v>1</v>
      </c>
    </row>
    <row r="280" spans="1:22" ht="18" customHeight="1" x14ac:dyDescent="0.35">
      <c r="A280" s="10" t="s">
        <v>47</v>
      </c>
      <c r="B280" s="10" t="s">
        <v>3262</v>
      </c>
      <c r="C280" s="11" t="s">
        <v>3035</v>
      </c>
      <c r="D280" s="11" t="s">
        <v>82</v>
      </c>
      <c r="E280" s="12">
        <v>45957.654745370368</v>
      </c>
      <c r="F280" s="10" t="str">
        <f>TEXT(events[[#This Row],[Start Date]],"DDD")</f>
        <v>Mon</v>
      </c>
      <c r="G280" s="10">
        <f>YEAR(events[[#This Row],[Start Date]])</f>
        <v>2025</v>
      </c>
      <c r="H280" s="10" t="str">
        <f>TEXT(events[[#This Row],[Start Date]],"mmm")</f>
        <v>Oct</v>
      </c>
      <c r="I280" s="10" t="str">
        <f>CONCATENATE("WK_",WEEKNUM(events[[#This Row],[Start Date]]))</f>
        <v>WK_44</v>
      </c>
      <c r="J280" s="12">
        <v>45957.654756944445</v>
      </c>
      <c r="K280" s="10">
        <v>21</v>
      </c>
      <c r="L280" s="10" t="s">
        <v>83</v>
      </c>
      <c r="M280" s="10" t="s">
        <v>26</v>
      </c>
      <c r="N280" s="13">
        <f t="shared" si="4"/>
        <v>1.6666666666666666E-2</v>
      </c>
      <c r="O280" s="14" t="s">
        <v>861</v>
      </c>
      <c r="P280" s="14"/>
      <c r="Q280" s="14"/>
      <c r="R280" s="14"/>
      <c r="S280" s="14" t="s">
        <v>1441</v>
      </c>
      <c r="T280" s="14"/>
      <c r="U280" s="15">
        <v>0</v>
      </c>
      <c r="V280" s="10">
        <v>1</v>
      </c>
    </row>
    <row r="281" spans="1:22" ht="18" customHeight="1" x14ac:dyDescent="0.35">
      <c r="A281" s="10" t="s">
        <v>23</v>
      </c>
      <c r="B281" s="10" t="s">
        <v>3207</v>
      </c>
      <c r="C281" s="11" t="s">
        <v>2975</v>
      </c>
      <c r="D281" s="11" t="s">
        <v>82</v>
      </c>
      <c r="E281" s="12">
        <v>45955.874212962961</v>
      </c>
      <c r="F281" s="10" t="str">
        <f>TEXT(events[[#This Row],[Start Date]],"DDD")</f>
        <v>Sat</v>
      </c>
      <c r="G281" s="10">
        <f>YEAR(events[[#This Row],[Start Date]])</f>
        <v>2025</v>
      </c>
      <c r="H281" s="10" t="str">
        <f>TEXT(events[[#This Row],[Start Date]],"mmm")</f>
        <v>Oct</v>
      </c>
      <c r="I281" s="10" t="str">
        <f>CONCATENATE("WK_",WEEKNUM(events[[#This Row],[Start Date]]))</f>
        <v>WK_43</v>
      </c>
      <c r="J281" s="12">
        <v>45955.874224537038</v>
      </c>
      <c r="K281" s="10">
        <v>16</v>
      </c>
      <c r="L281" s="10" t="s">
        <v>83</v>
      </c>
      <c r="M281" s="10" t="s">
        <v>26</v>
      </c>
      <c r="N281" s="13">
        <f t="shared" si="4"/>
        <v>1.6666666666666666E-2</v>
      </c>
      <c r="O281" s="14" t="s">
        <v>49</v>
      </c>
      <c r="P281" s="14"/>
      <c r="Q281" s="14"/>
      <c r="R281" s="14"/>
      <c r="S281" s="14" t="s">
        <v>1435</v>
      </c>
      <c r="T281" s="14"/>
      <c r="U281" s="15">
        <v>0</v>
      </c>
      <c r="V281" s="10">
        <v>1</v>
      </c>
    </row>
    <row r="282" spans="1:22" ht="18" customHeight="1" x14ac:dyDescent="0.35">
      <c r="A282" s="10" t="s">
        <v>86</v>
      </c>
      <c r="B282" s="10" t="s">
        <v>3189</v>
      </c>
      <c r="C282" s="11" t="s">
        <v>3036</v>
      </c>
      <c r="D282" s="11" t="s">
        <v>24</v>
      </c>
      <c r="E282" s="12">
        <v>45955.621157407404</v>
      </c>
      <c r="F282" s="10" t="str">
        <f>TEXT(events[[#This Row],[Start Date]],"DDD")</f>
        <v>Sat</v>
      </c>
      <c r="G282" s="10">
        <f>YEAR(events[[#This Row],[Start Date]])</f>
        <v>2025</v>
      </c>
      <c r="H282" s="10" t="str">
        <f>TEXT(events[[#This Row],[Start Date]],"mmm")</f>
        <v>Oct</v>
      </c>
      <c r="I282" s="10" t="str">
        <f>CONCATENATE("WK_",WEEKNUM(events[[#This Row],[Start Date]]))</f>
        <v>WK_43</v>
      </c>
      <c r="J282" s="12">
        <v>45955.621180555558</v>
      </c>
      <c r="K282" s="10">
        <v>37</v>
      </c>
      <c r="L282" s="10" t="s">
        <v>25</v>
      </c>
      <c r="M282" s="10" t="s">
        <v>31</v>
      </c>
      <c r="N282" s="13">
        <f t="shared" si="4"/>
        <v>3.3333333333333333E-2</v>
      </c>
      <c r="O282" s="14" t="s">
        <v>92</v>
      </c>
      <c r="P282" s="14" t="s">
        <v>92</v>
      </c>
      <c r="Q282" s="14"/>
      <c r="R282" s="14"/>
      <c r="S282" s="14" t="s">
        <v>1470</v>
      </c>
      <c r="T282" s="14" t="s">
        <v>1471</v>
      </c>
      <c r="U282" s="15">
        <v>0</v>
      </c>
      <c r="V282" s="10">
        <v>1</v>
      </c>
    </row>
    <row r="283" spans="1:22" ht="18" customHeight="1" x14ac:dyDescent="0.35">
      <c r="A283" s="10" t="s">
        <v>23</v>
      </c>
      <c r="B283" s="10" t="s">
        <v>3196</v>
      </c>
      <c r="C283" s="11" t="s">
        <v>2963</v>
      </c>
      <c r="D283" s="11" t="s">
        <v>82</v>
      </c>
      <c r="E283" s="12">
        <v>45954.901099537034</v>
      </c>
      <c r="F283" s="10" t="str">
        <f>TEXT(events[[#This Row],[Start Date]],"DDD")</f>
        <v>Fri</v>
      </c>
      <c r="G283" s="10">
        <f>YEAR(events[[#This Row],[Start Date]])</f>
        <v>2025</v>
      </c>
      <c r="H283" s="10" t="str">
        <f>TEXT(events[[#This Row],[Start Date]],"mmm")</f>
        <v>Oct</v>
      </c>
      <c r="I283" s="10" t="str">
        <f>CONCATENATE("WK_",WEEKNUM(events[[#This Row],[Start Date]]))</f>
        <v>WK_43</v>
      </c>
      <c r="J283" s="12">
        <v>45954.90111111111</v>
      </c>
      <c r="K283" s="10">
        <v>23</v>
      </c>
      <c r="L283" s="10" t="s">
        <v>83</v>
      </c>
      <c r="M283" s="10" t="s">
        <v>26</v>
      </c>
      <c r="N283" s="13">
        <f t="shared" si="4"/>
        <v>1.6666666666666666E-2</v>
      </c>
      <c r="O283" s="14" t="s">
        <v>1436</v>
      </c>
      <c r="P283" s="14"/>
      <c r="Q283" s="14"/>
      <c r="R283" s="14"/>
      <c r="S283" s="14" t="s">
        <v>1437</v>
      </c>
      <c r="T283" s="14"/>
      <c r="U283" s="15">
        <v>0</v>
      </c>
      <c r="V283" s="10">
        <v>1</v>
      </c>
    </row>
    <row r="284" spans="1:22" ht="18" customHeight="1" x14ac:dyDescent="0.35">
      <c r="A284" s="10" t="s">
        <v>86</v>
      </c>
      <c r="B284" s="10" t="s">
        <v>3213</v>
      </c>
      <c r="C284" s="11" t="s">
        <v>3037</v>
      </c>
      <c r="D284" s="11" t="s">
        <v>24</v>
      </c>
      <c r="E284" s="12">
        <v>45953.661053240743</v>
      </c>
      <c r="F284" s="10" t="str">
        <f>TEXT(events[[#This Row],[Start Date]],"DDD")</f>
        <v>Thu</v>
      </c>
      <c r="G284" s="10">
        <f>YEAR(events[[#This Row],[Start Date]])</f>
        <v>2025</v>
      </c>
      <c r="H284" s="10" t="str">
        <f>TEXT(events[[#This Row],[Start Date]],"mmm")</f>
        <v>Oct</v>
      </c>
      <c r="I284" s="10" t="str">
        <f>CONCATENATE("WK_",WEEKNUM(events[[#This Row],[Start Date]]))</f>
        <v>WK_43</v>
      </c>
      <c r="J284" s="12">
        <v>45953.661192129628</v>
      </c>
      <c r="K284" s="10">
        <v>43</v>
      </c>
      <c r="L284" s="10" t="s">
        <v>25</v>
      </c>
      <c r="M284" s="10" t="s">
        <v>1111</v>
      </c>
      <c r="N284" s="13">
        <f t="shared" si="4"/>
        <v>0.2</v>
      </c>
      <c r="O284" s="14" t="s">
        <v>92</v>
      </c>
      <c r="P284" s="14" t="s">
        <v>92</v>
      </c>
      <c r="Q284" s="14"/>
      <c r="R284" s="14"/>
      <c r="S284" s="14" t="s">
        <v>1462</v>
      </c>
      <c r="T284" s="14" t="s">
        <v>1463</v>
      </c>
      <c r="U284" s="15">
        <v>0.188</v>
      </c>
      <c r="V284" s="10">
        <v>1</v>
      </c>
    </row>
    <row r="285" spans="1:22" ht="18" customHeight="1" x14ac:dyDescent="0.35">
      <c r="A285" s="10" t="s">
        <v>47</v>
      </c>
      <c r="B285" s="10" t="s">
        <v>3263</v>
      </c>
      <c r="C285" s="11" t="s">
        <v>3038</v>
      </c>
      <c r="D285" s="11" t="s">
        <v>24</v>
      </c>
      <c r="E285" s="12">
        <v>45953.313668981478</v>
      </c>
      <c r="F285" s="10" t="str">
        <f>TEXT(events[[#This Row],[Start Date]],"DDD")</f>
        <v>Thu</v>
      </c>
      <c r="G285" s="10">
        <f>YEAR(events[[#This Row],[Start Date]])</f>
        <v>2025</v>
      </c>
      <c r="H285" s="10" t="str">
        <f>TEXT(events[[#This Row],[Start Date]],"mmm")</f>
        <v>Oct</v>
      </c>
      <c r="I285" s="10" t="str">
        <f>CONCATENATE("WK_",WEEKNUM(events[[#This Row],[Start Date]]))</f>
        <v>WK_43</v>
      </c>
      <c r="J285" s="12">
        <v>45953.313692129632</v>
      </c>
      <c r="K285" s="10">
        <v>47</v>
      </c>
      <c r="L285" s="10" t="s">
        <v>25</v>
      </c>
      <c r="M285" s="10" t="s">
        <v>31</v>
      </c>
      <c r="N285" s="13">
        <f t="shared" si="4"/>
        <v>3.3333333333333333E-2</v>
      </c>
      <c r="O285" s="14" t="s">
        <v>27</v>
      </c>
      <c r="P285" s="14" t="s">
        <v>27</v>
      </c>
      <c r="Q285" s="14"/>
      <c r="R285" s="14"/>
      <c r="S285" s="14" t="s">
        <v>1438</v>
      </c>
      <c r="T285" s="14" t="s">
        <v>1439</v>
      </c>
      <c r="U285" s="15">
        <v>9.4E-2</v>
      </c>
      <c r="V285" s="10">
        <v>1</v>
      </c>
    </row>
    <row r="286" spans="1:22" ht="18" customHeight="1" x14ac:dyDescent="0.35">
      <c r="A286" s="10" t="s">
        <v>86</v>
      </c>
      <c r="B286" s="10" t="s">
        <v>3205</v>
      </c>
      <c r="C286" s="11" t="s">
        <v>3039</v>
      </c>
      <c r="D286" s="11" t="s">
        <v>82</v>
      </c>
      <c r="E286" s="12">
        <v>45952.562708333331</v>
      </c>
      <c r="F286" s="10" t="str">
        <f>TEXT(events[[#This Row],[Start Date]],"DDD")</f>
        <v>Wed</v>
      </c>
      <c r="G286" s="10">
        <f>YEAR(events[[#This Row],[Start Date]])</f>
        <v>2025</v>
      </c>
      <c r="H286" s="10" t="str">
        <f>TEXT(events[[#This Row],[Start Date]],"mmm")</f>
        <v>Oct</v>
      </c>
      <c r="I286" s="10" t="str">
        <f>CONCATENATE("WK_",WEEKNUM(events[[#This Row],[Start Date]]))</f>
        <v>WK_43</v>
      </c>
      <c r="J286" s="12">
        <v>45952.562708333331</v>
      </c>
      <c r="K286" s="10">
        <v>20</v>
      </c>
      <c r="L286" s="10" t="s">
        <v>83</v>
      </c>
      <c r="M286" s="10" t="s">
        <v>87</v>
      </c>
      <c r="N286" s="13">
        <f t="shared" si="4"/>
        <v>0</v>
      </c>
      <c r="O286" s="14" t="s">
        <v>92</v>
      </c>
      <c r="P286" s="14" t="s">
        <v>92</v>
      </c>
      <c r="Q286" s="14"/>
      <c r="R286" s="14"/>
      <c r="S286" s="14" t="s">
        <v>1506</v>
      </c>
      <c r="T286" s="14" t="s">
        <v>1506</v>
      </c>
      <c r="U286" s="15">
        <v>0</v>
      </c>
      <c r="V286" s="10">
        <v>1</v>
      </c>
    </row>
    <row r="287" spans="1:22" ht="18" customHeight="1" x14ac:dyDescent="0.35">
      <c r="A287" s="10" t="s">
        <v>47</v>
      </c>
      <c r="B287" s="10" t="s">
        <v>3264</v>
      </c>
      <c r="C287" s="11" t="s">
        <v>3040</v>
      </c>
      <c r="D287" s="11" t="s">
        <v>24</v>
      </c>
      <c r="E287" s="12">
        <v>45952.450138888889</v>
      </c>
      <c r="F287" s="10" t="str">
        <f>TEXT(events[[#This Row],[Start Date]],"DDD")</f>
        <v>Wed</v>
      </c>
      <c r="G287" s="10">
        <f>YEAR(events[[#This Row],[Start Date]])</f>
        <v>2025</v>
      </c>
      <c r="H287" s="10" t="str">
        <f>TEXT(events[[#This Row],[Start Date]],"mmm")</f>
        <v>Oct</v>
      </c>
      <c r="I287" s="10" t="str">
        <f>CONCATENATE("WK_",WEEKNUM(events[[#This Row],[Start Date]]))</f>
        <v>WK_43</v>
      </c>
      <c r="J287" s="12">
        <v>45952.450185185182</v>
      </c>
      <c r="K287" s="10">
        <v>43</v>
      </c>
      <c r="L287" s="10" t="s">
        <v>25</v>
      </c>
      <c r="M287" s="10" t="s">
        <v>275</v>
      </c>
      <c r="N287" s="13">
        <f t="shared" si="4"/>
        <v>6.6666666666666666E-2</v>
      </c>
      <c r="O287" s="14" t="s">
        <v>92</v>
      </c>
      <c r="P287" s="14" t="s">
        <v>92</v>
      </c>
      <c r="Q287" s="14" t="s">
        <v>750</v>
      </c>
      <c r="R287" s="14" t="s">
        <v>750</v>
      </c>
      <c r="S287" s="14" t="s">
        <v>1498</v>
      </c>
      <c r="T287" s="14" t="s">
        <v>1499</v>
      </c>
      <c r="U287" s="15">
        <v>0</v>
      </c>
      <c r="V287" s="10">
        <v>1</v>
      </c>
    </row>
    <row r="288" spans="1:22" ht="18" customHeight="1" x14ac:dyDescent="0.35">
      <c r="A288" s="10" t="s">
        <v>47</v>
      </c>
      <c r="B288" s="10" t="s">
        <v>3264</v>
      </c>
      <c r="C288" s="11" t="s">
        <v>3040</v>
      </c>
      <c r="D288" s="11" t="s">
        <v>24</v>
      </c>
      <c r="E288" s="12">
        <v>45952.434328703705</v>
      </c>
      <c r="F288" s="10" t="str">
        <f>TEXT(events[[#This Row],[Start Date]],"DDD")</f>
        <v>Wed</v>
      </c>
      <c r="G288" s="10">
        <f>YEAR(events[[#This Row],[Start Date]])</f>
        <v>2025</v>
      </c>
      <c r="H288" s="10" t="str">
        <f>TEXT(events[[#This Row],[Start Date]],"mmm")</f>
        <v>Oct</v>
      </c>
      <c r="I288" s="10" t="str">
        <f>CONCATENATE("WK_",WEEKNUM(events[[#This Row],[Start Date]]))</f>
        <v>WK_43</v>
      </c>
      <c r="J288" s="12">
        <v>45952.434479166666</v>
      </c>
      <c r="K288" s="10">
        <v>44</v>
      </c>
      <c r="L288" s="10" t="s">
        <v>25</v>
      </c>
      <c r="M288" s="10" t="s">
        <v>167</v>
      </c>
      <c r="N288" s="13">
        <f t="shared" si="4"/>
        <v>0.21666666666666667</v>
      </c>
      <c r="O288" s="14" t="s">
        <v>92</v>
      </c>
      <c r="P288" s="14" t="s">
        <v>92</v>
      </c>
      <c r="Q288" s="14"/>
      <c r="R288" s="14"/>
      <c r="S288" s="14" t="s">
        <v>1496</v>
      </c>
      <c r="T288" s="14" t="s">
        <v>1497</v>
      </c>
      <c r="U288" s="15">
        <v>0.188</v>
      </c>
      <c r="V288" s="10">
        <v>1</v>
      </c>
    </row>
    <row r="289" spans="1:22" ht="18" customHeight="1" x14ac:dyDescent="0.35">
      <c r="A289" s="10" t="s">
        <v>47</v>
      </c>
      <c r="B289" s="10" t="s">
        <v>3264</v>
      </c>
      <c r="C289" s="11" t="s">
        <v>3040</v>
      </c>
      <c r="D289" s="11" t="s">
        <v>24</v>
      </c>
      <c r="E289" s="12">
        <v>45952.433148148149</v>
      </c>
      <c r="F289" s="10" t="str">
        <f>TEXT(events[[#This Row],[Start Date]],"DDD")</f>
        <v>Wed</v>
      </c>
      <c r="G289" s="10">
        <f>YEAR(events[[#This Row],[Start Date]])</f>
        <v>2025</v>
      </c>
      <c r="H289" s="10" t="str">
        <f>TEXT(events[[#This Row],[Start Date]],"mmm")</f>
        <v>Oct</v>
      </c>
      <c r="I289" s="10" t="str">
        <f>CONCATENATE("WK_",WEEKNUM(events[[#This Row],[Start Date]]))</f>
        <v>WK_43</v>
      </c>
      <c r="J289" s="12">
        <v>45952.433425925927</v>
      </c>
      <c r="K289" s="10">
        <v>38</v>
      </c>
      <c r="L289" s="10" t="s">
        <v>25</v>
      </c>
      <c r="M289" s="10" t="s">
        <v>124</v>
      </c>
      <c r="N289" s="13">
        <f t="shared" si="4"/>
        <v>0.4</v>
      </c>
      <c r="O289" s="14" t="s">
        <v>92</v>
      </c>
      <c r="P289" s="14" t="s">
        <v>92</v>
      </c>
      <c r="Q289" s="14"/>
      <c r="R289" s="14"/>
      <c r="S289" s="14" t="s">
        <v>1494</v>
      </c>
      <c r="T289" s="14" t="s">
        <v>1495</v>
      </c>
      <c r="U289" s="15">
        <v>0.28100000000000003</v>
      </c>
      <c r="V289" s="10">
        <v>1</v>
      </c>
    </row>
    <row r="290" spans="1:22" ht="18" customHeight="1" x14ac:dyDescent="0.35">
      <c r="A290" s="10" t="s">
        <v>47</v>
      </c>
      <c r="B290" s="10" t="s">
        <v>3264</v>
      </c>
      <c r="C290" s="11" t="s">
        <v>3040</v>
      </c>
      <c r="D290" s="11" t="s">
        <v>24</v>
      </c>
      <c r="E290" s="12">
        <v>45952.314895833333</v>
      </c>
      <c r="F290" s="10" t="str">
        <f>TEXT(events[[#This Row],[Start Date]],"DDD")</f>
        <v>Wed</v>
      </c>
      <c r="G290" s="10">
        <f>YEAR(events[[#This Row],[Start Date]])</f>
        <v>2025</v>
      </c>
      <c r="H290" s="10" t="str">
        <f>TEXT(events[[#This Row],[Start Date]],"mmm")</f>
        <v>Oct</v>
      </c>
      <c r="I290" s="10" t="str">
        <f>CONCATENATE("WK_",WEEKNUM(events[[#This Row],[Start Date]]))</f>
        <v>WK_43</v>
      </c>
      <c r="J290" s="12">
        <v>45952.315104166664</v>
      </c>
      <c r="K290" s="10">
        <v>42</v>
      </c>
      <c r="L290" s="10" t="s">
        <v>25</v>
      </c>
      <c r="M290" s="10" t="s">
        <v>120</v>
      </c>
      <c r="N290" s="13">
        <f t="shared" si="4"/>
        <v>0.3</v>
      </c>
      <c r="O290" s="14" t="s">
        <v>92</v>
      </c>
      <c r="P290" s="14" t="s">
        <v>92</v>
      </c>
      <c r="Q290" s="14"/>
      <c r="R290" s="14"/>
      <c r="S290" s="14" t="s">
        <v>1492</v>
      </c>
      <c r="T290" s="14" t="s">
        <v>1493</v>
      </c>
      <c r="U290" s="15">
        <v>0.188</v>
      </c>
      <c r="V290" s="10">
        <v>1</v>
      </c>
    </row>
    <row r="291" spans="1:22" ht="18" customHeight="1" x14ac:dyDescent="0.35">
      <c r="A291" s="10" t="s">
        <v>47</v>
      </c>
      <c r="B291" s="10" t="s">
        <v>3264</v>
      </c>
      <c r="C291" s="11" t="s">
        <v>3040</v>
      </c>
      <c r="D291" s="11" t="s">
        <v>24</v>
      </c>
      <c r="E291" s="12">
        <v>45952.273206018515</v>
      </c>
      <c r="F291" s="10" t="str">
        <f>TEXT(events[[#This Row],[Start Date]],"DDD")</f>
        <v>Wed</v>
      </c>
      <c r="G291" s="10">
        <f>YEAR(events[[#This Row],[Start Date]])</f>
        <v>2025</v>
      </c>
      <c r="H291" s="10" t="str">
        <f>TEXT(events[[#This Row],[Start Date]],"mmm")</f>
        <v>Oct</v>
      </c>
      <c r="I291" s="10" t="str">
        <f>CONCATENATE("WK_",WEEKNUM(events[[#This Row],[Start Date]]))</f>
        <v>WK_43</v>
      </c>
      <c r="J291" s="12">
        <v>45952.273379629631</v>
      </c>
      <c r="K291" s="10">
        <v>66</v>
      </c>
      <c r="L291" s="10" t="s">
        <v>25</v>
      </c>
      <c r="M291" s="10" t="s">
        <v>394</v>
      </c>
      <c r="N291" s="13">
        <f t="shared" si="4"/>
        <v>0.25</v>
      </c>
      <c r="O291" s="14" t="s">
        <v>92</v>
      </c>
      <c r="P291" s="14" t="s">
        <v>92</v>
      </c>
      <c r="Q291" s="14" t="s">
        <v>93</v>
      </c>
      <c r="R291" s="14" t="s">
        <v>93</v>
      </c>
      <c r="S291" s="14" t="s">
        <v>1490</v>
      </c>
      <c r="T291" s="14" t="s">
        <v>1491</v>
      </c>
      <c r="U291" s="15">
        <v>0.28100000000000003</v>
      </c>
      <c r="V291" s="10">
        <v>1</v>
      </c>
    </row>
    <row r="292" spans="1:22" ht="18" customHeight="1" x14ac:dyDescent="0.35">
      <c r="A292" s="10" t="s">
        <v>47</v>
      </c>
      <c r="B292" s="10" t="s">
        <v>3265</v>
      </c>
      <c r="C292" s="11" t="s">
        <v>3041</v>
      </c>
      <c r="D292" s="11" t="s">
        <v>74</v>
      </c>
      <c r="E292" s="12">
        <v>45951.277256944442</v>
      </c>
      <c r="F292" s="10" t="str">
        <f>TEXT(events[[#This Row],[Start Date]],"DDD")</f>
        <v>Tue</v>
      </c>
      <c r="G292" s="10">
        <f>YEAR(events[[#This Row],[Start Date]])</f>
        <v>2025</v>
      </c>
      <c r="H292" s="10" t="str">
        <f>TEXT(events[[#This Row],[Start Date]],"mmm")</f>
        <v>Oct</v>
      </c>
      <c r="I292" s="10" t="str">
        <f>CONCATENATE("WK_",WEEKNUM(events[[#This Row],[Start Date]]))</f>
        <v>WK_43</v>
      </c>
      <c r="J292" s="12">
        <v>45951.277268518519</v>
      </c>
      <c r="K292" s="10">
        <v>82</v>
      </c>
      <c r="L292" s="10" t="s">
        <v>25</v>
      </c>
      <c r="M292" s="10" t="s">
        <v>26</v>
      </c>
      <c r="N292" s="13">
        <f t="shared" si="4"/>
        <v>1.6666666666666666E-2</v>
      </c>
      <c r="O292" s="14" t="s">
        <v>92</v>
      </c>
      <c r="P292" s="14" t="s">
        <v>92</v>
      </c>
      <c r="Q292" s="14"/>
      <c r="R292" s="14"/>
      <c r="S292" s="14" t="s">
        <v>1503</v>
      </c>
      <c r="T292" s="14" t="s">
        <v>1504</v>
      </c>
      <c r="U292" s="15">
        <v>0.10199999999999999</v>
      </c>
      <c r="V292" s="10">
        <v>1</v>
      </c>
    </row>
    <row r="293" spans="1:22" ht="18" customHeight="1" x14ac:dyDescent="0.35">
      <c r="A293" s="10" t="s">
        <v>47</v>
      </c>
      <c r="B293" s="10" t="s">
        <v>3266</v>
      </c>
      <c r="C293" s="11" t="s">
        <v>3042</v>
      </c>
      <c r="D293" s="11" t="s">
        <v>74</v>
      </c>
      <c r="E293" s="12">
        <v>45951.276875000003</v>
      </c>
      <c r="F293" s="10" t="str">
        <f>TEXT(events[[#This Row],[Start Date]],"DDD")</f>
        <v>Tue</v>
      </c>
      <c r="G293" s="10">
        <f>YEAR(events[[#This Row],[Start Date]])</f>
        <v>2025</v>
      </c>
      <c r="H293" s="10" t="str">
        <f>TEXT(events[[#This Row],[Start Date]],"mmm")</f>
        <v>Oct</v>
      </c>
      <c r="I293" s="10" t="str">
        <f>CONCATENATE("WK_",WEEKNUM(events[[#This Row],[Start Date]]))</f>
        <v>WK_43</v>
      </c>
      <c r="J293" s="12">
        <v>45951.27715277778</v>
      </c>
      <c r="K293" s="10">
        <v>82</v>
      </c>
      <c r="L293" s="10" t="s">
        <v>25</v>
      </c>
      <c r="M293" s="10" t="s">
        <v>124</v>
      </c>
      <c r="N293" s="13">
        <f t="shared" si="4"/>
        <v>0.4</v>
      </c>
      <c r="O293" s="14" t="s">
        <v>92</v>
      </c>
      <c r="P293" s="14" t="s">
        <v>92</v>
      </c>
      <c r="Q293" s="14"/>
      <c r="R293" s="14"/>
      <c r="S293" s="14" t="s">
        <v>1500</v>
      </c>
      <c r="T293" s="14" t="s">
        <v>1501</v>
      </c>
      <c r="U293" s="15">
        <v>0.59399999999999997</v>
      </c>
      <c r="V293" s="10">
        <v>1</v>
      </c>
    </row>
    <row r="294" spans="1:22" ht="18" customHeight="1" x14ac:dyDescent="0.35">
      <c r="A294" s="10" t="s">
        <v>23</v>
      </c>
      <c r="B294" s="10" t="s">
        <v>3196</v>
      </c>
      <c r="C294" s="11" t="s">
        <v>2963</v>
      </c>
      <c r="D294" s="11" t="s">
        <v>82</v>
      </c>
      <c r="E294" s="12">
        <v>45950.775636574072</v>
      </c>
      <c r="F294" s="10" t="str">
        <f>TEXT(events[[#This Row],[Start Date]],"DDD")</f>
        <v>Mon</v>
      </c>
      <c r="G294" s="10">
        <f>YEAR(events[[#This Row],[Start Date]])</f>
        <v>2025</v>
      </c>
      <c r="H294" s="10" t="str">
        <f>TEXT(events[[#This Row],[Start Date]],"mmm")</f>
        <v>Oct</v>
      </c>
      <c r="I294" s="10" t="str">
        <f>CONCATENATE("WK_",WEEKNUM(events[[#This Row],[Start Date]]))</f>
        <v>WK_43</v>
      </c>
      <c r="J294" s="12">
        <v>45950.775648148148</v>
      </c>
      <c r="K294" s="10">
        <v>16</v>
      </c>
      <c r="L294" s="10" t="s">
        <v>83</v>
      </c>
      <c r="M294" s="10" t="s">
        <v>26</v>
      </c>
      <c r="N294" s="13">
        <f t="shared" si="4"/>
        <v>1.6666666666666666E-2</v>
      </c>
      <c r="O294" s="14" t="s">
        <v>27</v>
      </c>
      <c r="P294" s="14"/>
      <c r="Q294" s="14"/>
      <c r="R294" s="14"/>
      <c r="S294" s="14" t="s">
        <v>1481</v>
      </c>
      <c r="T294" s="14"/>
      <c r="U294" s="15">
        <v>0</v>
      </c>
      <c r="V294" s="10">
        <v>1</v>
      </c>
    </row>
    <row r="295" spans="1:22" ht="18" customHeight="1" x14ac:dyDescent="0.35">
      <c r="A295" s="10" t="s">
        <v>123</v>
      </c>
      <c r="B295" s="10" t="s">
        <v>3198</v>
      </c>
      <c r="C295" s="11" t="s">
        <v>2965</v>
      </c>
      <c r="D295" s="11" t="s">
        <v>74</v>
      </c>
      <c r="E295" s="12">
        <v>45950.689780092594</v>
      </c>
      <c r="F295" s="10" t="str">
        <f>TEXT(events[[#This Row],[Start Date]],"DDD")</f>
        <v>Mon</v>
      </c>
      <c r="G295" s="10">
        <f>YEAR(events[[#This Row],[Start Date]])</f>
        <v>2025</v>
      </c>
      <c r="H295" s="10" t="str">
        <f>TEXT(events[[#This Row],[Start Date]],"mmm")</f>
        <v>Oct</v>
      </c>
      <c r="I295" s="10" t="str">
        <f>CONCATENATE("WK_",WEEKNUM(events[[#This Row],[Start Date]]))</f>
        <v>WK_43</v>
      </c>
      <c r="J295" s="12">
        <v>45950.690185185187</v>
      </c>
      <c r="K295" s="10">
        <v>86</v>
      </c>
      <c r="L295" s="10" t="s">
        <v>25</v>
      </c>
      <c r="M295" s="10" t="s">
        <v>215</v>
      </c>
      <c r="N295" s="13">
        <f t="shared" si="4"/>
        <v>0.58333333333333337</v>
      </c>
      <c r="O295" s="14"/>
      <c r="P295" s="14"/>
      <c r="Q295" s="14"/>
      <c r="R295" s="14"/>
      <c r="S295" s="14" t="s">
        <v>1519</v>
      </c>
      <c r="T295" s="14" t="s">
        <v>1520</v>
      </c>
      <c r="U295" s="15">
        <v>0.9</v>
      </c>
      <c r="V295" s="10">
        <v>1</v>
      </c>
    </row>
    <row r="296" spans="1:22" ht="18" customHeight="1" x14ac:dyDescent="0.35">
      <c r="A296" s="10" t="s">
        <v>47</v>
      </c>
      <c r="B296" s="10" t="s">
        <v>3267</v>
      </c>
      <c r="C296" s="11" t="s">
        <v>3043</v>
      </c>
      <c r="D296" s="11" t="s">
        <v>74</v>
      </c>
      <c r="E296" s="12">
        <v>45950.373402777775</v>
      </c>
      <c r="F296" s="10" t="str">
        <f>TEXT(events[[#This Row],[Start Date]],"DDD")</f>
        <v>Mon</v>
      </c>
      <c r="G296" s="10">
        <f>YEAR(events[[#This Row],[Start Date]])</f>
        <v>2025</v>
      </c>
      <c r="H296" s="10" t="str">
        <f>TEXT(events[[#This Row],[Start Date]],"mmm")</f>
        <v>Oct</v>
      </c>
      <c r="I296" s="10" t="str">
        <f>CONCATENATE("WK_",WEEKNUM(events[[#This Row],[Start Date]]))</f>
        <v>WK_43</v>
      </c>
      <c r="J296" s="12">
        <v>45950.373437499999</v>
      </c>
      <c r="K296" s="10">
        <v>85</v>
      </c>
      <c r="L296" s="10" t="s">
        <v>25</v>
      </c>
      <c r="M296" s="10" t="s">
        <v>75</v>
      </c>
      <c r="N296" s="13">
        <f t="shared" si="4"/>
        <v>0.05</v>
      </c>
      <c r="O296" s="14" t="s">
        <v>268</v>
      </c>
      <c r="P296" s="14" t="s">
        <v>268</v>
      </c>
      <c r="Q296" s="14"/>
      <c r="R296" s="14"/>
      <c r="S296" s="14" t="s">
        <v>1484</v>
      </c>
      <c r="T296" s="14" t="s">
        <v>1485</v>
      </c>
      <c r="U296" s="15">
        <v>0.125</v>
      </c>
      <c r="V296" s="10">
        <v>1</v>
      </c>
    </row>
    <row r="297" spans="1:22" ht="18" customHeight="1" x14ac:dyDescent="0.35">
      <c r="A297" s="10" t="s">
        <v>47</v>
      </c>
      <c r="B297" s="10" t="s">
        <v>3267</v>
      </c>
      <c r="C297" s="11" t="s">
        <v>3043</v>
      </c>
      <c r="D297" s="11" t="s">
        <v>74</v>
      </c>
      <c r="E297" s="12">
        <v>45950.345312500001</v>
      </c>
      <c r="F297" s="10" t="str">
        <f>TEXT(events[[#This Row],[Start Date]],"DDD")</f>
        <v>Mon</v>
      </c>
      <c r="G297" s="10">
        <f>YEAR(events[[#This Row],[Start Date]])</f>
        <v>2025</v>
      </c>
      <c r="H297" s="10" t="str">
        <f>TEXT(events[[#This Row],[Start Date]],"mmm")</f>
        <v>Oct</v>
      </c>
      <c r="I297" s="10" t="str">
        <f>CONCATENATE("WK_",WEEKNUM(events[[#This Row],[Start Date]]))</f>
        <v>WK_43</v>
      </c>
      <c r="J297" s="12">
        <v>45950.345324074071</v>
      </c>
      <c r="K297" s="10">
        <v>82</v>
      </c>
      <c r="L297" s="10" t="s">
        <v>25</v>
      </c>
      <c r="M297" s="10" t="s">
        <v>26</v>
      </c>
      <c r="N297" s="13">
        <f t="shared" si="4"/>
        <v>1.6666666666666666E-2</v>
      </c>
      <c r="O297" s="14" t="s">
        <v>157</v>
      </c>
      <c r="P297" s="14" t="s">
        <v>157</v>
      </c>
      <c r="Q297" s="14"/>
      <c r="R297" s="14"/>
      <c r="S297" s="14" t="s">
        <v>1482</v>
      </c>
      <c r="T297" s="14" t="s">
        <v>1483</v>
      </c>
      <c r="U297" s="15">
        <v>0.125</v>
      </c>
      <c r="V297" s="10">
        <v>1</v>
      </c>
    </row>
    <row r="298" spans="1:22" ht="18" customHeight="1" x14ac:dyDescent="0.35">
      <c r="A298" s="10" t="s">
        <v>47</v>
      </c>
      <c r="B298" s="10" t="s">
        <v>3264</v>
      </c>
      <c r="C298" s="11" t="s">
        <v>3040</v>
      </c>
      <c r="D298" s="11" t="s">
        <v>24</v>
      </c>
      <c r="E298" s="12">
        <v>45949.849363425928</v>
      </c>
      <c r="F298" s="10" t="str">
        <f>TEXT(events[[#This Row],[Start Date]],"DDD")</f>
        <v>Sun</v>
      </c>
      <c r="G298" s="10">
        <f>YEAR(events[[#This Row],[Start Date]])</f>
        <v>2025</v>
      </c>
      <c r="H298" s="10" t="str">
        <f>TEXT(events[[#This Row],[Start Date]],"mmm")</f>
        <v>Oct</v>
      </c>
      <c r="I298" s="10" t="str">
        <f>CONCATENATE("WK_",WEEKNUM(events[[#This Row],[Start Date]]))</f>
        <v>WK_43</v>
      </c>
      <c r="J298" s="12">
        <v>45949.849386574075</v>
      </c>
      <c r="K298" s="10">
        <v>32</v>
      </c>
      <c r="L298" s="10" t="s">
        <v>25</v>
      </c>
      <c r="M298" s="10" t="s">
        <v>31</v>
      </c>
      <c r="N298" s="13">
        <f t="shared" si="4"/>
        <v>3.3333333333333333E-2</v>
      </c>
      <c r="O298" s="14" t="s">
        <v>27</v>
      </c>
      <c r="P298" s="14" t="s">
        <v>27</v>
      </c>
      <c r="Q298" s="14"/>
      <c r="R298" s="14"/>
      <c r="S298" s="14" t="s">
        <v>1488</v>
      </c>
      <c r="T298" s="14" t="s">
        <v>1489</v>
      </c>
      <c r="U298" s="15">
        <v>0</v>
      </c>
      <c r="V298" s="10">
        <v>1</v>
      </c>
    </row>
    <row r="299" spans="1:22" ht="18" customHeight="1" x14ac:dyDescent="0.35">
      <c r="A299" s="10" t="s">
        <v>47</v>
      </c>
      <c r="B299" s="10" t="s">
        <v>3264</v>
      </c>
      <c r="C299" s="11" t="s">
        <v>3040</v>
      </c>
      <c r="D299" s="11" t="s">
        <v>24</v>
      </c>
      <c r="E299" s="12">
        <v>45949.84814814815</v>
      </c>
      <c r="F299" s="10" t="str">
        <f>TEXT(events[[#This Row],[Start Date]],"DDD")</f>
        <v>Sun</v>
      </c>
      <c r="G299" s="10">
        <f>YEAR(events[[#This Row],[Start Date]])</f>
        <v>2025</v>
      </c>
      <c r="H299" s="10" t="str">
        <f>TEXT(events[[#This Row],[Start Date]],"mmm")</f>
        <v>Oct</v>
      </c>
      <c r="I299" s="10" t="str">
        <f>CONCATENATE("WK_",WEEKNUM(events[[#This Row],[Start Date]]))</f>
        <v>WK_43</v>
      </c>
      <c r="J299" s="12">
        <v>45949.848229166666</v>
      </c>
      <c r="K299" s="10">
        <v>58</v>
      </c>
      <c r="L299" s="10" t="s">
        <v>25</v>
      </c>
      <c r="M299" s="10" t="s">
        <v>115</v>
      </c>
      <c r="N299" s="13">
        <f t="shared" si="4"/>
        <v>0.11666666666666667</v>
      </c>
      <c r="O299" s="14" t="s">
        <v>27</v>
      </c>
      <c r="P299" s="14" t="s">
        <v>27</v>
      </c>
      <c r="Q299" s="14"/>
      <c r="R299" s="14"/>
      <c r="S299" s="14" t="s">
        <v>1486</v>
      </c>
      <c r="T299" s="14" t="s">
        <v>1487</v>
      </c>
      <c r="U299" s="15">
        <v>9.4E-2</v>
      </c>
      <c r="V299" s="10">
        <v>1</v>
      </c>
    </row>
    <row r="300" spans="1:22" ht="18" customHeight="1" x14ac:dyDescent="0.35">
      <c r="A300" s="10" t="s">
        <v>123</v>
      </c>
      <c r="B300" s="10" t="s">
        <v>3160</v>
      </c>
      <c r="C300" s="11" t="s">
        <v>2926</v>
      </c>
      <c r="D300" s="11" t="s">
        <v>74</v>
      </c>
      <c r="E300" s="12">
        <v>45949.435798611114</v>
      </c>
      <c r="F300" s="10" t="str">
        <f>TEXT(events[[#This Row],[Start Date]],"DDD")</f>
        <v>Sun</v>
      </c>
      <c r="G300" s="10">
        <f>YEAR(events[[#This Row],[Start Date]])</f>
        <v>2025</v>
      </c>
      <c r="H300" s="10" t="str">
        <f>TEXT(events[[#This Row],[Start Date]],"mmm")</f>
        <v>Oct</v>
      </c>
      <c r="I300" s="10" t="str">
        <f>CONCATENATE("WK_",WEEKNUM(events[[#This Row],[Start Date]]))</f>
        <v>WK_43</v>
      </c>
      <c r="J300" s="12">
        <v>45949.436493055553</v>
      </c>
      <c r="K300" s="10">
        <v>100</v>
      </c>
      <c r="L300" s="10" t="s">
        <v>25</v>
      </c>
      <c r="M300" s="10" t="s">
        <v>177</v>
      </c>
      <c r="N300" s="13">
        <f t="shared" si="4"/>
        <v>1</v>
      </c>
      <c r="O300" s="14"/>
      <c r="P300" s="14"/>
      <c r="Q300" s="14"/>
      <c r="R300" s="14"/>
      <c r="S300" s="14" t="s">
        <v>1511</v>
      </c>
      <c r="T300" s="14" t="s">
        <v>1512</v>
      </c>
      <c r="U300" s="15">
        <v>1.5</v>
      </c>
      <c r="V300" s="10">
        <v>1</v>
      </c>
    </row>
    <row r="301" spans="1:22" ht="18" customHeight="1" x14ac:dyDescent="0.35">
      <c r="A301" s="10" t="s">
        <v>47</v>
      </c>
      <c r="B301" s="10" t="s">
        <v>3268</v>
      </c>
      <c r="C301" s="11" t="s">
        <v>3044</v>
      </c>
      <c r="D301" s="11" t="s">
        <v>82</v>
      </c>
      <c r="E301" s="12">
        <v>45949.326597222222</v>
      </c>
      <c r="F301" s="10" t="str">
        <f>TEXT(events[[#This Row],[Start Date]],"DDD")</f>
        <v>Sun</v>
      </c>
      <c r="G301" s="10">
        <f>YEAR(events[[#This Row],[Start Date]])</f>
        <v>2025</v>
      </c>
      <c r="H301" s="10" t="str">
        <f>TEXT(events[[#This Row],[Start Date]],"mmm")</f>
        <v>Oct</v>
      </c>
      <c r="I301" s="10" t="str">
        <f>CONCATENATE("WK_",WEEKNUM(events[[#This Row],[Start Date]]))</f>
        <v>WK_43</v>
      </c>
      <c r="J301" s="12">
        <v>45949.326608796298</v>
      </c>
      <c r="K301" s="10">
        <v>16</v>
      </c>
      <c r="L301" s="10" t="s">
        <v>83</v>
      </c>
      <c r="M301" s="10" t="s">
        <v>26</v>
      </c>
      <c r="N301" s="13">
        <f t="shared" si="4"/>
        <v>1.6666666666666666E-2</v>
      </c>
      <c r="O301" s="14" t="s">
        <v>157</v>
      </c>
      <c r="P301" s="14"/>
      <c r="Q301" s="14"/>
      <c r="R301" s="14"/>
      <c r="S301" s="14" t="s">
        <v>1502</v>
      </c>
      <c r="T301" s="14"/>
      <c r="U301" s="15">
        <v>0</v>
      </c>
      <c r="V301" s="10">
        <v>1</v>
      </c>
    </row>
    <row r="302" spans="1:22" ht="18" customHeight="1" x14ac:dyDescent="0.35">
      <c r="A302" s="10" t="s">
        <v>123</v>
      </c>
      <c r="B302" s="10" t="s">
        <v>3269</v>
      </c>
      <c r="C302" s="11" t="s">
        <v>3045</v>
      </c>
      <c r="D302" s="11" t="s">
        <v>74</v>
      </c>
      <c r="E302" s="12">
        <v>45947.832060185188</v>
      </c>
      <c r="F302" s="10" t="str">
        <f>TEXT(events[[#This Row],[Start Date]],"DDD")</f>
        <v>Fri</v>
      </c>
      <c r="G302" s="10">
        <f>YEAR(events[[#This Row],[Start Date]])</f>
        <v>2025</v>
      </c>
      <c r="H302" s="10" t="str">
        <f>TEXT(events[[#This Row],[Start Date]],"mmm")</f>
        <v>Oct</v>
      </c>
      <c r="I302" s="10" t="str">
        <f>CONCATENATE("WK_",WEEKNUM(events[[#This Row],[Start Date]]))</f>
        <v>WK_42</v>
      </c>
      <c r="J302" s="12">
        <v>45947.833437499998</v>
      </c>
      <c r="K302" s="10">
        <v>103</v>
      </c>
      <c r="L302" s="10" t="s">
        <v>25</v>
      </c>
      <c r="M302" s="10" t="s">
        <v>794</v>
      </c>
      <c r="N302" s="13">
        <f t="shared" si="4"/>
        <v>1.9833333333333334</v>
      </c>
      <c r="O302" s="14"/>
      <c r="P302" s="14"/>
      <c r="Q302" s="14"/>
      <c r="R302" s="14"/>
      <c r="S302" s="14" t="s">
        <v>1509</v>
      </c>
      <c r="T302" s="14" t="s">
        <v>1510</v>
      </c>
      <c r="U302" s="15">
        <v>3</v>
      </c>
      <c r="V302" s="10">
        <v>1</v>
      </c>
    </row>
    <row r="303" spans="1:22" ht="18" customHeight="1" x14ac:dyDescent="0.35">
      <c r="A303" s="10" t="s">
        <v>23</v>
      </c>
      <c r="B303" s="10" t="s">
        <v>3226</v>
      </c>
      <c r="C303" s="11" t="s">
        <v>2994</v>
      </c>
      <c r="D303" s="11" t="s">
        <v>24</v>
      </c>
      <c r="E303" s="12">
        <v>45947.714178240742</v>
      </c>
      <c r="F303" s="10" t="str">
        <f>TEXT(events[[#This Row],[Start Date]],"DDD")</f>
        <v>Fri</v>
      </c>
      <c r="G303" s="10">
        <f>YEAR(events[[#This Row],[Start Date]])</f>
        <v>2025</v>
      </c>
      <c r="H303" s="10" t="str">
        <f>TEXT(events[[#This Row],[Start Date]],"mmm")</f>
        <v>Oct</v>
      </c>
      <c r="I303" s="10" t="str">
        <f>CONCATENATE("WK_",WEEKNUM(events[[#This Row],[Start Date]]))</f>
        <v>WK_42</v>
      </c>
      <c r="J303" s="12">
        <v>45947.714317129627</v>
      </c>
      <c r="K303" s="10">
        <v>48</v>
      </c>
      <c r="L303" s="10" t="s">
        <v>25</v>
      </c>
      <c r="M303" s="10" t="s">
        <v>1111</v>
      </c>
      <c r="N303" s="13">
        <f t="shared" si="4"/>
        <v>0.2</v>
      </c>
      <c r="O303" s="14" t="s">
        <v>138</v>
      </c>
      <c r="P303" s="14" t="s">
        <v>138</v>
      </c>
      <c r="Q303" s="14"/>
      <c r="R303" s="14"/>
      <c r="S303" s="14" t="s">
        <v>1479</v>
      </c>
      <c r="T303" s="14" t="s">
        <v>1480</v>
      </c>
      <c r="U303" s="15">
        <v>0.125</v>
      </c>
      <c r="V303" s="10">
        <v>1</v>
      </c>
    </row>
    <row r="304" spans="1:22" ht="18" customHeight="1" x14ac:dyDescent="0.35">
      <c r="A304" s="10" t="s">
        <v>23</v>
      </c>
      <c r="B304" s="10" t="s">
        <v>3226</v>
      </c>
      <c r="C304" s="11" t="s">
        <v>2994</v>
      </c>
      <c r="D304" s="11" t="s">
        <v>24</v>
      </c>
      <c r="E304" s="12">
        <v>45947.713888888888</v>
      </c>
      <c r="F304" s="10" t="str">
        <f>TEXT(events[[#This Row],[Start Date]],"DDD")</f>
        <v>Fri</v>
      </c>
      <c r="G304" s="10">
        <f>YEAR(events[[#This Row],[Start Date]])</f>
        <v>2025</v>
      </c>
      <c r="H304" s="10" t="str">
        <f>TEXT(events[[#This Row],[Start Date]],"mmm")</f>
        <v>Oct</v>
      </c>
      <c r="I304" s="10" t="str">
        <f>CONCATENATE("WK_",WEEKNUM(events[[#This Row],[Start Date]]))</f>
        <v>WK_42</v>
      </c>
      <c r="J304" s="12">
        <v>45947.71398148148</v>
      </c>
      <c r="K304" s="10">
        <v>61</v>
      </c>
      <c r="L304" s="10" t="s">
        <v>25</v>
      </c>
      <c r="M304" s="10" t="s">
        <v>357</v>
      </c>
      <c r="N304" s="13">
        <f t="shared" si="4"/>
        <v>0.13333333333333333</v>
      </c>
      <c r="O304" s="14" t="s">
        <v>138</v>
      </c>
      <c r="P304" s="14" t="s">
        <v>138</v>
      </c>
      <c r="Q304" s="14"/>
      <c r="R304" s="14"/>
      <c r="S304" s="14" t="s">
        <v>1477</v>
      </c>
      <c r="T304" s="14" t="s">
        <v>1478</v>
      </c>
      <c r="U304" s="15">
        <v>9.4E-2</v>
      </c>
      <c r="V304" s="10">
        <v>1</v>
      </c>
    </row>
    <row r="305" spans="1:22" ht="18" customHeight="1" x14ac:dyDescent="0.35">
      <c r="A305" s="10" t="s">
        <v>123</v>
      </c>
      <c r="B305" s="10" t="s">
        <v>3206</v>
      </c>
      <c r="C305" s="11" t="s">
        <v>2974</v>
      </c>
      <c r="D305" s="11" t="s">
        <v>74</v>
      </c>
      <c r="E305" s="12">
        <v>45947.68005787037</v>
      </c>
      <c r="F305" s="10" t="str">
        <f>TEXT(events[[#This Row],[Start Date]],"DDD")</f>
        <v>Fri</v>
      </c>
      <c r="G305" s="10">
        <f>YEAR(events[[#This Row],[Start Date]])</f>
        <v>2025</v>
      </c>
      <c r="H305" s="10" t="str">
        <f>TEXT(events[[#This Row],[Start Date]],"mmm")</f>
        <v>Oct</v>
      </c>
      <c r="I305" s="10" t="str">
        <f>CONCATENATE("WK_",WEEKNUM(events[[#This Row],[Start Date]]))</f>
        <v>WK_42</v>
      </c>
      <c r="J305" s="12">
        <v>45947.680972222224</v>
      </c>
      <c r="K305" s="10">
        <v>98</v>
      </c>
      <c r="L305" s="10" t="s">
        <v>25</v>
      </c>
      <c r="M305" s="10" t="s">
        <v>441</v>
      </c>
      <c r="N305" s="13">
        <f t="shared" si="4"/>
        <v>1.3166666666666667</v>
      </c>
      <c r="O305" s="14"/>
      <c r="P305" s="14"/>
      <c r="Q305" s="14"/>
      <c r="R305" s="14"/>
      <c r="S305" s="14" t="s">
        <v>1507</v>
      </c>
      <c r="T305" s="14" t="s">
        <v>1508</v>
      </c>
      <c r="U305" s="15">
        <v>2</v>
      </c>
      <c r="V305" s="10">
        <v>1</v>
      </c>
    </row>
    <row r="306" spans="1:22" ht="18" customHeight="1" x14ac:dyDescent="0.35">
      <c r="A306" s="10" t="s">
        <v>86</v>
      </c>
      <c r="B306" s="10" t="s">
        <v>3197</v>
      </c>
      <c r="C306" s="11" t="s">
        <v>3020</v>
      </c>
      <c r="D306" s="11" t="s">
        <v>82</v>
      </c>
      <c r="E306" s="12">
        <v>45947.622152777774</v>
      </c>
      <c r="F306" s="10" t="str">
        <f>TEXT(events[[#This Row],[Start Date]],"DDD")</f>
        <v>Fri</v>
      </c>
      <c r="G306" s="10">
        <f>YEAR(events[[#This Row],[Start Date]])</f>
        <v>2025</v>
      </c>
      <c r="H306" s="10" t="str">
        <f>TEXT(events[[#This Row],[Start Date]],"mmm")</f>
        <v>Oct</v>
      </c>
      <c r="I306" s="10" t="str">
        <f>CONCATENATE("WK_",WEEKNUM(events[[#This Row],[Start Date]]))</f>
        <v>WK_42</v>
      </c>
      <c r="J306" s="12">
        <v>45947.622164351851</v>
      </c>
      <c r="K306" s="10">
        <v>26</v>
      </c>
      <c r="L306" s="10" t="s">
        <v>83</v>
      </c>
      <c r="M306" s="10" t="s">
        <v>26</v>
      </c>
      <c r="N306" s="13">
        <f t="shared" si="4"/>
        <v>1.6666666666666666E-2</v>
      </c>
      <c r="O306" s="14" t="s">
        <v>138</v>
      </c>
      <c r="P306" s="14"/>
      <c r="Q306" s="14"/>
      <c r="R306" s="14"/>
      <c r="S306" s="14" t="s">
        <v>1505</v>
      </c>
      <c r="T306" s="14"/>
      <c r="U306" s="15">
        <v>0</v>
      </c>
      <c r="V306" s="10">
        <v>1</v>
      </c>
    </row>
    <row r="307" spans="1:22" ht="18" customHeight="1" x14ac:dyDescent="0.35">
      <c r="A307" s="10" t="s">
        <v>123</v>
      </c>
      <c r="B307" s="10" t="s">
        <v>3269</v>
      </c>
      <c r="C307" s="11" t="s">
        <v>3045</v>
      </c>
      <c r="D307" s="11" t="s">
        <v>74</v>
      </c>
      <c r="E307" s="12">
        <v>45946.570509259262</v>
      </c>
      <c r="F307" s="10" t="str">
        <f>TEXT(events[[#This Row],[Start Date]],"DDD")</f>
        <v>Thu</v>
      </c>
      <c r="G307" s="10">
        <f>YEAR(events[[#This Row],[Start Date]])</f>
        <v>2025</v>
      </c>
      <c r="H307" s="10" t="str">
        <f>TEXT(events[[#This Row],[Start Date]],"mmm")</f>
        <v>Oct</v>
      </c>
      <c r="I307" s="10" t="str">
        <f>CONCATENATE("WK_",WEEKNUM(events[[#This Row],[Start Date]]))</f>
        <v>WK_42</v>
      </c>
      <c r="J307" s="12">
        <v>45946.571203703701</v>
      </c>
      <c r="K307" s="10">
        <v>100</v>
      </c>
      <c r="L307" s="10" t="s">
        <v>25</v>
      </c>
      <c r="M307" s="10" t="s">
        <v>177</v>
      </c>
      <c r="N307" s="13">
        <f t="shared" si="4"/>
        <v>1</v>
      </c>
      <c r="O307" s="14"/>
      <c r="P307" s="14"/>
      <c r="Q307" s="14"/>
      <c r="R307" s="14"/>
      <c r="S307" s="14" t="s">
        <v>1515</v>
      </c>
      <c r="T307" s="14" t="s">
        <v>1516</v>
      </c>
      <c r="U307" s="15">
        <v>1.6</v>
      </c>
      <c r="V307" s="10">
        <v>1</v>
      </c>
    </row>
    <row r="308" spans="1:22" ht="18" customHeight="1" x14ac:dyDescent="0.35">
      <c r="A308" s="10" t="s">
        <v>123</v>
      </c>
      <c r="B308" s="10" t="s">
        <v>3221</v>
      </c>
      <c r="C308" s="11" t="s">
        <v>2990</v>
      </c>
      <c r="D308" s="11" t="s">
        <v>74</v>
      </c>
      <c r="E308" s="12">
        <v>45946.397696759261</v>
      </c>
      <c r="F308" s="10" t="str">
        <f>TEXT(events[[#This Row],[Start Date]],"DDD")</f>
        <v>Thu</v>
      </c>
      <c r="G308" s="10">
        <f>YEAR(events[[#This Row],[Start Date]])</f>
        <v>2025</v>
      </c>
      <c r="H308" s="10" t="str">
        <f>TEXT(events[[#This Row],[Start Date]],"mmm")</f>
        <v>Oct</v>
      </c>
      <c r="I308" s="10" t="str">
        <f>CONCATENATE("WK_",WEEKNUM(events[[#This Row],[Start Date]]))</f>
        <v>WK_42</v>
      </c>
      <c r="J308" s="12">
        <v>45946.398379629631</v>
      </c>
      <c r="K308" s="10">
        <v>101</v>
      </c>
      <c r="L308" s="10" t="s">
        <v>25</v>
      </c>
      <c r="M308" s="10" t="s">
        <v>1273</v>
      </c>
      <c r="N308" s="13">
        <f t="shared" si="4"/>
        <v>0.96666666666666667</v>
      </c>
      <c r="O308" s="14"/>
      <c r="P308" s="14"/>
      <c r="Q308" s="14"/>
      <c r="R308" s="14"/>
      <c r="S308" s="14" t="s">
        <v>1517</v>
      </c>
      <c r="T308" s="14" t="s">
        <v>1518</v>
      </c>
      <c r="U308" s="15">
        <v>1.6</v>
      </c>
      <c r="V308" s="10">
        <v>1</v>
      </c>
    </row>
    <row r="309" spans="1:22" ht="18" customHeight="1" x14ac:dyDescent="0.35">
      <c r="A309" s="10" t="s">
        <v>123</v>
      </c>
      <c r="B309" s="10" t="s">
        <v>3170</v>
      </c>
      <c r="C309" s="11" t="s">
        <v>2936</v>
      </c>
      <c r="D309" s="11" t="s">
        <v>74</v>
      </c>
      <c r="E309" s="12">
        <v>45946.385162037041</v>
      </c>
      <c r="F309" s="10" t="str">
        <f>TEXT(events[[#This Row],[Start Date]],"DDD")</f>
        <v>Thu</v>
      </c>
      <c r="G309" s="10">
        <f>YEAR(events[[#This Row],[Start Date]])</f>
        <v>2025</v>
      </c>
      <c r="H309" s="10" t="str">
        <f>TEXT(events[[#This Row],[Start Date]],"mmm")</f>
        <v>Oct</v>
      </c>
      <c r="I309" s="10" t="str">
        <f>CONCATENATE("WK_",WEEKNUM(events[[#This Row],[Start Date]]))</f>
        <v>WK_42</v>
      </c>
      <c r="J309" s="12">
        <v>45946.385740740741</v>
      </c>
      <c r="K309" s="10">
        <v>93</v>
      </c>
      <c r="L309" s="10" t="s">
        <v>25</v>
      </c>
      <c r="M309" s="10" t="s">
        <v>489</v>
      </c>
      <c r="N309" s="13">
        <f t="shared" si="4"/>
        <v>0.81666666666666665</v>
      </c>
      <c r="O309" s="14"/>
      <c r="P309" s="14"/>
      <c r="Q309" s="14"/>
      <c r="R309" s="14"/>
      <c r="S309" s="14" t="s">
        <v>1513</v>
      </c>
      <c r="T309" s="14" t="s">
        <v>1514</v>
      </c>
      <c r="U309" s="15">
        <v>1.2</v>
      </c>
      <c r="V309" s="10">
        <v>1</v>
      </c>
    </row>
    <row r="310" spans="1:22" ht="18" customHeight="1" x14ac:dyDescent="0.35">
      <c r="A310" s="10" t="s">
        <v>23</v>
      </c>
      <c r="B310" s="10" t="s">
        <v>3163</v>
      </c>
      <c r="C310" s="11" t="s">
        <v>2929</v>
      </c>
      <c r="D310" s="11" t="s">
        <v>74</v>
      </c>
      <c r="E310" s="12">
        <v>45945.864872685182</v>
      </c>
      <c r="F310" s="10" t="str">
        <f>TEXT(events[[#This Row],[Start Date]],"DDD")</f>
        <v>Wed</v>
      </c>
      <c r="G310" s="10">
        <f>YEAR(events[[#This Row],[Start Date]])</f>
        <v>2025</v>
      </c>
      <c r="H310" s="10" t="str">
        <f>TEXT(events[[#This Row],[Start Date]],"mmm")</f>
        <v>Oct</v>
      </c>
      <c r="I310" s="10" t="str">
        <f>CONCATENATE("WK_",WEEKNUM(events[[#This Row],[Start Date]]))</f>
        <v>WK_42</v>
      </c>
      <c r="J310" s="12">
        <v>45945.864988425928</v>
      </c>
      <c r="K310" s="10">
        <v>86</v>
      </c>
      <c r="L310" s="10" t="s">
        <v>25</v>
      </c>
      <c r="M310" s="10" t="s">
        <v>250</v>
      </c>
      <c r="N310" s="13">
        <f t="shared" si="4"/>
        <v>0.16666666666666666</v>
      </c>
      <c r="O310" s="14" t="s">
        <v>965</v>
      </c>
      <c r="P310" s="14" t="s">
        <v>965</v>
      </c>
      <c r="Q310" s="14"/>
      <c r="R310" s="14"/>
      <c r="S310" s="14" t="s">
        <v>1521</v>
      </c>
      <c r="T310" s="14" t="s">
        <v>1522</v>
      </c>
      <c r="U310" s="15">
        <v>0.28100000000000003</v>
      </c>
      <c r="V310" s="10">
        <v>1</v>
      </c>
    </row>
    <row r="311" spans="1:22" ht="18" customHeight="1" x14ac:dyDescent="0.35">
      <c r="A311" s="10" t="s">
        <v>23</v>
      </c>
      <c r="B311" s="10" t="s">
        <v>3209</v>
      </c>
      <c r="C311" s="11" t="s">
        <v>2977</v>
      </c>
      <c r="D311" s="11" t="s">
        <v>24</v>
      </c>
      <c r="E311" s="12">
        <v>45944.639189814814</v>
      </c>
      <c r="F311" s="10" t="str">
        <f>TEXT(events[[#This Row],[Start Date]],"DDD")</f>
        <v>Tue</v>
      </c>
      <c r="G311" s="10">
        <f>YEAR(events[[#This Row],[Start Date]])</f>
        <v>2025</v>
      </c>
      <c r="H311" s="10" t="str">
        <f>TEXT(events[[#This Row],[Start Date]],"mmm")</f>
        <v>Oct</v>
      </c>
      <c r="I311" s="10" t="str">
        <f>CONCATENATE("WK_",WEEKNUM(events[[#This Row],[Start Date]]))</f>
        <v>WK_42</v>
      </c>
      <c r="J311" s="12">
        <v>45944.639675925922</v>
      </c>
      <c r="K311" s="10">
        <v>67</v>
      </c>
      <c r="L311" s="10" t="s">
        <v>25</v>
      </c>
      <c r="M311" s="10" t="s">
        <v>1527</v>
      </c>
      <c r="N311" s="13">
        <f t="shared" si="4"/>
        <v>0.7</v>
      </c>
      <c r="O311" s="14" t="s">
        <v>458</v>
      </c>
      <c r="P311" s="14" t="s">
        <v>458</v>
      </c>
      <c r="Q311" s="14"/>
      <c r="R311" s="14"/>
      <c r="S311" s="14" t="s">
        <v>1528</v>
      </c>
      <c r="T311" s="14" t="s">
        <v>1529</v>
      </c>
      <c r="U311" s="15">
        <v>0.68799999999999994</v>
      </c>
      <c r="V311" s="10">
        <v>1</v>
      </c>
    </row>
    <row r="312" spans="1:22" ht="18" customHeight="1" x14ac:dyDescent="0.35">
      <c r="A312" s="10" t="s">
        <v>123</v>
      </c>
      <c r="B312" s="10" t="s">
        <v>3221</v>
      </c>
      <c r="C312" s="11" t="s">
        <v>2990</v>
      </c>
      <c r="D312" s="11" t="s">
        <v>74</v>
      </c>
      <c r="E312" s="12">
        <v>45944.011203703703</v>
      </c>
      <c r="F312" s="10" t="str">
        <f>TEXT(events[[#This Row],[Start Date]],"DDD")</f>
        <v>Tue</v>
      </c>
      <c r="G312" s="10">
        <f>YEAR(events[[#This Row],[Start Date]])</f>
        <v>2025</v>
      </c>
      <c r="H312" s="10" t="str">
        <f>TEXT(events[[#This Row],[Start Date]],"mmm")</f>
        <v>Oct</v>
      </c>
      <c r="I312" s="10" t="str">
        <f>CONCATENATE("WK_",WEEKNUM(events[[#This Row],[Start Date]]))</f>
        <v>WK_42</v>
      </c>
      <c r="J312" s="12">
        <v>45944.013287037036</v>
      </c>
      <c r="K312" s="10">
        <v>116</v>
      </c>
      <c r="L312" s="10" t="s">
        <v>25</v>
      </c>
      <c r="M312" s="10" t="s">
        <v>1547</v>
      </c>
      <c r="N312" s="13">
        <f t="shared" si="4"/>
        <v>2.9833333333333334</v>
      </c>
      <c r="O312" s="14"/>
      <c r="P312" s="14"/>
      <c r="Q312" s="14"/>
      <c r="R312" s="14"/>
      <c r="S312" s="14" t="s">
        <v>1548</v>
      </c>
      <c r="T312" s="14" t="s">
        <v>1549</v>
      </c>
      <c r="U312" s="15">
        <v>4.7</v>
      </c>
      <c r="V312" s="10">
        <v>1</v>
      </c>
    </row>
    <row r="313" spans="1:22" ht="18" customHeight="1" x14ac:dyDescent="0.35">
      <c r="A313" s="10" t="s">
        <v>47</v>
      </c>
      <c r="B313" s="10" t="s">
        <v>3270</v>
      </c>
      <c r="C313" s="11" t="s">
        <v>3046</v>
      </c>
      <c r="D313" s="11" t="s">
        <v>74</v>
      </c>
      <c r="E313" s="12">
        <v>45943.967083333337</v>
      </c>
      <c r="F313" s="10" t="str">
        <f>TEXT(events[[#This Row],[Start Date]],"DDD")</f>
        <v>Mon</v>
      </c>
      <c r="G313" s="10">
        <f>YEAR(events[[#This Row],[Start Date]])</f>
        <v>2025</v>
      </c>
      <c r="H313" s="10" t="str">
        <f>TEXT(events[[#This Row],[Start Date]],"mmm")</f>
        <v>Oct</v>
      </c>
      <c r="I313" s="10" t="str">
        <f>CONCATENATE("WK_",WEEKNUM(events[[#This Row],[Start Date]]))</f>
        <v>WK_42</v>
      </c>
      <c r="J313" s="12">
        <v>45943.967152777775</v>
      </c>
      <c r="K313" s="10">
        <v>82</v>
      </c>
      <c r="L313" s="10" t="s">
        <v>25</v>
      </c>
      <c r="M313" s="10" t="s">
        <v>328</v>
      </c>
      <c r="N313" s="13">
        <f t="shared" si="4"/>
        <v>0.1</v>
      </c>
      <c r="O313" s="14" t="s">
        <v>92</v>
      </c>
      <c r="P313" s="14" t="s">
        <v>92</v>
      </c>
      <c r="Q313" s="14"/>
      <c r="R313" s="14"/>
      <c r="S313" s="14" t="s">
        <v>1534</v>
      </c>
      <c r="T313" s="14" t="s">
        <v>1535</v>
      </c>
      <c r="U313" s="15">
        <v>0.125</v>
      </c>
      <c r="V313" s="10">
        <v>1</v>
      </c>
    </row>
    <row r="314" spans="1:22" ht="18" customHeight="1" x14ac:dyDescent="0.35">
      <c r="A314" s="10" t="s">
        <v>86</v>
      </c>
      <c r="B314" s="10" t="s">
        <v>3181</v>
      </c>
      <c r="C314" s="11" t="s">
        <v>2948</v>
      </c>
      <c r="D314" s="11" t="s">
        <v>24</v>
      </c>
      <c r="E314" s="12">
        <v>45943.231539351851</v>
      </c>
      <c r="F314" s="10" t="str">
        <f>TEXT(events[[#This Row],[Start Date]],"DDD")</f>
        <v>Mon</v>
      </c>
      <c r="G314" s="10">
        <f>YEAR(events[[#This Row],[Start Date]])</f>
        <v>2025</v>
      </c>
      <c r="H314" s="10" t="str">
        <f>TEXT(events[[#This Row],[Start Date]],"mmm")</f>
        <v>Oct</v>
      </c>
      <c r="I314" s="10" t="str">
        <f>CONCATENATE("WK_",WEEKNUM(events[[#This Row],[Start Date]]))</f>
        <v>WK_42</v>
      </c>
      <c r="J314" s="12">
        <v>45943.231539351851</v>
      </c>
      <c r="K314" s="10">
        <v>31</v>
      </c>
      <c r="L314" s="10" t="s">
        <v>25</v>
      </c>
      <c r="M314" s="10" t="s">
        <v>87</v>
      </c>
      <c r="N314" s="13">
        <f t="shared" si="4"/>
        <v>0</v>
      </c>
      <c r="O314" s="14" t="s">
        <v>142</v>
      </c>
      <c r="P314" s="14" t="s">
        <v>142</v>
      </c>
      <c r="Q314" s="14"/>
      <c r="R314" s="14"/>
      <c r="S314" s="14" t="s">
        <v>1539</v>
      </c>
      <c r="T314" s="14" t="s">
        <v>1539</v>
      </c>
      <c r="U314" s="15">
        <v>0</v>
      </c>
      <c r="V314" s="10">
        <v>1</v>
      </c>
    </row>
    <row r="315" spans="1:22" ht="18" customHeight="1" x14ac:dyDescent="0.35">
      <c r="A315" s="10" t="s">
        <v>47</v>
      </c>
      <c r="B315" s="10" t="s">
        <v>3271</v>
      </c>
      <c r="C315" s="11" t="s">
        <v>3047</v>
      </c>
      <c r="D315" s="11" t="s">
        <v>74</v>
      </c>
      <c r="E315" s="12">
        <v>45943.129583333335</v>
      </c>
      <c r="F315" s="10" t="str">
        <f>TEXT(events[[#This Row],[Start Date]],"DDD")</f>
        <v>Mon</v>
      </c>
      <c r="G315" s="10">
        <f>YEAR(events[[#This Row],[Start Date]])</f>
        <v>2025</v>
      </c>
      <c r="H315" s="10" t="str">
        <f>TEXT(events[[#This Row],[Start Date]],"mmm")</f>
        <v>Oct</v>
      </c>
      <c r="I315" s="10" t="str">
        <f>CONCATENATE("WK_",WEEKNUM(events[[#This Row],[Start Date]]))</f>
        <v>WK_42</v>
      </c>
      <c r="J315" s="12">
        <v>45943.129652777781</v>
      </c>
      <c r="K315" s="10">
        <v>87</v>
      </c>
      <c r="L315" s="10" t="s">
        <v>25</v>
      </c>
      <c r="M315" s="10" t="s">
        <v>328</v>
      </c>
      <c r="N315" s="13">
        <f t="shared" si="4"/>
        <v>0.1</v>
      </c>
      <c r="O315" s="14" t="s">
        <v>38</v>
      </c>
      <c r="P315" s="14" t="s">
        <v>38</v>
      </c>
      <c r="Q315" s="14"/>
      <c r="R315" s="14"/>
      <c r="S315" s="14" t="s">
        <v>1530</v>
      </c>
      <c r="T315" s="14" t="s">
        <v>1531</v>
      </c>
      <c r="U315" s="15">
        <v>0.20300000000000001</v>
      </c>
      <c r="V315" s="10">
        <v>1</v>
      </c>
    </row>
    <row r="316" spans="1:22" ht="18" customHeight="1" x14ac:dyDescent="0.35">
      <c r="A316" s="10" t="s">
        <v>47</v>
      </c>
      <c r="B316" s="10" t="s">
        <v>3270</v>
      </c>
      <c r="C316" s="11" t="s">
        <v>3046</v>
      </c>
      <c r="D316" s="11" t="s">
        <v>74</v>
      </c>
      <c r="E316" s="12">
        <v>45943.111759259256</v>
      </c>
      <c r="F316" s="10" t="str">
        <f>TEXT(events[[#This Row],[Start Date]],"DDD")</f>
        <v>Mon</v>
      </c>
      <c r="G316" s="10">
        <f>YEAR(events[[#This Row],[Start Date]])</f>
        <v>2025</v>
      </c>
      <c r="H316" s="10" t="str">
        <f>TEXT(events[[#This Row],[Start Date]],"mmm")</f>
        <v>Oct</v>
      </c>
      <c r="I316" s="10" t="str">
        <f>CONCATENATE("WK_",WEEKNUM(events[[#This Row],[Start Date]]))</f>
        <v>WK_42</v>
      </c>
      <c r="J316" s="12">
        <v>45943.111770833333</v>
      </c>
      <c r="K316" s="10">
        <v>81</v>
      </c>
      <c r="L316" s="10" t="s">
        <v>25</v>
      </c>
      <c r="M316" s="10" t="s">
        <v>26</v>
      </c>
      <c r="N316" s="13">
        <f t="shared" si="4"/>
        <v>1.6666666666666666E-2</v>
      </c>
      <c r="O316" s="14" t="s">
        <v>142</v>
      </c>
      <c r="P316" s="14" t="s">
        <v>142</v>
      </c>
      <c r="Q316" s="14"/>
      <c r="R316" s="14"/>
      <c r="S316" s="14" t="s">
        <v>1532</v>
      </c>
      <c r="T316" s="14" t="s">
        <v>1533</v>
      </c>
      <c r="U316" s="15">
        <v>0</v>
      </c>
      <c r="V316" s="10">
        <v>1</v>
      </c>
    </row>
    <row r="317" spans="1:22" ht="18" customHeight="1" x14ac:dyDescent="0.35">
      <c r="A317" s="10" t="s">
        <v>23</v>
      </c>
      <c r="B317" s="10" t="s">
        <v>3211</v>
      </c>
      <c r="C317" s="11" t="s">
        <v>2980</v>
      </c>
      <c r="D317" s="11" t="s">
        <v>24</v>
      </c>
      <c r="E317" s="12">
        <v>45942.493715277778</v>
      </c>
      <c r="F317" s="10" t="str">
        <f>TEXT(events[[#This Row],[Start Date]],"DDD")</f>
        <v>Sun</v>
      </c>
      <c r="G317" s="10">
        <f>YEAR(events[[#This Row],[Start Date]])</f>
        <v>2025</v>
      </c>
      <c r="H317" s="10" t="str">
        <f>TEXT(events[[#This Row],[Start Date]],"mmm")</f>
        <v>Oct</v>
      </c>
      <c r="I317" s="10" t="str">
        <f>CONCATENATE("WK_",WEEKNUM(events[[#This Row],[Start Date]]))</f>
        <v>WK_42</v>
      </c>
      <c r="J317" s="12">
        <v>45942.493726851855</v>
      </c>
      <c r="K317" s="10">
        <v>31</v>
      </c>
      <c r="L317" s="10" t="s">
        <v>25</v>
      </c>
      <c r="M317" s="10" t="s">
        <v>26</v>
      </c>
      <c r="N317" s="13">
        <f t="shared" si="4"/>
        <v>1.6666666666666666E-2</v>
      </c>
      <c r="O317" s="14" t="s">
        <v>209</v>
      </c>
      <c r="P317" s="14" t="s">
        <v>209</v>
      </c>
      <c r="Q317" s="14"/>
      <c r="R317" s="14"/>
      <c r="S317" s="14" t="s">
        <v>1523</v>
      </c>
      <c r="T317" s="14" t="s">
        <v>1524</v>
      </c>
      <c r="U317" s="15">
        <v>0</v>
      </c>
      <c r="V317" s="10">
        <v>1</v>
      </c>
    </row>
    <row r="318" spans="1:22" ht="18" customHeight="1" x14ac:dyDescent="0.35">
      <c r="A318" s="10" t="s">
        <v>86</v>
      </c>
      <c r="B318" s="10" t="s">
        <v>3171</v>
      </c>
      <c r="C318" s="11" t="s">
        <v>2952</v>
      </c>
      <c r="D318" s="11" t="s">
        <v>24</v>
      </c>
      <c r="E318" s="12">
        <v>45941.859895833331</v>
      </c>
      <c r="F318" s="10" t="str">
        <f>TEXT(events[[#This Row],[Start Date]],"DDD")</f>
        <v>Sat</v>
      </c>
      <c r="G318" s="10">
        <f>YEAR(events[[#This Row],[Start Date]])</f>
        <v>2025</v>
      </c>
      <c r="H318" s="10" t="str">
        <f>TEXT(events[[#This Row],[Start Date]],"mmm")</f>
        <v>Oct</v>
      </c>
      <c r="I318" s="10" t="str">
        <f>CONCATENATE("WK_",WEEKNUM(events[[#This Row],[Start Date]]))</f>
        <v>WK_41</v>
      </c>
      <c r="J318" s="12">
        <v>45941.859895833331</v>
      </c>
      <c r="K318" s="10">
        <v>32</v>
      </c>
      <c r="L318" s="10" t="s">
        <v>25</v>
      </c>
      <c r="M318" s="10" t="s">
        <v>87</v>
      </c>
      <c r="N318" s="13">
        <f t="shared" si="4"/>
        <v>0</v>
      </c>
      <c r="O318" s="14" t="s">
        <v>27</v>
      </c>
      <c r="P318" s="14" t="s">
        <v>27</v>
      </c>
      <c r="Q318" s="14"/>
      <c r="R318" s="14"/>
      <c r="S318" s="14" t="s">
        <v>1536</v>
      </c>
      <c r="T318" s="14" t="s">
        <v>1536</v>
      </c>
      <c r="U318" s="15">
        <v>0</v>
      </c>
      <c r="V318" s="10">
        <v>1</v>
      </c>
    </row>
    <row r="319" spans="1:22" ht="18" customHeight="1" x14ac:dyDescent="0.35">
      <c r="A319" s="10" t="s">
        <v>123</v>
      </c>
      <c r="B319" s="10" t="s">
        <v>3206</v>
      </c>
      <c r="C319" s="11" t="s">
        <v>2974</v>
      </c>
      <c r="D319" s="11" t="s">
        <v>74</v>
      </c>
      <c r="E319" s="12">
        <v>45941.835115740738</v>
      </c>
      <c r="F319" s="10" t="str">
        <f>TEXT(events[[#This Row],[Start Date]],"DDD")</f>
        <v>Sat</v>
      </c>
      <c r="G319" s="10">
        <f>YEAR(events[[#This Row],[Start Date]])</f>
        <v>2025</v>
      </c>
      <c r="H319" s="10" t="str">
        <f>TEXT(events[[#This Row],[Start Date]],"mmm")</f>
        <v>Oct</v>
      </c>
      <c r="I319" s="10" t="str">
        <f>CONCATENATE("WK_",WEEKNUM(events[[#This Row],[Start Date]]))</f>
        <v>WK_41</v>
      </c>
      <c r="J319" s="12">
        <v>45941.836041666669</v>
      </c>
      <c r="K319" s="10">
        <v>101</v>
      </c>
      <c r="L319" s="10" t="s">
        <v>25</v>
      </c>
      <c r="M319" s="10" t="s">
        <v>441</v>
      </c>
      <c r="N319" s="13">
        <f t="shared" si="4"/>
        <v>1.3166666666666667</v>
      </c>
      <c r="O319" s="14"/>
      <c r="P319" s="14"/>
      <c r="Q319" s="14"/>
      <c r="R319" s="14"/>
      <c r="S319" s="14" t="s">
        <v>1545</v>
      </c>
      <c r="T319" s="14" t="s">
        <v>1546</v>
      </c>
      <c r="U319" s="15">
        <v>1.9</v>
      </c>
      <c r="V319" s="10">
        <v>1</v>
      </c>
    </row>
    <row r="320" spans="1:22" ht="18" customHeight="1" x14ac:dyDescent="0.35">
      <c r="A320" s="10" t="s">
        <v>123</v>
      </c>
      <c r="B320" s="10" t="s">
        <v>3198</v>
      </c>
      <c r="C320" s="11" t="s">
        <v>2965</v>
      </c>
      <c r="D320" s="11" t="s">
        <v>74</v>
      </c>
      <c r="E320" s="12">
        <v>45940.885335648149</v>
      </c>
      <c r="F320" s="10" t="str">
        <f>TEXT(events[[#This Row],[Start Date]],"DDD")</f>
        <v>Fri</v>
      </c>
      <c r="G320" s="10">
        <f>YEAR(events[[#This Row],[Start Date]])</f>
        <v>2025</v>
      </c>
      <c r="H320" s="10" t="str">
        <f>TEXT(events[[#This Row],[Start Date]],"mmm")</f>
        <v>Oct</v>
      </c>
      <c r="I320" s="10" t="str">
        <f>CONCATENATE("WK_",WEEKNUM(events[[#This Row],[Start Date]]))</f>
        <v>WK_41</v>
      </c>
      <c r="J320" s="12">
        <v>45940.886307870373</v>
      </c>
      <c r="K320" s="10">
        <v>101</v>
      </c>
      <c r="L320" s="10" t="s">
        <v>25</v>
      </c>
      <c r="M320" s="10" t="s">
        <v>1542</v>
      </c>
      <c r="N320" s="13">
        <f t="shared" si="4"/>
        <v>1.3833333333333333</v>
      </c>
      <c r="O320" s="14"/>
      <c r="P320" s="14"/>
      <c r="Q320" s="14"/>
      <c r="R320" s="14"/>
      <c r="S320" s="14" t="s">
        <v>1543</v>
      </c>
      <c r="T320" s="14" t="s">
        <v>1544</v>
      </c>
      <c r="U320" s="15">
        <v>2.1</v>
      </c>
      <c r="V320" s="10">
        <v>1</v>
      </c>
    </row>
    <row r="321" spans="1:22" ht="18" customHeight="1" x14ac:dyDescent="0.35">
      <c r="A321" s="10" t="s">
        <v>23</v>
      </c>
      <c r="B321" s="10" t="s">
        <v>3162</v>
      </c>
      <c r="C321" s="11" t="s">
        <v>2928</v>
      </c>
      <c r="D321" s="11" t="s">
        <v>82</v>
      </c>
      <c r="E321" s="12">
        <v>45940.792812500003</v>
      </c>
      <c r="F321" s="10" t="str">
        <f>TEXT(events[[#This Row],[Start Date]],"DDD")</f>
        <v>Fri</v>
      </c>
      <c r="G321" s="10">
        <f>YEAR(events[[#This Row],[Start Date]])</f>
        <v>2025</v>
      </c>
      <c r="H321" s="10" t="str">
        <f>TEXT(events[[#This Row],[Start Date]],"mmm")</f>
        <v>Oct</v>
      </c>
      <c r="I321" s="10" t="str">
        <f>CONCATENATE("WK_",WEEKNUM(events[[#This Row],[Start Date]]))</f>
        <v>WK_41</v>
      </c>
      <c r="J321" s="12">
        <v>45940.792824074073</v>
      </c>
      <c r="K321" s="10">
        <v>21</v>
      </c>
      <c r="L321" s="10" t="s">
        <v>83</v>
      </c>
      <c r="M321" s="10" t="s">
        <v>26</v>
      </c>
      <c r="N321" s="13">
        <f t="shared" si="4"/>
        <v>1.6666666666666666E-2</v>
      </c>
      <c r="O321" s="14" t="s">
        <v>38</v>
      </c>
      <c r="P321" s="14"/>
      <c r="Q321" s="14"/>
      <c r="R321" s="14"/>
      <c r="S321" s="14" t="s">
        <v>1526</v>
      </c>
      <c r="T321" s="14"/>
      <c r="U321" s="15">
        <v>0</v>
      </c>
      <c r="V321" s="10">
        <v>1</v>
      </c>
    </row>
    <row r="322" spans="1:22" ht="18" customHeight="1" x14ac:dyDescent="0.35">
      <c r="A322" s="10" t="s">
        <v>23</v>
      </c>
      <c r="B322" s="10" t="s">
        <v>3256</v>
      </c>
      <c r="C322" s="11" t="s">
        <v>3026</v>
      </c>
      <c r="D322" s="11" t="s">
        <v>82</v>
      </c>
      <c r="E322" s="12">
        <v>45940.670335648145</v>
      </c>
      <c r="F322" s="10" t="str">
        <f>TEXT(events[[#This Row],[Start Date]],"DDD")</f>
        <v>Fri</v>
      </c>
      <c r="G322" s="10">
        <f>YEAR(events[[#This Row],[Start Date]])</f>
        <v>2025</v>
      </c>
      <c r="H322" s="10" t="str">
        <f>TEXT(events[[#This Row],[Start Date]],"mmm")</f>
        <v>Oct</v>
      </c>
      <c r="I322" s="10" t="str">
        <f>CONCATENATE("WK_",WEEKNUM(events[[#This Row],[Start Date]]))</f>
        <v>WK_41</v>
      </c>
      <c r="J322" s="12">
        <v>45940.670347222222</v>
      </c>
      <c r="K322" s="10">
        <v>18</v>
      </c>
      <c r="L322" s="10" t="s">
        <v>83</v>
      </c>
      <c r="M322" s="10" t="s">
        <v>26</v>
      </c>
      <c r="N322" s="13">
        <f t="shared" ref="N322:N385" si="5">HOUR(M322)*60+MINUTE(M322)+SECOND(M322)/60</f>
        <v>1.6666666666666666E-2</v>
      </c>
      <c r="O322" s="14" t="s">
        <v>38</v>
      </c>
      <c r="P322" s="14"/>
      <c r="Q322" s="14"/>
      <c r="R322" s="14"/>
      <c r="S322" s="14" t="s">
        <v>1525</v>
      </c>
      <c r="T322" s="14"/>
      <c r="U322" s="15">
        <v>0</v>
      </c>
      <c r="V322" s="10">
        <v>1</v>
      </c>
    </row>
    <row r="323" spans="1:22" ht="18" customHeight="1" x14ac:dyDescent="0.35">
      <c r="A323" s="10" t="s">
        <v>123</v>
      </c>
      <c r="B323" s="10" t="s">
        <v>3272</v>
      </c>
      <c r="C323" s="11" t="s">
        <v>3048</v>
      </c>
      <c r="D323" s="11" t="s">
        <v>74</v>
      </c>
      <c r="E323" s="12">
        <v>45940.548414351855</v>
      </c>
      <c r="F323" s="10" t="str">
        <f>TEXT(events[[#This Row],[Start Date]],"DDD")</f>
        <v>Fri</v>
      </c>
      <c r="G323" s="10">
        <f>YEAR(events[[#This Row],[Start Date]])</f>
        <v>2025</v>
      </c>
      <c r="H323" s="10" t="str">
        <f>TEXT(events[[#This Row],[Start Date]],"mmm")</f>
        <v>Oct</v>
      </c>
      <c r="I323" s="10" t="str">
        <f>CONCATENATE("WK_",WEEKNUM(events[[#This Row],[Start Date]]))</f>
        <v>WK_41</v>
      </c>
      <c r="J323" s="12">
        <v>45940.548842592594</v>
      </c>
      <c r="K323" s="10">
        <v>90</v>
      </c>
      <c r="L323" s="10" t="s">
        <v>25</v>
      </c>
      <c r="M323" s="10" t="s">
        <v>1037</v>
      </c>
      <c r="N323" s="13">
        <f t="shared" si="5"/>
        <v>0.6</v>
      </c>
      <c r="O323" s="14"/>
      <c r="P323" s="14"/>
      <c r="Q323" s="14"/>
      <c r="R323" s="14"/>
      <c r="S323" s="14" t="s">
        <v>1540</v>
      </c>
      <c r="T323" s="14" t="s">
        <v>1541</v>
      </c>
      <c r="U323" s="15">
        <v>0.9</v>
      </c>
      <c r="V323" s="10">
        <v>1</v>
      </c>
    </row>
    <row r="324" spans="1:22" ht="18" customHeight="1" x14ac:dyDescent="0.35">
      <c r="A324" s="10" t="s">
        <v>86</v>
      </c>
      <c r="B324" s="10" t="s">
        <v>3273</v>
      </c>
      <c r="C324" s="11" t="s">
        <v>3049</v>
      </c>
      <c r="D324" s="11" t="s">
        <v>24</v>
      </c>
      <c r="E324" s="12">
        <v>45939.846238425926</v>
      </c>
      <c r="F324" s="10" t="str">
        <f>TEXT(events[[#This Row],[Start Date]],"DDD")</f>
        <v>Thu</v>
      </c>
      <c r="G324" s="10">
        <f>YEAR(events[[#This Row],[Start Date]])</f>
        <v>2025</v>
      </c>
      <c r="H324" s="10" t="str">
        <f>TEXT(events[[#This Row],[Start Date]],"mmm")</f>
        <v>Oct</v>
      </c>
      <c r="I324" s="10" t="str">
        <f>CONCATENATE("WK_",WEEKNUM(events[[#This Row],[Start Date]]))</f>
        <v>WK_41</v>
      </c>
      <c r="J324" s="12">
        <v>45939.846261574072</v>
      </c>
      <c r="K324" s="10">
        <v>34</v>
      </c>
      <c r="L324" s="10" t="s">
        <v>25</v>
      </c>
      <c r="M324" s="10" t="s">
        <v>31</v>
      </c>
      <c r="N324" s="13">
        <f t="shared" si="5"/>
        <v>3.3333333333333333E-2</v>
      </c>
      <c r="O324" s="14" t="s">
        <v>38</v>
      </c>
      <c r="P324" s="14" t="s">
        <v>38</v>
      </c>
      <c r="Q324" s="14"/>
      <c r="R324" s="14"/>
      <c r="S324" s="14" t="s">
        <v>1537</v>
      </c>
      <c r="T324" s="14" t="s">
        <v>1538</v>
      </c>
      <c r="U324" s="15">
        <v>0</v>
      </c>
      <c r="V324" s="10">
        <v>1</v>
      </c>
    </row>
    <row r="325" spans="1:22" ht="18" customHeight="1" x14ac:dyDescent="0.35">
      <c r="A325" s="10" t="s">
        <v>86</v>
      </c>
      <c r="B325" s="10" t="s">
        <v>3171</v>
      </c>
      <c r="C325" s="11" t="s">
        <v>2952</v>
      </c>
      <c r="D325" s="11" t="s">
        <v>24</v>
      </c>
      <c r="E325" s="12">
        <v>45938.712650462963</v>
      </c>
      <c r="F325" s="10" t="str">
        <f>TEXT(events[[#This Row],[Start Date]],"DDD")</f>
        <v>Wed</v>
      </c>
      <c r="G325" s="10">
        <f>YEAR(events[[#This Row],[Start Date]])</f>
        <v>2025</v>
      </c>
      <c r="H325" s="10" t="str">
        <f>TEXT(events[[#This Row],[Start Date]],"mmm")</f>
        <v>Oct</v>
      </c>
      <c r="I325" s="10" t="str">
        <f>CONCATENATE("WK_",WEEKNUM(events[[#This Row],[Start Date]]))</f>
        <v>WK_41</v>
      </c>
      <c r="J325" s="12">
        <v>45938.712731481479</v>
      </c>
      <c r="K325" s="10">
        <v>35</v>
      </c>
      <c r="L325" s="10" t="s">
        <v>25</v>
      </c>
      <c r="M325" s="10" t="s">
        <v>115</v>
      </c>
      <c r="N325" s="13">
        <f t="shared" si="5"/>
        <v>0.11666666666666667</v>
      </c>
      <c r="O325" s="14" t="s">
        <v>38</v>
      </c>
      <c r="P325" s="14" t="s">
        <v>38</v>
      </c>
      <c r="Q325" s="14"/>
      <c r="R325" s="14"/>
      <c r="S325" s="14" t="s">
        <v>1556</v>
      </c>
      <c r="T325" s="14" t="s">
        <v>1557</v>
      </c>
      <c r="U325" s="15">
        <v>0</v>
      </c>
      <c r="V325" s="10">
        <v>1</v>
      </c>
    </row>
    <row r="326" spans="1:22" ht="18" customHeight="1" x14ac:dyDescent="0.35">
      <c r="A326" s="10" t="s">
        <v>123</v>
      </c>
      <c r="B326" s="10" t="s">
        <v>3272</v>
      </c>
      <c r="C326" s="11" t="s">
        <v>3048</v>
      </c>
      <c r="D326" s="11" t="s">
        <v>74</v>
      </c>
      <c r="E326" s="12">
        <v>45938.322268518517</v>
      </c>
      <c r="F326" s="10" t="str">
        <f>TEXT(events[[#This Row],[Start Date]],"DDD")</f>
        <v>Wed</v>
      </c>
      <c r="G326" s="10">
        <f>YEAR(events[[#This Row],[Start Date]])</f>
        <v>2025</v>
      </c>
      <c r="H326" s="10" t="str">
        <f>TEXT(events[[#This Row],[Start Date]],"mmm")</f>
        <v>Oct</v>
      </c>
      <c r="I326" s="10" t="str">
        <f>CONCATENATE("WK_",WEEKNUM(events[[#This Row],[Start Date]]))</f>
        <v>WK_41</v>
      </c>
      <c r="J326" s="12">
        <v>45938.322662037041</v>
      </c>
      <c r="K326" s="10">
        <v>87</v>
      </c>
      <c r="L326" s="10" t="s">
        <v>25</v>
      </c>
      <c r="M326" s="10" t="s">
        <v>543</v>
      </c>
      <c r="N326" s="13">
        <f t="shared" si="5"/>
        <v>0.55000000000000004</v>
      </c>
      <c r="O326" s="14"/>
      <c r="P326" s="14"/>
      <c r="Q326" s="14"/>
      <c r="R326" s="14"/>
      <c r="S326" s="14" t="s">
        <v>1570</v>
      </c>
      <c r="T326" s="14" t="s">
        <v>1571</v>
      </c>
      <c r="U326" s="15">
        <v>0.9</v>
      </c>
      <c r="V326" s="10">
        <v>1</v>
      </c>
    </row>
    <row r="327" spans="1:22" ht="18" customHeight="1" x14ac:dyDescent="0.35">
      <c r="A327" s="10" t="s">
        <v>47</v>
      </c>
      <c r="B327" s="10" t="s">
        <v>3231</v>
      </c>
      <c r="C327" s="11" t="s">
        <v>2998</v>
      </c>
      <c r="D327" s="11" t="s">
        <v>24</v>
      </c>
      <c r="E327" s="12">
        <v>45937.820231481484</v>
      </c>
      <c r="F327" s="10" t="str">
        <f>TEXT(events[[#This Row],[Start Date]],"DDD")</f>
        <v>Tue</v>
      </c>
      <c r="G327" s="10">
        <f>YEAR(events[[#This Row],[Start Date]])</f>
        <v>2025</v>
      </c>
      <c r="H327" s="10" t="str">
        <f>TEXT(events[[#This Row],[Start Date]],"mmm")</f>
        <v>Oct</v>
      </c>
      <c r="I327" s="10" t="str">
        <f>CONCATENATE("WK_",WEEKNUM(events[[#This Row],[Start Date]]))</f>
        <v>WK_41</v>
      </c>
      <c r="J327" s="12">
        <v>45937.8203125</v>
      </c>
      <c r="K327" s="10">
        <v>49</v>
      </c>
      <c r="L327" s="10" t="s">
        <v>25</v>
      </c>
      <c r="M327" s="10" t="s">
        <v>115</v>
      </c>
      <c r="N327" s="13">
        <f t="shared" si="5"/>
        <v>0.11666666666666667</v>
      </c>
      <c r="O327" s="14" t="s">
        <v>27</v>
      </c>
      <c r="P327" s="14" t="s">
        <v>27</v>
      </c>
      <c r="Q327" s="14"/>
      <c r="R327" s="14"/>
      <c r="S327" s="14" t="s">
        <v>1552</v>
      </c>
      <c r="T327" s="14" t="s">
        <v>1553</v>
      </c>
      <c r="U327" s="15">
        <v>9.4E-2</v>
      </c>
      <c r="V327" s="10">
        <v>1</v>
      </c>
    </row>
    <row r="328" spans="1:22" ht="18" customHeight="1" x14ac:dyDescent="0.35">
      <c r="A328" s="10" t="s">
        <v>123</v>
      </c>
      <c r="B328" s="10" t="s">
        <v>3274</v>
      </c>
      <c r="C328" s="11" t="s">
        <v>3050</v>
      </c>
      <c r="D328" s="11" t="s">
        <v>74</v>
      </c>
      <c r="E328" s="12">
        <v>45937.767106481479</v>
      </c>
      <c r="F328" s="10" t="str">
        <f>TEXT(events[[#This Row],[Start Date]],"DDD")</f>
        <v>Tue</v>
      </c>
      <c r="G328" s="10">
        <f>YEAR(events[[#This Row],[Start Date]])</f>
        <v>2025</v>
      </c>
      <c r="H328" s="10" t="str">
        <f>TEXT(events[[#This Row],[Start Date]],"mmm")</f>
        <v>Oct</v>
      </c>
      <c r="I328" s="10" t="str">
        <f>CONCATENATE("WK_",WEEKNUM(events[[#This Row],[Start Date]]))</f>
        <v>WK_41</v>
      </c>
      <c r="J328" s="12">
        <v>45937.767291666663</v>
      </c>
      <c r="K328" s="10">
        <v>89</v>
      </c>
      <c r="L328" s="10" t="s">
        <v>25</v>
      </c>
      <c r="M328" s="10" t="s">
        <v>353</v>
      </c>
      <c r="N328" s="13">
        <f t="shared" si="5"/>
        <v>0.26666666666666666</v>
      </c>
      <c r="O328" s="14"/>
      <c r="P328" s="14"/>
      <c r="Q328" s="14"/>
      <c r="R328" s="14"/>
      <c r="S328" s="14" t="s">
        <v>1563</v>
      </c>
      <c r="T328" s="14" t="s">
        <v>1564</v>
      </c>
      <c r="U328" s="15">
        <v>0.5</v>
      </c>
      <c r="V328" s="10">
        <v>1</v>
      </c>
    </row>
    <row r="329" spans="1:22" ht="18" customHeight="1" x14ac:dyDescent="0.35">
      <c r="A329" s="10" t="s">
        <v>23</v>
      </c>
      <c r="B329" s="10" t="s">
        <v>3256</v>
      </c>
      <c r="C329" s="11" t="s">
        <v>3026</v>
      </c>
      <c r="D329" s="11" t="s">
        <v>74</v>
      </c>
      <c r="E329" s="12">
        <v>45936.433159722219</v>
      </c>
      <c r="F329" s="10" t="str">
        <f>TEXT(events[[#This Row],[Start Date]],"DDD")</f>
        <v>Mon</v>
      </c>
      <c r="G329" s="10">
        <f>YEAR(events[[#This Row],[Start Date]])</f>
        <v>2025</v>
      </c>
      <c r="H329" s="10" t="str">
        <f>TEXT(events[[#This Row],[Start Date]],"mmm")</f>
        <v>Oct</v>
      </c>
      <c r="I329" s="10" t="str">
        <f>CONCATENATE("WK_",WEEKNUM(events[[#This Row],[Start Date]]))</f>
        <v>WK_41</v>
      </c>
      <c r="J329" s="12">
        <v>45936.433182870373</v>
      </c>
      <c r="K329" s="10">
        <v>88</v>
      </c>
      <c r="L329" s="10" t="s">
        <v>25</v>
      </c>
      <c r="M329" s="10" t="s">
        <v>31</v>
      </c>
      <c r="N329" s="13">
        <f t="shared" si="5"/>
        <v>3.3333333333333333E-2</v>
      </c>
      <c r="O329" s="14" t="s">
        <v>138</v>
      </c>
      <c r="P329" s="14" t="s">
        <v>138</v>
      </c>
      <c r="Q329" s="14"/>
      <c r="R329" s="14"/>
      <c r="S329" s="14" t="s">
        <v>1550</v>
      </c>
      <c r="T329" s="14" t="s">
        <v>1551</v>
      </c>
      <c r="U329" s="15">
        <v>0</v>
      </c>
      <c r="V329" s="10">
        <v>1</v>
      </c>
    </row>
    <row r="330" spans="1:22" ht="18" customHeight="1" x14ac:dyDescent="0.35">
      <c r="A330" s="10" t="s">
        <v>86</v>
      </c>
      <c r="B330" s="10" t="s">
        <v>3255</v>
      </c>
      <c r="C330" s="11" t="s">
        <v>3051</v>
      </c>
      <c r="D330" s="11" t="s">
        <v>24</v>
      </c>
      <c r="E330" s="12">
        <v>45935.645381944443</v>
      </c>
      <c r="F330" s="10" t="str">
        <f>TEXT(events[[#This Row],[Start Date]],"DDD")</f>
        <v>Sun</v>
      </c>
      <c r="G330" s="10">
        <f>YEAR(events[[#This Row],[Start Date]])</f>
        <v>2025</v>
      </c>
      <c r="H330" s="10" t="str">
        <f>TEXT(events[[#This Row],[Start Date]],"mmm")</f>
        <v>Oct</v>
      </c>
      <c r="I330" s="10" t="str">
        <f>CONCATENATE("WK_",WEEKNUM(events[[#This Row],[Start Date]]))</f>
        <v>WK_41</v>
      </c>
      <c r="J330" s="12">
        <v>45935.645381944443</v>
      </c>
      <c r="K330" s="10">
        <v>31</v>
      </c>
      <c r="L330" s="10" t="s">
        <v>25</v>
      </c>
      <c r="M330" s="10" t="s">
        <v>87</v>
      </c>
      <c r="N330" s="13">
        <f t="shared" si="5"/>
        <v>0</v>
      </c>
      <c r="O330" s="14" t="s">
        <v>50</v>
      </c>
      <c r="P330" s="14" t="s">
        <v>50</v>
      </c>
      <c r="Q330" s="14"/>
      <c r="R330" s="14"/>
      <c r="S330" s="14" t="s">
        <v>1560</v>
      </c>
      <c r="T330" s="14" t="s">
        <v>1560</v>
      </c>
      <c r="U330" s="15">
        <v>0</v>
      </c>
      <c r="V330" s="10">
        <v>1</v>
      </c>
    </row>
    <row r="331" spans="1:22" ht="18" customHeight="1" x14ac:dyDescent="0.35">
      <c r="A331" s="10" t="s">
        <v>86</v>
      </c>
      <c r="B331" s="10" t="s">
        <v>3255</v>
      </c>
      <c r="C331" s="11" t="s">
        <v>3051</v>
      </c>
      <c r="D331" s="11" t="s">
        <v>24</v>
      </c>
      <c r="E331" s="12">
        <v>45935.637071759258</v>
      </c>
      <c r="F331" s="10" t="str">
        <f>TEXT(events[[#This Row],[Start Date]],"DDD")</f>
        <v>Sun</v>
      </c>
      <c r="G331" s="10">
        <f>YEAR(events[[#This Row],[Start Date]])</f>
        <v>2025</v>
      </c>
      <c r="H331" s="10" t="str">
        <f>TEXT(events[[#This Row],[Start Date]],"mmm")</f>
        <v>Oct</v>
      </c>
      <c r="I331" s="10" t="str">
        <f>CONCATENATE("WK_",WEEKNUM(events[[#This Row],[Start Date]]))</f>
        <v>WK_41</v>
      </c>
      <c r="J331" s="12">
        <v>45935.637071759258</v>
      </c>
      <c r="K331" s="10">
        <v>36</v>
      </c>
      <c r="L331" s="10" t="s">
        <v>25</v>
      </c>
      <c r="M331" s="10" t="s">
        <v>87</v>
      </c>
      <c r="N331" s="13">
        <f t="shared" si="5"/>
        <v>0</v>
      </c>
      <c r="O331" s="14" t="s">
        <v>50</v>
      </c>
      <c r="P331" s="14" t="s">
        <v>50</v>
      </c>
      <c r="Q331" s="14"/>
      <c r="R331" s="14"/>
      <c r="S331" s="14" t="s">
        <v>1559</v>
      </c>
      <c r="T331" s="14" t="s">
        <v>1559</v>
      </c>
      <c r="U331" s="15">
        <v>0</v>
      </c>
      <c r="V331" s="10">
        <v>1</v>
      </c>
    </row>
    <row r="332" spans="1:22" ht="18" customHeight="1" x14ac:dyDescent="0.35">
      <c r="A332" s="10" t="s">
        <v>123</v>
      </c>
      <c r="B332" s="10" t="s">
        <v>3274</v>
      </c>
      <c r="C332" s="11" t="s">
        <v>3050</v>
      </c>
      <c r="D332" s="11" t="s">
        <v>74</v>
      </c>
      <c r="E332" s="12">
        <v>45935.466770833336</v>
      </c>
      <c r="F332" s="10" t="str">
        <f>TEXT(events[[#This Row],[Start Date]],"DDD")</f>
        <v>Sun</v>
      </c>
      <c r="G332" s="10">
        <f>YEAR(events[[#This Row],[Start Date]])</f>
        <v>2025</v>
      </c>
      <c r="H332" s="10" t="str">
        <f>TEXT(events[[#This Row],[Start Date]],"mmm")</f>
        <v>Oct</v>
      </c>
      <c r="I332" s="10" t="str">
        <f>CONCATENATE("WK_",WEEKNUM(events[[#This Row],[Start Date]]))</f>
        <v>WK_41</v>
      </c>
      <c r="J332" s="12">
        <v>45935.468263888892</v>
      </c>
      <c r="K332" s="10">
        <v>108</v>
      </c>
      <c r="L332" s="10" t="s">
        <v>25</v>
      </c>
      <c r="M332" s="10" t="s">
        <v>717</v>
      </c>
      <c r="N332" s="13">
        <f t="shared" si="5"/>
        <v>2.15</v>
      </c>
      <c r="O332" s="14"/>
      <c r="P332" s="14"/>
      <c r="Q332" s="14"/>
      <c r="R332" s="14"/>
      <c r="S332" s="14" t="s">
        <v>1561</v>
      </c>
      <c r="T332" s="14" t="s">
        <v>1562</v>
      </c>
      <c r="U332" s="15">
        <v>3.3</v>
      </c>
      <c r="V332" s="10">
        <v>1</v>
      </c>
    </row>
    <row r="333" spans="1:22" ht="18" customHeight="1" x14ac:dyDescent="0.35">
      <c r="A333" s="10" t="s">
        <v>86</v>
      </c>
      <c r="B333" s="10" t="s">
        <v>3213</v>
      </c>
      <c r="C333" s="11" t="s">
        <v>2956</v>
      </c>
      <c r="D333" s="11" t="s">
        <v>24</v>
      </c>
      <c r="E333" s="12">
        <v>45935.34746527778</v>
      </c>
      <c r="F333" s="10" t="str">
        <f>TEXT(events[[#This Row],[Start Date]],"DDD")</f>
        <v>Sun</v>
      </c>
      <c r="G333" s="10">
        <f>YEAR(events[[#This Row],[Start Date]])</f>
        <v>2025</v>
      </c>
      <c r="H333" s="10" t="str">
        <f>TEXT(events[[#This Row],[Start Date]],"mmm")</f>
        <v>Oct</v>
      </c>
      <c r="I333" s="10" t="str">
        <f>CONCATENATE("WK_",WEEKNUM(events[[#This Row],[Start Date]]))</f>
        <v>WK_41</v>
      </c>
      <c r="J333" s="12">
        <v>45935.34814814815</v>
      </c>
      <c r="K333" s="10">
        <v>53</v>
      </c>
      <c r="L333" s="10" t="s">
        <v>25</v>
      </c>
      <c r="M333" s="10" t="s">
        <v>538</v>
      </c>
      <c r="N333" s="13">
        <f t="shared" si="5"/>
        <v>0.98333333333333328</v>
      </c>
      <c r="O333" s="14" t="s">
        <v>38</v>
      </c>
      <c r="P333" s="14" t="s">
        <v>38</v>
      </c>
      <c r="Q333" s="14"/>
      <c r="R333" s="14"/>
      <c r="S333" s="14" t="s">
        <v>1554</v>
      </c>
      <c r="T333" s="14" t="s">
        <v>1555</v>
      </c>
      <c r="U333" s="15">
        <v>0.81200000000000006</v>
      </c>
      <c r="V333" s="10">
        <v>1</v>
      </c>
    </row>
    <row r="334" spans="1:22" ht="18" customHeight="1" x14ac:dyDescent="0.35">
      <c r="A334" s="10" t="s">
        <v>123</v>
      </c>
      <c r="B334" s="10" t="s">
        <v>3274</v>
      </c>
      <c r="C334" s="11" t="s">
        <v>3050</v>
      </c>
      <c r="D334" s="11" t="s">
        <v>74</v>
      </c>
      <c r="E334" s="12">
        <v>45933.649791666663</v>
      </c>
      <c r="F334" s="10" t="str">
        <f>TEXT(events[[#This Row],[Start Date]],"DDD")</f>
        <v>Fri</v>
      </c>
      <c r="G334" s="10">
        <f>YEAR(events[[#This Row],[Start Date]])</f>
        <v>2025</v>
      </c>
      <c r="H334" s="10" t="str">
        <f>TEXT(events[[#This Row],[Start Date]],"mmm")</f>
        <v>Oct</v>
      </c>
      <c r="I334" s="10" t="str">
        <f>CONCATENATE("WK_",WEEKNUM(events[[#This Row],[Start Date]]))</f>
        <v>WK_40</v>
      </c>
      <c r="J334" s="12">
        <v>45933.650810185187</v>
      </c>
      <c r="K334" s="10">
        <v>93</v>
      </c>
      <c r="L334" s="10" t="s">
        <v>25</v>
      </c>
      <c r="M334" s="10" t="s">
        <v>1302</v>
      </c>
      <c r="N334" s="13">
        <f t="shared" si="5"/>
        <v>1.4666666666666668</v>
      </c>
      <c r="O334" s="14"/>
      <c r="P334" s="14"/>
      <c r="Q334" s="14"/>
      <c r="R334" s="14"/>
      <c r="S334" s="14" t="s">
        <v>1565</v>
      </c>
      <c r="T334" s="14" t="s">
        <v>1566</v>
      </c>
      <c r="U334" s="15">
        <v>2.2000000000000002</v>
      </c>
      <c r="V334" s="10">
        <v>1</v>
      </c>
    </row>
    <row r="335" spans="1:22" ht="18" customHeight="1" x14ac:dyDescent="0.35">
      <c r="A335" s="10" t="s">
        <v>123</v>
      </c>
      <c r="B335" s="10" t="s">
        <v>3240</v>
      </c>
      <c r="C335" s="11" t="s">
        <v>3007</v>
      </c>
      <c r="D335" s="11" t="s">
        <v>74</v>
      </c>
      <c r="E335" s="12">
        <v>45933.63484953704</v>
      </c>
      <c r="F335" s="10" t="str">
        <f>TEXT(events[[#This Row],[Start Date]],"DDD")</f>
        <v>Fri</v>
      </c>
      <c r="G335" s="10">
        <f>YEAR(events[[#This Row],[Start Date]])</f>
        <v>2025</v>
      </c>
      <c r="H335" s="10" t="str">
        <f>TEXT(events[[#This Row],[Start Date]],"mmm")</f>
        <v>Oct</v>
      </c>
      <c r="I335" s="10" t="str">
        <f>CONCATENATE("WK_",WEEKNUM(events[[#This Row],[Start Date]]))</f>
        <v>WK_40</v>
      </c>
      <c r="J335" s="12">
        <v>45933.636701388888</v>
      </c>
      <c r="K335" s="10">
        <v>98</v>
      </c>
      <c r="L335" s="10" t="s">
        <v>25</v>
      </c>
      <c r="M335" s="10" t="s">
        <v>1567</v>
      </c>
      <c r="N335" s="13">
        <f t="shared" si="5"/>
        <v>2.6666666666666665</v>
      </c>
      <c r="O335" s="14"/>
      <c r="P335" s="14"/>
      <c r="Q335" s="14"/>
      <c r="R335" s="14"/>
      <c r="S335" s="14" t="s">
        <v>1568</v>
      </c>
      <c r="T335" s="14" t="s">
        <v>1569</v>
      </c>
      <c r="U335" s="15">
        <v>3.9</v>
      </c>
      <c r="V335" s="10">
        <v>1</v>
      </c>
    </row>
    <row r="336" spans="1:22" ht="18" customHeight="1" x14ac:dyDescent="0.35">
      <c r="A336" s="10" t="s">
        <v>86</v>
      </c>
      <c r="B336" s="10" t="s">
        <v>3189</v>
      </c>
      <c r="C336" s="11" t="s">
        <v>3036</v>
      </c>
      <c r="D336" s="11" t="s">
        <v>24</v>
      </c>
      <c r="E336" s="12">
        <v>45932.635567129626</v>
      </c>
      <c r="F336" s="10" t="str">
        <f>TEXT(events[[#This Row],[Start Date]],"DDD")</f>
        <v>Thu</v>
      </c>
      <c r="G336" s="10">
        <f>YEAR(events[[#This Row],[Start Date]])</f>
        <v>2025</v>
      </c>
      <c r="H336" s="10" t="str">
        <f>TEXT(events[[#This Row],[Start Date]],"mmm")</f>
        <v>Oct</v>
      </c>
      <c r="I336" s="10" t="str">
        <f>CONCATENATE("WK_",WEEKNUM(events[[#This Row],[Start Date]]))</f>
        <v>WK_40</v>
      </c>
      <c r="J336" s="12">
        <v>45932.635567129626</v>
      </c>
      <c r="K336" s="10">
        <v>36</v>
      </c>
      <c r="L336" s="10" t="s">
        <v>25</v>
      </c>
      <c r="M336" s="10" t="s">
        <v>87</v>
      </c>
      <c r="N336" s="13">
        <f t="shared" si="5"/>
        <v>0</v>
      </c>
      <c r="O336" s="14" t="s">
        <v>49</v>
      </c>
      <c r="P336" s="14" t="s">
        <v>49</v>
      </c>
      <c r="Q336" s="14"/>
      <c r="R336" s="14"/>
      <c r="S336" s="14" t="s">
        <v>1558</v>
      </c>
      <c r="T336" s="14" t="s">
        <v>1558</v>
      </c>
      <c r="U336" s="15">
        <v>0</v>
      </c>
      <c r="V336" s="10">
        <v>1</v>
      </c>
    </row>
    <row r="337" spans="1:22" ht="18" customHeight="1" x14ac:dyDescent="0.35">
      <c r="A337" s="10" t="s">
        <v>123</v>
      </c>
      <c r="B337" s="10" t="s">
        <v>3275</v>
      </c>
      <c r="C337" s="11" t="s">
        <v>3052</v>
      </c>
      <c r="D337" s="11" t="s">
        <v>74</v>
      </c>
      <c r="E337" s="12">
        <v>45931.8437037037</v>
      </c>
      <c r="F337" s="10" t="str">
        <f>TEXT(events[[#This Row],[Start Date]],"DDD")</f>
        <v>Wed</v>
      </c>
      <c r="G337" s="10">
        <f>YEAR(events[[#This Row],[Start Date]])</f>
        <v>2025</v>
      </c>
      <c r="H337" s="10" t="str">
        <f>TEXT(events[[#This Row],[Start Date]],"mmm")</f>
        <v>Oct</v>
      </c>
      <c r="I337" s="10" t="str">
        <f>CONCATENATE("WK_",WEEKNUM(events[[#This Row],[Start Date]]))</f>
        <v>WK_40</v>
      </c>
      <c r="J337" s="12">
        <v>45931.843993055554</v>
      </c>
      <c r="K337" s="10">
        <v>83</v>
      </c>
      <c r="L337" s="10" t="s">
        <v>25</v>
      </c>
      <c r="M337" s="10" t="s">
        <v>128</v>
      </c>
      <c r="N337" s="13">
        <f t="shared" si="5"/>
        <v>0.41666666666666669</v>
      </c>
      <c r="O337" s="14"/>
      <c r="P337" s="14"/>
      <c r="Q337" s="14"/>
      <c r="R337" s="14"/>
      <c r="S337" s="14" t="s">
        <v>1702</v>
      </c>
      <c r="T337" s="14" t="s">
        <v>1703</v>
      </c>
      <c r="U337" s="15">
        <v>0.7</v>
      </c>
      <c r="V337" s="10">
        <v>1</v>
      </c>
    </row>
    <row r="338" spans="1:22" ht="18" customHeight="1" x14ac:dyDescent="0.35">
      <c r="A338" s="10" t="s">
        <v>86</v>
      </c>
      <c r="B338" s="10" t="s">
        <v>3171</v>
      </c>
      <c r="C338" s="11" t="s">
        <v>2970</v>
      </c>
      <c r="D338" s="11" t="s">
        <v>24</v>
      </c>
      <c r="E338" s="12">
        <v>45931.78528935185</v>
      </c>
      <c r="F338" s="10" t="str">
        <f>TEXT(events[[#This Row],[Start Date]],"DDD")</f>
        <v>Wed</v>
      </c>
      <c r="G338" s="10">
        <f>YEAR(events[[#This Row],[Start Date]])</f>
        <v>2025</v>
      </c>
      <c r="H338" s="10" t="str">
        <f>TEXT(events[[#This Row],[Start Date]],"mmm")</f>
        <v>Oct</v>
      </c>
      <c r="I338" s="10" t="str">
        <f>CONCATENATE("WK_",WEEKNUM(events[[#This Row],[Start Date]]))</f>
        <v>WK_40</v>
      </c>
      <c r="J338" s="12">
        <v>45931.785324074073</v>
      </c>
      <c r="K338" s="10">
        <v>32</v>
      </c>
      <c r="L338" s="10" t="s">
        <v>25</v>
      </c>
      <c r="M338" s="10" t="s">
        <v>75</v>
      </c>
      <c r="N338" s="13">
        <f t="shared" si="5"/>
        <v>0.05</v>
      </c>
      <c r="O338" s="14" t="s">
        <v>38</v>
      </c>
      <c r="P338" s="14" t="s">
        <v>38</v>
      </c>
      <c r="Q338" s="14"/>
      <c r="R338" s="14"/>
      <c r="S338" s="14" t="s">
        <v>1692</v>
      </c>
      <c r="T338" s="14" t="s">
        <v>1693</v>
      </c>
      <c r="U338" s="15">
        <v>0</v>
      </c>
      <c r="V338" s="10">
        <v>1</v>
      </c>
    </row>
    <row r="339" spans="1:22" ht="18" customHeight="1" x14ac:dyDescent="0.35">
      <c r="A339" s="10" t="s">
        <v>47</v>
      </c>
      <c r="B339" s="10" t="s">
        <v>3276</v>
      </c>
      <c r="C339" s="11" t="s">
        <v>3053</v>
      </c>
      <c r="D339" s="11" t="s">
        <v>24</v>
      </c>
      <c r="E339" s="12">
        <v>45931.777314814812</v>
      </c>
      <c r="F339" s="10" t="str">
        <f>TEXT(events[[#This Row],[Start Date]],"DDD")</f>
        <v>Wed</v>
      </c>
      <c r="G339" s="10">
        <f>YEAR(events[[#This Row],[Start Date]])</f>
        <v>2025</v>
      </c>
      <c r="H339" s="10" t="str">
        <f>TEXT(events[[#This Row],[Start Date]],"mmm")</f>
        <v>Oct</v>
      </c>
      <c r="I339" s="10" t="str">
        <f>CONCATENATE("WK_",WEEKNUM(events[[#This Row],[Start Date]]))</f>
        <v>WK_40</v>
      </c>
      <c r="J339" s="12">
        <v>45931.777928240743</v>
      </c>
      <c r="K339" s="10">
        <v>68</v>
      </c>
      <c r="L339" s="10" t="s">
        <v>25</v>
      </c>
      <c r="M339" s="10" t="s">
        <v>1678</v>
      </c>
      <c r="N339" s="13">
        <f t="shared" si="5"/>
        <v>0.8833333333333333</v>
      </c>
      <c r="O339" s="14" t="s">
        <v>1679</v>
      </c>
      <c r="P339" s="14" t="s">
        <v>1679</v>
      </c>
      <c r="Q339" s="14"/>
      <c r="R339" s="14"/>
      <c r="S339" s="14" t="s">
        <v>1680</v>
      </c>
      <c r="T339" s="14" t="s">
        <v>1681</v>
      </c>
      <c r="U339" s="15">
        <v>0.90600000000000003</v>
      </c>
      <c r="V339" s="10">
        <v>1</v>
      </c>
    </row>
    <row r="340" spans="1:22" ht="18" customHeight="1" x14ac:dyDescent="0.35">
      <c r="A340" s="10" t="s">
        <v>23</v>
      </c>
      <c r="B340" s="10" t="s">
        <v>3162</v>
      </c>
      <c r="C340" s="11" t="s">
        <v>2928</v>
      </c>
      <c r="D340" s="11" t="s">
        <v>82</v>
      </c>
      <c r="E340" s="12">
        <v>45930.594155092593</v>
      </c>
      <c r="F340" s="10" t="str">
        <f>TEXT(events[[#This Row],[Start Date]],"DDD")</f>
        <v>Tue</v>
      </c>
      <c r="G340" s="10">
        <f>YEAR(events[[#This Row],[Start Date]])</f>
        <v>2025</v>
      </c>
      <c r="H340" s="10" t="str">
        <f>TEXT(events[[#This Row],[Start Date]],"mmm")</f>
        <v>Sep</v>
      </c>
      <c r="I340" s="10" t="str">
        <f>CONCATENATE("WK_",WEEKNUM(events[[#This Row],[Start Date]]))</f>
        <v>WK_40</v>
      </c>
      <c r="J340" s="12">
        <v>45930.594166666669</v>
      </c>
      <c r="K340" s="10">
        <v>27</v>
      </c>
      <c r="L340" s="10" t="s">
        <v>83</v>
      </c>
      <c r="M340" s="10" t="s">
        <v>26</v>
      </c>
      <c r="N340" s="13">
        <f t="shared" si="5"/>
        <v>1.6666666666666666E-2</v>
      </c>
      <c r="O340" s="14" t="s">
        <v>138</v>
      </c>
      <c r="P340" s="14"/>
      <c r="Q340" s="14"/>
      <c r="R340" s="14"/>
      <c r="S340" s="14" t="s">
        <v>1677</v>
      </c>
      <c r="T340" s="14"/>
      <c r="U340" s="15">
        <v>0</v>
      </c>
      <c r="V340" s="10">
        <v>1</v>
      </c>
    </row>
    <row r="341" spans="1:22" ht="18" customHeight="1" x14ac:dyDescent="0.35">
      <c r="A341" s="10" t="s">
        <v>23</v>
      </c>
      <c r="B341" s="10" t="s">
        <v>3207</v>
      </c>
      <c r="C341" s="11" t="s">
        <v>2975</v>
      </c>
      <c r="D341" s="11" t="s">
        <v>24</v>
      </c>
      <c r="E341" s="12">
        <v>45929.710312499999</v>
      </c>
      <c r="F341" s="10" t="str">
        <f>TEXT(events[[#This Row],[Start Date]],"DDD")</f>
        <v>Mon</v>
      </c>
      <c r="G341" s="10">
        <f>YEAR(events[[#This Row],[Start Date]])</f>
        <v>2025</v>
      </c>
      <c r="H341" s="10" t="str">
        <f>TEXT(events[[#This Row],[Start Date]],"mmm")</f>
        <v>Sep</v>
      </c>
      <c r="I341" s="10" t="str">
        <f>CONCATENATE("WK_",WEEKNUM(events[[#This Row],[Start Date]]))</f>
        <v>WK_40</v>
      </c>
      <c r="J341" s="12">
        <v>45929.710324074076</v>
      </c>
      <c r="K341" s="10">
        <v>33</v>
      </c>
      <c r="L341" s="10" t="s">
        <v>25</v>
      </c>
      <c r="M341" s="10" t="s">
        <v>26</v>
      </c>
      <c r="N341" s="13">
        <f t="shared" si="5"/>
        <v>1.6666666666666666E-2</v>
      </c>
      <c r="O341" s="14" t="s">
        <v>27</v>
      </c>
      <c r="P341" s="14" t="s">
        <v>27</v>
      </c>
      <c r="Q341" s="14"/>
      <c r="R341" s="14"/>
      <c r="S341" s="14" t="s">
        <v>1673</v>
      </c>
      <c r="T341" s="14" t="s">
        <v>1674</v>
      </c>
      <c r="U341" s="15">
        <v>0</v>
      </c>
      <c r="V341" s="10">
        <v>1</v>
      </c>
    </row>
    <row r="342" spans="1:22" ht="18" customHeight="1" x14ac:dyDescent="0.35">
      <c r="A342" s="10" t="s">
        <v>23</v>
      </c>
      <c r="B342" s="10" t="s">
        <v>3207</v>
      </c>
      <c r="C342" s="11" t="s">
        <v>2975</v>
      </c>
      <c r="D342" s="11" t="s">
        <v>24</v>
      </c>
      <c r="E342" s="12">
        <v>45929.200555555559</v>
      </c>
      <c r="F342" s="10" t="str">
        <f>TEXT(events[[#This Row],[Start Date]],"DDD")</f>
        <v>Mon</v>
      </c>
      <c r="G342" s="10">
        <f>YEAR(events[[#This Row],[Start Date]])</f>
        <v>2025</v>
      </c>
      <c r="H342" s="10" t="str">
        <f>TEXT(events[[#This Row],[Start Date]],"mmm")</f>
        <v>Sep</v>
      </c>
      <c r="I342" s="10" t="str">
        <f>CONCATENATE("WK_",WEEKNUM(events[[#This Row],[Start Date]]))</f>
        <v>WK_40</v>
      </c>
      <c r="J342" s="12">
        <v>45929.200590277775</v>
      </c>
      <c r="K342" s="10">
        <v>32</v>
      </c>
      <c r="L342" s="10" t="s">
        <v>25</v>
      </c>
      <c r="M342" s="10" t="s">
        <v>75</v>
      </c>
      <c r="N342" s="13">
        <f t="shared" si="5"/>
        <v>0.05</v>
      </c>
      <c r="O342" s="14" t="s">
        <v>38</v>
      </c>
      <c r="P342" s="14" t="s">
        <v>38</v>
      </c>
      <c r="Q342" s="14"/>
      <c r="R342" s="14"/>
      <c r="S342" s="14" t="s">
        <v>1671</v>
      </c>
      <c r="T342" s="14" t="s">
        <v>1672</v>
      </c>
      <c r="U342" s="15">
        <v>0</v>
      </c>
      <c r="V342" s="10">
        <v>1</v>
      </c>
    </row>
    <row r="343" spans="1:22" ht="18" customHeight="1" x14ac:dyDescent="0.35">
      <c r="A343" s="10" t="s">
        <v>23</v>
      </c>
      <c r="B343" s="10" t="s">
        <v>3207</v>
      </c>
      <c r="C343" s="11" t="s">
        <v>2975</v>
      </c>
      <c r="D343" s="11" t="s">
        <v>24</v>
      </c>
      <c r="E343" s="12">
        <v>45928.835150462961</v>
      </c>
      <c r="F343" s="10" t="str">
        <f>TEXT(events[[#This Row],[Start Date]],"DDD")</f>
        <v>Sun</v>
      </c>
      <c r="G343" s="10">
        <f>YEAR(events[[#This Row],[Start Date]])</f>
        <v>2025</v>
      </c>
      <c r="H343" s="10" t="str">
        <f>TEXT(events[[#This Row],[Start Date]],"mmm")</f>
        <v>Sep</v>
      </c>
      <c r="I343" s="10" t="str">
        <f>CONCATENATE("WK_",WEEKNUM(events[[#This Row],[Start Date]]))</f>
        <v>WK_40</v>
      </c>
      <c r="J343" s="12">
        <v>45928.835162037038</v>
      </c>
      <c r="K343" s="10">
        <v>33</v>
      </c>
      <c r="L343" s="10" t="s">
        <v>25</v>
      </c>
      <c r="M343" s="10" t="s">
        <v>26</v>
      </c>
      <c r="N343" s="13">
        <f t="shared" si="5"/>
        <v>1.6666666666666666E-2</v>
      </c>
      <c r="O343" s="14" t="s">
        <v>38</v>
      </c>
      <c r="P343" s="14" t="s">
        <v>38</v>
      </c>
      <c r="Q343" s="14"/>
      <c r="R343" s="14"/>
      <c r="S343" s="14" t="s">
        <v>1669</v>
      </c>
      <c r="T343" s="14" t="s">
        <v>1670</v>
      </c>
      <c r="U343" s="15">
        <v>0</v>
      </c>
      <c r="V343" s="10">
        <v>1</v>
      </c>
    </row>
    <row r="344" spans="1:22" ht="18" customHeight="1" x14ac:dyDescent="0.35">
      <c r="A344" s="10" t="s">
        <v>47</v>
      </c>
      <c r="B344" s="10" t="s">
        <v>3262</v>
      </c>
      <c r="C344" s="11" t="s">
        <v>3035</v>
      </c>
      <c r="D344" s="11" t="s">
        <v>82</v>
      </c>
      <c r="E344" s="12">
        <v>45928.24591435185</v>
      </c>
      <c r="F344" s="10" t="str">
        <f>TEXT(events[[#This Row],[Start Date]],"DDD")</f>
        <v>Sun</v>
      </c>
      <c r="G344" s="10">
        <f>YEAR(events[[#This Row],[Start Date]])</f>
        <v>2025</v>
      </c>
      <c r="H344" s="10" t="str">
        <f>TEXT(events[[#This Row],[Start Date]],"mmm")</f>
        <v>Sep</v>
      </c>
      <c r="I344" s="10" t="str">
        <f>CONCATENATE("WK_",WEEKNUM(events[[#This Row],[Start Date]]))</f>
        <v>WK_40</v>
      </c>
      <c r="J344" s="12">
        <v>45928.245925925927</v>
      </c>
      <c r="K344" s="10">
        <v>31</v>
      </c>
      <c r="L344" s="10" t="s">
        <v>83</v>
      </c>
      <c r="M344" s="10" t="s">
        <v>26</v>
      </c>
      <c r="N344" s="13">
        <f t="shared" si="5"/>
        <v>1.6666666666666666E-2</v>
      </c>
      <c r="O344" s="14" t="s">
        <v>1682</v>
      </c>
      <c r="P344" s="14"/>
      <c r="Q344" s="14"/>
      <c r="R344" s="14"/>
      <c r="S344" s="14" t="s">
        <v>1684</v>
      </c>
      <c r="T344" s="14"/>
      <c r="U344" s="15">
        <v>0</v>
      </c>
      <c r="V344" s="10">
        <v>1</v>
      </c>
    </row>
    <row r="345" spans="1:22" ht="18" customHeight="1" x14ac:dyDescent="0.35">
      <c r="A345" s="10" t="s">
        <v>47</v>
      </c>
      <c r="B345" s="10" t="s">
        <v>3262</v>
      </c>
      <c r="C345" s="11" t="s">
        <v>3035</v>
      </c>
      <c r="D345" s="11" t="s">
        <v>82</v>
      </c>
      <c r="E345" s="12">
        <v>45928.229780092595</v>
      </c>
      <c r="F345" s="10" t="str">
        <f>TEXT(events[[#This Row],[Start Date]],"DDD")</f>
        <v>Sun</v>
      </c>
      <c r="G345" s="10">
        <f>YEAR(events[[#This Row],[Start Date]])</f>
        <v>2025</v>
      </c>
      <c r="H345" s="10" t="str">
        <f>TEXT(events[[#This Row],[Start Date]],"mmm")</f>
        <v>Sep</v>
      </c>
      <c r="I345" s="10" t="str">
        <f>CONCATENATE("WK_",WEEKNUM(events[[#This Row],[Start Date]]))</f>
        <v>WK_40</v>
      </c>
      <c r="J345" s="12">
        <v>45928.229791666665</v>
      </c>
      <c r="K345" s="10">
        <v>32</v>
      </c>
      <c r="L345" s="10" t="s">
        <v>83</v>
      </c>
      <c r="M345" s="10" t="s">
        <v>26</v>
      </c>
      <c r="N345" s="13">
        <f t="shared" si="5"/>
        <v>1.6666666666666666E-2</v>
      </c>
      <c r="O345" s="14" t="s">
        <v>1682</v>
      </c>
      <c r="P345" s="14"/>
      <c r="Q345" s="14"/>
      <c r="R345" s="14"/>
      <c r="S345" s="14" t="s">
        <v>1683</v>
      </c>
      <c r="T345" s="14"/>
      <c r="U345" s="15">
        <v>0</v>
      </c>
      <c r="V345" s="10">
        <v>1</v>
      </c>
    </row>
    <row r="346" spans="1:22" ht="18" customHeight="1" x14ac:dyDescent="0.35">
      <c r="A346" s="10" t="s">
        <v>23</v>
      </c>
      <c r="B346" s="10" t="s">
        <v>3207</v>
      </c>
      <c r="C346" s="11" t="s">
        <v>2975</v>
      </c>
      <c r="D346" s="11" t="s">
        <v>24</v>
      </c>
      <c r="E346" s="12">
        <v>45927.894131944442</v>
      </c>
      <c r="F346" s="10" t="str">
        <f>TEXT(events[[#This Row],[Start Date]],"DDD")</f>
        <v>Sat</v>
      </c>
      <c r="G346" s="10">
        <f>YEAR(events[[#This Row],[Start Date]])</f>
        <v>2025</v>
      </c>
      <c r="H346" s="10" t="str">
        <f>TEXT(events[[#This Row],[Start Date]],"mmm")</f>
        <v>Sep</v>
      </c>
      <c r="I346" s="10" t="str">
        <f>CONCATENATE("WK_",WEEKNUM(events[[#This Row],[Start Date]]))</f>
        <v>WK_39</v>
      </c>
      <c r="J346" s="12">
        <v>45927.894189814811</v>
      </c>
      <c r="K346" s="10">
        <v>33</v>
      </c>
      <c r="L346" s="10" t="s">
        <v>25</v>
      </c>
      <c r="M346" s="10" t="s">
        <v>431</v>
      </c>
      <c r="N346" s="13">
        <f t="shared" si="5"/>
        <v>8.3333333333333329E-2</v>
      </c>
      <c r="O346" s="14" t="s">
        <v>458</v>
      </c>
      <c r="P346" s="14" t="s">
        <v>458</v>
      </c>
      <c r="Q346" s="14"/>
      <c r="R346" s="14"/>
      <c r="S346" s="14" t="s">
        <v>1667</v>
      </c>
      <c r="T346" s="14" t="s">
        <v>1668</v>
      </c>
      <c r="U346" s="15">
        <v>0</v>
      </c>
      <c r="V346" s="10">
        <v>1</v>
      </c>
    </row>
    <row r="347" spans="1:22" ht="18" customHeight="1" x14ac:dyDescent="0.35">
      <c r="A347" s="10" t="s">
        <v>23</v>
      </c>
      <c r="B347" s="10" t="s">
        <v>3207</v>
      </c>
      <c r="C347" s="11" t="s">
        <v>2975</v>
      </c>
      <c r="D347" s="11" t="s">
        <v>24</v>
      </c>
      <c r="E347" s="12">
        <v>45927.861840277779</v>
      </c>
      <c r="F347" s="10" t="str">
        <f>TEXT(events[[#This Row],[Start Date]],"DDD")</f>
        <v>Sat</v>
      </c>
      <c r="G347" s="10">
        <f>YEAR(events[[#This Row],[Start Date]])</f>
        <v>2025</v>
      </c>
      <c r="H347" s="10" t="str">
        <f>TEXT(events[[#This Row],[Start Date]],"mmm")</f>
        <v>Sep</v>
      </c>
      <c r="I347" s="10" t="str">
        <f>CONCATENATE("WK_",WEEKNUM(events[[#This Row],[Start Date]]))</f>
        <v>WK_39</v>
      </c>
      <c r="J347" s="12">
        <v>45927.861851851849</v>
      </c>
      <c r="K347" s="10">
        <v>33</v>
      </c>
      <c r="L347" s="10" t="s">
        <v>25</v>
      </c>
      <c r="M347" s="10" t="s">
        <v>26</v>
      </c>
      <c r="N347" s="13">
        <f t="shared" si="5"/>
        <v>1.6666666666666666E-2</v>
      </c>
      <c r="O347" s="14" t="s">
        <v>142</v>
      </c>
      <c r="P347" s="14" t="s">
        <v>142</v>
      </c>
      <c r="Q347" s="14"/>
      <c r="R347" s="14"/>
      <c r="S347" s="14" t="s">
        <v>1665</v>
      </c>
      <c r="T347" s="14" t="s">
        <v>1666</v>
      </c>
      <c r="U347" s="15">
        <v>0</v>
      </c>
      <c r="V347" s="10">
        <v>1</v>
      </c>
    </row>
    <row r="348" spans="1:22" ht="18" customHeight="1" x14ac:dyDescent="0.35">
      <c r="A348" s="10" t="s">
        <v>123</v>
      </c>
      <c r="B348" s="10" t="s">
        <v>3221</v>
      </c>
      <c r="C348" s="11" t="s">
        <v>2990</v>
      </c>
      <c r="D348" s="11" t="s">
        <v>74</v>
      </c>
      <c r="E348" s="12">
        <v>45927.238067129627</v>
      </c>
      <c r="F348" s="10" t="str">
        <f>TEXT(events[[#This Row],[Start Date]],"DDD")</f>
        <v>Sat</v>
      </c>
      <c r="G348" s="10">
        <f>YEAR(events[[#This Row],[Start Date]])</f>
        <v>2025</v>
      </c>
      <c r="H348" s="10" t="str">
        <f>TEXT(events[[#This Row],[Start Date]],"mmm")</f>
        <v>Sep</v>
      </c>
      <c r="I348" s="10" t="str">
        <f>CONCATENATE("WK_",WEEKNUM(events[[#This Row],[Start Date]]))</f>
        <v>WK_39</v>
      </c>
      <c r="J348" s="12">
        <v>45927.239537037036</v>
      </c>
      <c r="K348" s="10">
        <v>110</v>
      </c>
      <c r="L348" s="10" t="s">
        <v>25</v>
      </c>
      <c r="M348" s="10" t="s">
        <v>1699</v>
      </c>
      <c r="N348" s="13">
        <f t="shared" si="5"/>
        <v>2.1166666666666667</v>
      </c>
      <c r="O348" s="14"/>
      <c r="P348" s="14"/>
      <c r="Q348" s="14"/>
      <c r="R348" s="14"/>
      <c r="S348" s="14" t="s">
        <v>1700</v>
      </c>
      <c r="T348" s="14" t="s">
        <v>1701</v>
      </c>
      <c r="U348" s="15">
        <v>3.2</v>
      </c>
      <c r="V348" s="10">
        <v>1</v>
      </c>
    </row>
    <row r="349" spans="1:22" ht="18" customHeight="1" x14ac:dyDescent="0.35">
      <c r="A349" s="10" t="s">
        <v>123</v>
      </c>
      <c r="B349" s="10" t="s">
        <v>3221</v>
      </c>
      <c r="C349" s="11" t="s">
        <v>2990</v>
      </c>
      <c r="D349" s="11" t="s">
        <v>74</v>
      </c>
      <c r="E349" s="12">
        <v>45927.070590277777</v>
      </c>
      <c r="F349" s="10" t="str">
        <f>TEXT(events[[#This Row],[Start Date]],"DDD")</f>
        <v>Sat</v>
      </c>
      <c r="G349" s="10">
        <f>YEAR(events[[#This Row],[Start Date]])</f>
        <v>2025</v>
      </c>
      <c r="H349" s="10" t="str">
        <f>TEXT(events[[#This Row],[Start Date]],"mmm")</f>
        <v>Sep</v>
      </c>
      <c r="I349" s="10" t="str">
        <f>CONCATENATE("WK_",WEEKNUM(events[[#This Row],[Start Date]]))</f>
        <v>WK_39</v>
      </c>
      <c r="J349" s="12">
        <v>45927.071053240739</v>
      </c>
      <c r="K349" s="10">
        <v>118</v>
      </c>
      <c r="L349" s="10" t="s">
        <v>25</v>
      </c>
      <c r="M349" s="10" t="s">
        <v>823</v>
      </c>
      <c r="N349" s="13">
        <f t="shared" si="5"/>
        <v>0.65</v>
      </c>
      <c r="O349" s="14"/>
      <c r="P349" s="14"/>
      <c r="Q349" s="14"/>
      <c r="R349" s="14"/>
      <c r="S349" s="14" t="s">
        <v>1697</v>
      </c>
      <c r="T349" s="14" t="s">
        <v>1698</v>
      </c>
      <c r="U349" s="15">
        <v>1.2</v>
      </c>
      <c r="V349" s="10">
        <v>1</v>
      </c>
    </row>
    <row r="350" spans="1:22" ht="18" customHeight="1" x14ac:dyDescent="0.35">
      <c r="A350" s="10" t="s">
        <v>86</v>
      </c>
      <c r="B350" s="10" t="s">
        <v>3164</v>
      </c>
      <c r="C350" s="11" t="s">
        <v>3054</v>
      </c>
      <c r="D350" s="11" t="s">
        <v>24</v>
      </c>
      <c r="E350" s="12">
        <v>45926.63417824074</v>
      </c>
      <c r="F350" s="10" t="str">
        <f>TEXT(events[[#This Row],[Start Date]],"DDD")</f>
        <v>Fri</v>
      </c>
      <c r="G350" s="10">
        <f>YEAR(events[[#This Row],[Start Date]])</f>
        <v>2025</v>
      </c>
      <c r="H350" s="10" t="str">
        <f>TEXT(events[[#This Row],[Start Date]],"mmm")</f>
        <v>Sep</v>
      </c>
      <c r="I350" s="10" t="str">
        <f>CONCATENATE("WK_",WEEKNUM(events[[#This Row],[Start Date]]))</f>
        <v>WK_39</v>
      </c>
      <c r="J350" s="12">
        <v>45926.634247685186</v>
      </c>
      <c r="K350" s="10">
        <v>35</v>
      </c>
      <c r="L350" s="10" t="s">
        <v>25</v>
      </c>
      <c r="M350" s="10" t="s">
        <v>328</v>
      </c>
      <c r="N350" s="13">
        <f t="shared" si="5"/>
        <v>0.1</v>
      </c>
      <c r="O350" s="14" t="s">
        <v>138</v>
      </c>
      <c r="P350" s="14" t="s">
        <v>138</v>
      </c>
      <c r="Q350" s="14"/>
      <c r="R350" s="14"/>
      <c r="S350" s="14" t="s">
        <v>1690</v>
      </c>
      <c r="T350" s="14" t="s">
        <v>1691</v>
      </c>
      <c r="U350" s="15">
        <v>9.4E-2</v>
      </c>
      <c r="V350" s="10">
        <v>1</v>
      </c>
    </row>
    <row r="351" spans="1:22" ht="18" customHeight="1" x14ac:dyDescent="0.35">
      <c r="A351" s="10" t="s">
        <v>86</v>
      </c>
      <c r="B351" s="10" t="s">
        <v>3164</v>
      </c>
      <c r="C351" s="11" t="s">
        <v>3054</v>
      </c>
      <c r="D351" s="11" t="s">
        <v>24</v>
      </c>
      <c r="E351" s="12">
        <v>45926.480034722219</v>
      </c>
      <c r="F351" s="10" t="str">
        <f>TEXT(events[[#This Row],[Start Date]],"DDD")</f>
        <v>Fri</v>
      </c>
      <c r="G351" s="10">
        <f>YEAR(events[[#This Row],[Start Date]])</f>
        <v>2025</v>
      </c>
      <c r="H351" s="10" t="str">
        <f>TEXT(events[[#This Row],[Start Date]],"mmm")</f>
        <v>Sep</v>
      </c>
      <c r="I351" s="10" t="str">
        <f>CONCATENATE("WK_",WEEKNUM(events[[#This Row],[Start Date]]))</f>
        <v>WK_39</v>
      </c>
      <c r="J351" s="12">
        <v>45926.480092592596</v>
      </c>
      <c r="K351" s="10">
        <v>34</v>
      </c>
      <c r="L351" s="10" t="s">
        <v>25</v>
      </c>
      <c r="M351" s="10" t="s">
        <v>431</v>
      </c>
      <c r="N351" s="13">
        <f t="shared" si="5"/>
        <v>8.3333333333333329E-2</v>
      </c>
      <c r="O351" s="14" t="s">
        <v>138</v>
      </c>
      <c r="P351" s="14" t="s">
        <v>138</v>
      </c>
      <c r="Q351" s="14"/>
      <c r="R351" s="14"/>
      <c r="S351" s="14" t="s">
        <v>1688</v>
      </c>
      <c r="T351" s="14" t="s">
        <v>1689</v>
      </c>
      <c r="U351" s="15">
        <v>9.4E-2</v>
      </c>
      <c r="V351" s="10">
        <v>1</v>
      </c>
    </row>
    <row r="352" spans="1:22" ht="18" customHeight="1" x14ac:dyDescent="0.35">
      <c r="A352" s="10" t="s">
        <v>86</v>
      </c>
      <c r="B352" s="10" t="s">
        <v>3164</v>
      </c>
      <c r="C352" s="11" t="s">
        <v>3054</v>
      </c>
      <c r="D352" s="11" t="s">
        <v>24</v>
      </c>
      <c r="E352" s="12">
        <v>45926.47965277778</v>
      </c>
      <c r="F352" s="10" t="str">
        <f>TEXT(events[[#This Row],[Start Date]],"DDD")</f>
        <v>Fri</v>
      </c>
      <c r="G352" s="10">
        <f>YEAR(events[[#This Row],[Start Date]])</f>
        <v>2025</v>
      </c>
      <c r="H352" s="10" t="str">
        <f>TEXT(events[[#This Row],[Start Date]],"mmm")</f>
        <v>Sep</v>
      </c>
      <c r="I352" s="10" t="str">
        <f>CONCATENATE("WK_",WEEKNUM(events[[#This Row],[Start Date]]))</f>
        <v>WK_39</v>
      </c>
      <c r="J352" s="12">
        <v>45926.479756944442</v>
      </c>
      <c r="K352" s="10">
        <v>37</v>
      </c>
      <c r="L352" s="10" t="s">
        <v>25</v>
      </c>
      <c r="M352" s="10" t="s">
        <v>414</v>
      </c>
      <c r="N352" s="13">
        <f t="shared" si="5"/>
        <v>0.15</v>
      </c>
      <c r="O352" s="14" t="s">
        <v>138</v>
      </c>
      <c r="P352" s="14" t="s">
        <v>138</v>
      </c>
      <c r="Q352" s="14"/>
      <c r="R352" s="14"/>
      <c r="S352" s="14" t="s">
        <v>1686</v>
      </c>
      <c r="T352" s="14" t="s">
        <v>1687</v>
      </c>
      <c r="U352" s="15">
        <v>9.4E-2</v>
      </c>
      <c r="V352" s="10">
        <v>1</v>
      </c>
    </row>
    <row r="353" spans="1:22" ht="18" customHeight="1" x14ac:dyDescent="0.35">
      <c r="A353" s="10" t="s">
        <v>86</v>
      </c>
      <c r="B353" s="10" t="s">
        <v>3164</v>
      </c>
      <c r="C353" s="11" t="s">
        <v>3054</v>
      </c>
      <c r="D353" s="11" t="s">
        <v>24</v>
      </c>
      <c r="E353" s="12">
        <v>45926.479467592595</v>
      </c>
      <c r="F353" s="10" t="str">
        <f>TEXT(events[[#This Row],[Start Date]],"DDD")</f>
        <v>Fri</v>
      </c>
      <c r="G353" s="10">
        <f>YEAR(events[[#This Row],[Start Date]])</f>
        <v>2025</v>
      </c>
      <c r="H353" s="10" t="str">
        <f>TEXT(events[[#This Row],[Start Date]],"mmm")</f>
        <v>Sep</v>
      </c>
      <c r="I353" s="10" t="str">
        <f>CONCATENATE("WK_",WEEKNUM(events[[#This Row],[Start Date]]))</f>
        <v>WK_39</v>
      </c>
      <c r="J353" s="12">
        <v>45926.479467592595</v>
      </c>
      <c r="K353" s="10">
        <v>32</v>
      </c>
      <c r="L353" s="10" t="s">
        <v>25</v>
      </c>
      <c r="M353" s="10" t="s">
        <v>87</v>
      </c>
      <c r="N353" s="13">
        <f t="shared" si="5"/>
        <v>0</v>
      </c>
      <c r="O353" s="14" t="s">
        <v>138</v>
      </c>
      <c r="P353" s="14" t="s">
        <v>138</v>
      </c>
      <c r="Q353" s="14"/>
      <c r="R353" s="14"/>
      <c r="S353" s="14" t="s">
        <v>1685</v>
      </c>
      <c r="T353" s="14" t="s">
        <v>1685</v>
      </c>
      <c r="U353" s="15">
        <v>0</v>
      </c>
      <c r="V353" s="10">
        <v>1</v>
      </c>
    </row>
    <row r="354" spans="1:22" ht="18" customHeight="1" x14ac:dyDescent="0.35">
      <c r="A354" s="10" t="s">
        <v>123</v>
      </c>
      <c r="B354" s="10" t="s">
        <v>3206</v>
      </c>
      <c r="C354" s="11" t="s">
        <v>2974</v>
      </c>
      <c r="D354" s="11" t="s">
        <v>74</v>
      </c>
      <c r="E354" s="12">
        <v>45926.378831018519</v>
      </c>
      <c r="F354" s="10" t="str">
        <f>TEXT(events[[#This Row],[Start Date]],"DDD")</f>
        <v>Fri</v>
      </c>
      <c r="G354" s="10">
        <f>YEAR(events[[#This Row],[Start Date]])</f>
        <v>2025</v>
      </c>
      <c r="H354" s="10" t="str">
        <f>TEXT(events[[#This Row],[Start Date]],"mmm")</f>
        <v>Sep</v>
      </c>
      <c r="I354" s="10" t="str">
        <f>CONCATENATE("WK_",WEEKNUM(events[[#This Row],[Start Date]]))</f>
        <v>WK_39</v>
      </c>
      <c r="J354" s="12">
        <v>45926.380046296297</v>
      </c>
      <c r="K354" s="10">
        <v>109</v>
      </c>
      <c r="L354" s="10" t="s">
        <v>25</v>
      </c>
      <c r="M354" s="10" t="s">
        <v>1694</v>
      </c>
      <c r="N354" s="13">
        <f t="shared" si="5"/>
        <v>1.75</v>
      </c>
      <c r="O354" s="14"/>
      <c r="P354" s="14"/>
      <c r="Q354" s="14"/>
      <c r="R354" s="14"/>
      <c r="S354" s="14" t="s">
        <v>1695</v>
      </c>
      <c r="T354" s="14" t="s">
        <v>1696</v>
      </c>
      <c r="U354" s="15">
        <v>2.9</v>
      </c>
      <c r="V354" s="10">
        <v>1</v>
      </c>
    </row>
    <row r="355" spans="1:22" ht="18" customHeight="1" x14ac:dyDescent="0.35">
      <c r="A355" s="10" t="s">
        <v>23</v>
      </c>
      <c r="B355" s="10" t="s">
        <v>3162</v>
      </c>
      <c r="C355" s="11" t="s">
        <v>2928</v>
      </c>
      <c r="D355" s="11" t="s">
        <v>82</v>
      </c>
      <c r="E355" s="12">
        <v>45925.822337962964</v>
      </c>
      <c r="F355" s="10" t="str">
        <f>TEXT(events[[#This Row],[Start Date]],"DDD")</f>
        <v>Thu</v>
      </c>
      <c r="G355" s="10">
        <f>YEAR(events[[#This Row],[Start Date]])</f>
        <v>2025</v>
      </c>
      <c r="H355" s="10" t="str">
        <f>TEXT(events[[#This Row],[Start Date]],"mmm")</f>
        <v>Sep</v>
      </c>
      <c r="I355" s="10" t="str">
        <f>CONCATENATE("WK_",WEEKNUM(events[[#This Row],[Start Date]]))</f>
        <v>WK_39</v>
      </c>
      <c r="J355" s="12">
        <v>45925.82234953704</v>
      </c>
      <c r="K355" s="10">
        <v>28</v>
      </c>
      <c r="L355" s="10" t="s">
        <v>83</v>
      </c>
      <c r="M355" s="10" t="s">
        <v>26</v>
      </c>
      <c r="N355" s="13">
        <f t="shared" si="5"/>
        <v>1.6666666666666666E-2</v>
      </c>
      <c r="O355" s="14" t="s">
        <v>49</v>
      </c>
      <c r="P355" s="14"/>
      <c r="Q355" s="14"/>
      <c r="R355" s="14"/>
      <c r="S355" s="14" t="s">
        <v>1676</v>
      </c>
      <c r="T355" s="14"/>
      <c r="U355" s="15">
        <v>0</v>
      </c>
      <c r="V355" s="10">
        <v>1</v>
      </c>
    </row>
    <row r="356" spans="1:22" ht="18" customHeight="1" x14ac:dyDescent="0.35">
      <c r="A356" s="10" t="s">
        <v>23</v>
      </c>
      <c r="B356" s="10" t="s">
        <v>3163</v>
      </c>
      <c r="C356" s="11" t="s">
        <v>2929</v>
      </c>
      <c r="D356" s="11" t="s">
        <v>82</v>
      </c>
      <c r="E356" s="12">
        <v>45925.318773148145</v>
      </c>
      <c r="F356" s="10" t="str">
        <f>TEXT(events[[#This Row],[Start Date]],"DDD")</f>
        <v>Thu</v>
      </c>
      <c r="G356" s="10">
        <f>YEAR(events[[#This Row],[Start Date]])</f>
        <v>2025</v>
      </c>
      <c r="H356" s="10" t="str">
        <f>TEXT(events[[#This Row],[Start Date]],"mmm")</f>
        <v>Sep</v>
      </c>
      <c r="I356" s="10" t="str">
        <f>CONCATENATE("WK_",WEEKNUM(events[[#This Row],[Start Date]]))</f>
        <v>WK_39</v>
      </c>
      <c r="J356" s="12">
        <v>45925.318784722222</v>
      </c>
      <c r="K356" s="10">
        <v>32</v>
      </c>
      <c r="L356" s="10" t="s">
        <v>83</v>
      </c>
      <c r="M356" s="10" t="s">
        <v>26</v>
      </c>
      <c r="N356" s="13">
        <f t="shared" si="5"/>
        <v>1.6666666666666666E-2</v>
      </c>
      <c r="O356" s="14" t="s">
        <v>142</v>
      </c>
      <c r="P356" s="14"/>
      <c r="Q356" s="14"/>
      <c r="R356" s="14"/>
      <c r="S356" s="14" t="s">
        <v>1675</v>
      </c>
      <c r="T356" s="14"/>
      <c r="U356" s="15">
        <v>0</v>
      </c>
      <c r="V356" s="10">
        <v>1</v>
      </c>
    </row>
    <row r="357" spans="1:22" ht="18" customHeight="1" x14ac:dyDescent="0.35">
      <c r="A357" s="10" t="s">
        <v>23</v>
      </c>
      <c r="B357" s="10" t="s">
        <v>3207</v>
      </c>
      <c r="C357" s="11" t="s">
        <v>2975</v>
      </c>
      <c r="D357" s="11" t="s">
        <v>24</v>
      </c>
      <c r="E357" s="12">
        <v>45925.207546296297</v>
      </c>
      <c r="F357" s="10" t="str">
        <f>TEXT(events[[#This Row],[Start Date]],"DDD")</f>
        <v>Thu</v>
      </c>
      <c r="G357" s="10">
        <f>YEAR(events[[#This Row],[Start Date]])</f>
        <v>2025</v>
      </c>
      <c r="H357" s="10" t="str">
        <f>TEXT(events[[#This Row],[Start Date]],"mmm")</f>
        <v>Sep</v>
      </c>
      <c r="I357" s="10" t="str">
        <f>CONCATENATE("WK_",WEEKNUM(events[[#This Row],[Start Date]]))</f>
        <v>WK_39</v>
      </c>
      <c r="J357" s="12">
        <v>45925.207592592589</v>
      </c>
      <c r="K357" s="10">
        <v>33</v>
      </c>
      <c r="L357" s="10" t="s">
        <v>25</v>
      </c>
      <c r="M357" s="10" t="s">
        <v>275</v>
      </c>
      <c r="N357" s="13">
        <f t="shared" si="5"/>
        <v>6.6666666666666666E-2</v>
      </c>
      <c r="O357" s="14" t="s">
        <v>142</v>
      </c>
      <c r="P357" s="14" t="s">
        <v>142</v>
      </c>
      <c r="Q357" s="14"/>
      <c r="R357" s="14"/>
      <c r="S357" s="14" t="s">
        <v>1663</v>
      </c>
      <c r="T357" s="14" t="s">
        <v>1664</v>
      </c>
      <c r="U357" s="15">
        <v>0</v>
      </c>
      <c r="V357" s="10">
        <v>1</v>
      </c>
    </row>
    <row r="358" spans="1:22" ht="18" customHeight="1" x14ac:dyDescent="0.35">
      <c r="A358" s="10" t="s">
        <v>86</v>
      </c>
      <c r="B358" s="10" t="s">
        <v>3169</v>
      </c>
      <c r="C358" s="11" t="s">
        <v>3055</v>
      </c>
      <c r="D358" s="11" t="s">
        <v>74</v>
      </c>
      <c r="E358" s="12">
        <v>45924.567986111113</v>
      </c>
      <c r="F358" s="10" t="str">
        <f>TEXT(events[[#This Row],[Start Date]],"DDD")</f>
        <v>Wed</v>
      </c>
      <c r="G358" s="10">
        <f>YEAR(events[[#This Row],[Start Date]])</f>
        <v>2025</v>
      </c>
      <c r="H358" s="10" t="str">
        <f>TEXT(events[[#This Row],[Start Date]],"mmm")</f>
        <v>Sep</v>
      </c>
      <c r="I358" s="10" t="str">
        <f>CONCATENATE("WK_",WEEKNUM(events[[#This Row],[Start Date]]))</f>
        <v>WK_39</v>
      </c>
      <c r="J358" s="12">
        <v>45924.568032407406</v>
      </c>
      <c r="K358" s="10">
        <v>83</v>
      </c>
      <c r="L358" s="10" t="s">
        <v>25</v>
      </c>
      <c r="M358" s="10" t="s">
        <v>275</v>
      </c>
      <c r="N358" s="13">
        <f t="shared" si="5"/>
        <v>6.6666666666666666E-2</v>
      </c>
      <c r="O358" s="14" t="s">
        <v>50</v>
      </c>
      <c r="P358" s="14" t="s">
        <v>50</v>
      </c>
      <c r="Q358" s="14"/>
      <c r="R358" s="14"/>
      <c r="S358" s="14" t="s">
        <v>1750</v>
      </c>
      <c r="T358" s="14" t="s">
        <v>1751</v>
      </c>
      <c r="U358" s="15">
        <v>0.10199999999999999</v>
      </c>
      <c r="V358" s="10">
        <v>1</v>
      </c>
    </row>
    <row r="359" spans="1:22" ht="18" customHeight="1" x14ac:dyDescent="0.35">
      <c r="A359" s="10" t="s">
        <v>86</v>
      </c>
      <c r="B359" s="10" t="s">
        <v>3169</v>
      </c>
      <c r="C359" s="11" t="s">
        <v>3055</v>
      </c>
      <c r="D359" s="11" t="s">
        <v>74</v>
      </c>
      <c r="E359" s="12">
        <v>45924.567847222221</v>
      </c>
      <c r="F359" s="10" t="str">
        <f>TEXT(events[[#This Row],[Start Date]],"DDD")</f>
        <v>Wed</v>
      </c>
      <c r="G359" s="10">
        <f>YEAR(events[[#This Row],[Start Date]])</f>
        <v>2025</v>
      </c>
      <c r="H359" s="10" t="str">
        <f>TEXT(events[[#This Row],[Start Date]],"mmm")</f>
        <v>Sep</v>
      </c>
      <c r="I359" s="10" t="str">
        <f>CONCATENATE("WK_",WEEKNUM(events[[#This Row],[Start Date]]))</f>
        <v>WK_39</v>
      </c>
      <c r="J359" s="12">
        <v>45924.567858796298</v>
      </c>
      <c r="K359" s="10">
        <v>83</v>
      </c>
      <c r="L359" s="10" t="s">
        <v>25</v>
      </c>
      <c r="M359" s="10" t="s">
        <v>26</v>
      </c>
      <c r="N359" s="13">
        <f t="shared" si="5"/>
        <v>1.6666666666666666E-2</v>
      </c>
      <c r="O359" s="14" t="s">
        <v>50</v>
      </c>
      <c r="P359" s="14" t="s">
        <v>50</v>
      </c>
      <c r="Q359" s="14"/>
      <c r="R359" s="14"/>
      <c r="S359" s="14" t="s">
        <v>1748</v>
      </c>
      <c r="T359" s="14" t="s">
        <v>1749</v>
      </c>
      <c r="U359" s="15">
        <v>0.10199999999999999</v>
      </c>
      <c r="V359" s="10">
        <v>1</v>
      </c>
    </row>
    <row r="360" spans="1:22" ht="18" customHeight="1" x14ac:dyDescent="0.35">
      <c r="A360" s="10" t="s">
        <v>86</v>
      </c>
      <c r="B360" s="10" t="s">
        <v>3169</v>
      </c>
      <c r="C360" s="11" t="s">
        <v>3055</v>
      </c>
      <c r="D360" s="11" t="s">
        <v>74</v>
      </c>
      <c r="E360" s="12">
        <v>45924.561481481483</v>
      </c>
      <c r="F360" s="10" t="str">
        <f>TEXT(events[[#This Row],[Start Date]],"DDD")</f>
        <v>Wed</v>
      </c>
      <c r="G360" s="10">
        <f>YEAR(events[[#This Row],[Start Date]])</f>
        <v>2025</v>
      </c>
      <c r="H360" s="10" t="str">
        <f>TEXT(events[[#This Row],[Start Date]],"mmm")</f>
        <v>Sep</v>
      </c>
      <c r="I360" s="10" t="str">
        <f>CONCATENATE("WK_",WEEKNUM(events[[#This Row],[Start Date]]))</f>
        <v>WK_39</v>
      </c>
      <c r="J360" s="12">
        <v>45924.56150462963</v>
      </c>
      <c r="K360" s="10">
        <v>82</v>
      </c>
      <c r="L360" s="10" t="s">
        <v>25</v>
      </c>
      <c r="M360" s="10" t="s">
        <v>31</v>
      </c>
      <c r="N360" s="13">
        <f t="shared" si="5"/>
        <v>3.3333333333333333E-2</v>
      </c>
      <c r="O360" s="14" t="s">
        <v>50</v>
      </c>
      <c r="P360" s="14" t="s">
        <v>50</v>
      </c>
      <c r="Q360" s="14"/>
      <c r="R360" s="14"/>
      <c r="S360" s="14" t="s">
        <v>1746</v>
      </c>
      <c r="T360" s="14" t="s">
        <v>1747</v>
      </c>
      <c r="U360" s="15">
        <v>9.8000000000000004E-2</v>
      </c>
      <c r="V360" s="10">
        <v>1</v>
      </c>
    </row>
    <row r="361" spans="1:22" ht="18" customHeight="1" x14ac:dyDescent="0.35">
      <c r="A361" s="10" t="s">
        <v>123</v>
      </c>
      <c r="B361" s="10" t="s">
        <v>3277</v>
      </c>
      <c r="C361" s="11" t="s">
        <v>3056</v>
      </c>
      <c r="D361" s="11" t="s">
        <v>74</v>
      </c>
      <c r="E361" s="12">
        <v>45924.561226851853</v>
      </c>
      <c r="F361" s="10" t="str">
        <f>TEXT(events[[#This Row],[Start Date]],"DDD")</f>
        <v>Wed</v>
      </c>
      <c r="G361" s="10">
        <f>YEAR(events[[#This Row],[Start Date]])</f>
        <v>2025</v>
      </c>
      <c r="H361" s="10" t="str">
        <f>TEXT(events[[#This Row],[Start Date]],"mmm")</f>
        <v>Sep</v>
      </c>
      <c r="I361" s="10" t="str">
        <f>CONCATENATE("WK_",WEEKNUM(events[[#This Row],[Start Date]]))</f>
        <v>WK_39</v>
      </c>
      <c r="J361" s="12">
        <v>45924.561412037037</v>
      </c>
      <c r="K361" s="10">
        <v>86</v>
      </c>
      <c r="L361" s="10" t="s">
        <v>25</v>
      </c>
      <c r="M361" s="10" t="s">
        <v>394</v>
      </c>
      <c r="N361" s="13">
        <f t="shared" si="5"/>
        <v>0.25</v>
      </c>
      <c r="O361" s="14"/>
      <c r="P361" s="14"/>
      <c r="Q361" s="14"/>
      <c r="R361" s="14"/>
      <c r="S361" s="14" t="s">
        <v>1765</v>
      </c>
      <c r="T361" s="14" t="s">
        <v>1766</v>
      </c>
      <c r="U361" s="15">
        <v>0.5</v>
      </c>
      <c r="V361" s="10">
        <v>1</v>
      </c>
    </row>
    <row r="362" spans="1:22" ht="18" customHeight="1" x14ac:dyDescent="0.35">
      <c r="A362" s="10" t="s">
        <v>86</v>
      </c>
      <c r="B362" s="10" t="s">
        <v>3169</v>
      </c>
      <c r="C362" s="11" t="s">
        <v>3055</v>
      </c>
      <c r="D362" s="11" t="s">
        <v>74</v>
      </c>
      <c r="E362" s="12">
        <v>45924.560289351852</v>
      </c>
      <c r="F362" s="10" t="str">
        <f>TEXT(events[[#This Row],[Start Date]],"DDD")</f>
        <v>Wed</v>
      </c>
      <c r="G362" s="10">
        <f>YEAR(events[[#This Row],[Start Date]])</f>
        <v>2025</v>
      </c>
      <c r="H362" s="10" t="str">
        <f>TEXT(events[[#This Row],[Start Date]],"mmm")</f>
        <v>Sep</v>
      </c>
      <c r="I362" s="10" t="str">
        <f>CONCATENATE("WK_",WEEKNUM(events[[#This Row],[Start Date]]))</f>
        <v>WK_39</v>
      </c>
      <c r="J362" s="12">
        <v>45924.560312499998</v>
      </c>
      <c r="K362" s="10">
        <v>82</v>
      </c>
      <c r="L362" s="10" t="s">
        <v>25</v>
      </c>
      <c r="M362" s="10" t="s">
        <v>31</v>
      </c>
      <c r="N362" s="13">
        <f t="shared" si="5"/>
        <v>3.3333333333333333E-2</v>
      </c>
      <c r="O362" s="14" t="s">
        <v>50</v>
      </c>
      <c r="P362" s="14" t="s">
        <v>50</v>
      </c>
      <c r="Q362" s="14"/>
      <c r="R362" s="14"/>
      <c r="S362" s="14" t="s">
        <v>1744</v>
      </c>
      <c r="T362" s="14" t="s">
        <v>1745</v>
      </c>
      <c r="U362" s="15">
        <v>9.8000000000000004E-2</v>
      </c>
      <c r="V362" s="10">
        <v>1</v>
      </c>
    </row>
    <row r="363" spans="1:22" ht="18" customHeight="1" x14ac:dyDescent="0.35">
      <c r="A363" s="10" t="s">
        <v>123</v>
      </c>
      <c r="B363" s="10" t="s">
        <v>3278</v>
      </c>
      <c r="C363" s="11" t="s">
        <v>3057</v>
      </c>
      <c r="D363" s="11" t="s">
        <v>74</v>
      </c>
      <c r="E363" s="12">
        <v>45924.510648148149</v>
      </c>
      <c r="F363" s="10" t="str">
        <f>TEXT(events[[#This Row],[Start Date]],"DDD")</f>
        <v>Wed</v>
      </c>
      <c r="G363" s="10">
        <f>YEAR(events[[#This Row],[Start Date]])</f>
        <v>2025</v>
      </c>
      <c r="H363" s="10" t="str">
        <f>TEXT(events[[#This Row],[Start Date]],"mmm")</f>
        <v>Sep</v>
      </c>
      <c r="I363" s="10" t="str">
        <f>CONCATENATE("WK_",WEEKNUM(events[[#This Row],[Start Date]]))</f>
        <v>WK_39</v>
      </c>
      <c r="J363" s="12">
        <v>45924.510914351849</v>
      </c>
      <c r="K363" s="10">
        <v>89</v>
      </c>
      <c r="L363" s="10" t="s">
        <v>25</v>
      </c>
      <c r="M363" s="10" t="s">
        <v>1079</v>
      </c>
      <c r="N363" s="13">
        <f t="shared" si="5"/>
        <v>0.36666666666666664</v>
      </c>
      <c r="O363" s="14"/>
      <c r="P363" s="14"/>
      <c r="Q363" s="14"/>
      <c r="R363" s="14"/>
      <c r="S363" s="14" t="s">
        <v>1763</v>
      </c>
      <c r="T363" s="14" t="s">
        <v>1764</v>
      </c>
      <c r="U363" s="15">
        <v>0.7</v>
      </c>
      <c r="V363" s="10">
        <v>1</v>
      </c>
    </row>
    <row r="364" spans="1:22" ht="18" customHeight="1" x14ac:dyDescent="0.35">
      <c r="A364" s="10" t="s">
        <v>86</v>
      </c>
      <c r="B364" s="10" t="s">
        <v>3169</v>
      </c>
      <c r="C364" s="11" t="s">
        <v>3055</v>
      </c>
      <c r="D364" s="11" t="s">
        <v>74</v>
      </c>
      <c r="E364" s="12">
        <v>45924.502013888887</v>
      </c>
      <c r="F364" s="10" t="str">
        <f>TEXT(events[[#This Row],[Start Date]],"DDD")</f>
        <v>Wed</v>
      </c>
      <c r="G364" s="10">
        <f>YEAR(events[[#This Row],[Start Date]])</f>
        <v>2025</v>
      </c>
      <c r="H364" s="10" t="str">
        <f>TEXT(events[[#This Row],[Start Date]],"mmm")</f>
        <v>Sep</v>
      </c>
      <c r="I364" s="10" t="str">
        <f>CONCATENATE("WK_",WEEKNUM(events[[#This Row],[Start Date]]))</f>
        <v>WK_39</v>
      </c>
      <c r="J364" s="12">
        <v>45924.502025462964</v>
      </c>
      <c r="K364" s="10">
        <v>81</v>
      </c>
      <c r="L364" s="10" t="s">
        <v>25</v>
      </c>
      <c r="M364" s="10" t="s">
        <v>26</v>
      </c>
      <c r="N364" s="13">
        <f t="shared" si="5"/>
        <v>1.6666666666666666E-2</v>
      </c>
      <c r="O364" s="14" t="s">
        <v>138</v>
      </c>
      <c r="P364" s="14" t="s">
        <v>138</v>
      </c>
      <c r="Q364" s="14"/>
      <c r="R364" s="14"/>
      <c r="S364" s="14" t="s">
        <v>1742</v>
      </c>
      <c r="T364" s="14" t="s">
        <v>1743</v>
      </c>
      <c r="U364" s="15">
        <v>0</v>
      </c>
      <c r="V364" s="10">
        <v>1</v>
      </c>
    </row>
    <row r="365" spans="1:22" ht="18" customHeight="1" x14ac:dyDescent="0.35">
      <c r="A365" s="10" t="s">
        <v>23</v>
      </c>
      <c r="B365" s="10" t="s">
        <v>3196</v>
      </c>
      <c r="C365" s="11" t="s">
        <v>2963</v>
      </c>
      <c r="D365" s="11" t="s">
        <v>24</v>
      </c>
      <c r="E365" s="12">
        <v>45924.469398148147</v>
      </c>
      <c r="F365" s="10" t="str">
        <f>TEXT(events[[#This Row],[Start Date]],"DDD")</f>
        <v>Wed</v>
      </c>
      <c r="G365" s="10">
        <f>YEAR(events[[#This Row],[Start Date]])</f>
        <v>2025</v>
      </c>
      <c r="H365" s="10" t="str">
        <f>TEXT(events[[#This Row],[Start Date]],"mmm")</f>
        <v>Sep</v>
      </c>
      <c r="I365" s="10" t="str">
        <f>CONCATENATE("WK_",WEEKNUM(events[[#This Row],[Start Date]]))</f>
        <v>WK_39</v>
      </c>
      <c r="J365" s="12">
        <v>45924.469490740739</v>
      </c>
      <c r="K365" s="10">
        <v>35</v>
      </c>
      <c r="L365" s="10" t="s">
        <v>25</v>
      </c>
      <c r="M365" s="10" t="s">
        <v>357</v>
      </c>
      <c r="N365" s="13">
        <f t="shared" si="5"/>
        <v>0.13333333333333333</v>
      </c>
      <c r="O365" s="14" t="s">
        <v>38</v>
      </c>
      <c r="P365" s="14" t="s">
        <v>38</v>
      </c>
      <c r="Q365" s="14"/>
      <c r="R365" s="14"/>
      <c r="S365" s="14" t="s">
        <v>1706</v>
      </c>
      <c r="T365" s="14" t="s">
        <v>1707</v>
      </c>
      <c r="U365" s="15">
        <v>9.4E-2</v>
      </c>
      <c r="V365" s="10">
        <v>1</v>
      </c>
    </row>
    <row r="366" spans="1:22" ht="18" customHeight="1" x14ac:dyDescent="0.35">
      <c r="A366" s="10" t="s">
        <v>123</v>
      </c>
      <c r="B366" s="10" t="s">
        <v>3247</v>
      </c>
      <c r="C366" s="11" t="s">
        <v>3016</v>
      </c>
      <c r="D366" s="11" t="s">
        <v>74</v>
      </c>
      <c r="E366" s="12">
        <v>45923.770057870373</v>
      </c>
      <c r="F366" s="10" t="str">
        <f>TEXT(events[[#This Row],[Start Date]],"DDD")</f>
        <v>Tue</v>
      </c>
      <c r="G366" s="10">
        <f>YEAR(events[[#This Row],[Start Date]])</f>
        <v>2025</v>
      </c>
      <c r="H366" s="10" t="str">
        <f>TEXT(events[[#This Row],[Start Date]],"mmm")</f>
        <v>Sep</v>
      </c>
      <c r="I366" s="10" t="str">
        <f>CONCATENATE("WK_",WEEKNUM(events[[#This Row],[Start Date]]))</f>
        <v>WK_39</v>
      </c>
      <c r="J366" s="12">
        <v>45923.770555555559</v>
      </c>
      <c r="K366" s="10">
        <v>100</v>
      </c>
      <c r="L366" s="10" t="s">
        <v>25</v>
      </c>
      <c r="M366" s="10" t="s">
        <v>1527</v>
      </c>
      <c r="N366" s="13">
        <f t="shared" si="5"/>
        <v>0.7</v>
      </c>
      <c r="O366" s="14"/>
      <c r="P366" s="14"/>
      <c r="Q366" s="14"/>
      <c r="R366" s="14"/>
      <c r="S366" s="14" t="s">
        <v>1767</v>
      </c>
      <c r="T366" s="14" t="s">
        <v>1768</v>
      </c>
      <c r="U366" s="15">
        <v>1.3</v>
      </c>
      <c r="V366" s="10">
        <v>1</v>
      </c>
    </row>
    <row r="367" spans="1:22" ht="18" customHeight="1" x14ac:dyDescent="0.35">
      <c r="A367" s="10" t="s">
        <v>86</v>
      </c>
      <c r="B367" s="10" t="s">
        <v>3164</v>
      </c>
      <c r="C367" s="11" t="s">
        <v>2930</v>
      </c>
      <c r="D367" s="11" t="s">
        <v>24</v>
      </c>
      <c r="E367" s="12">
        <v>45922.626875000002</v>
      </c>
      <c r="F367" s="10" t="str">
        <f>TEXT(events[[#This Row],[Start Date]],"DDD")</f>
        <v>Mon</v>
      </c>
      <c r="G367" s="10">
        <f>YEAR(events[[#This Row],[Start Date]])</f>
        <v>2025</v>
      </c>
      <c r="H367" s="10" t="str">
        <f>TEXT(events[[#This Row],[Start Date]],"mmm")</f>
        <v>Sep</v>
      </c>
      <c r="I367" s="10" t="str">
        <f>CONCATENATE("WK_",WEEKNUM(events[[#This Row],[Start Date]]))</f>
        <v>WK_39</v>
      </c>
      <c r="J367" s="12">
        <v>45922.626898148148</v>
      </c>
      <c r="K367" s="10">
        <v>37</v>
      </c>
      <c r="L367" s="10" t="s">
        <v>25</v>
      </c>
      <c r="M367" s="10" t="s">
        <v>31</v>
      </c>
      <c r="N367" s="13">
        <f t="shared" si="5"/>
        <v>3.3333333333333333E-2</v>
      </c>
      <c r="O367" s="14" t="s">
        <v>27</v>
      </c>
      <c r="P367" s="14" t="s">
        <v>27</v>
      </c>
      <c r="Q367" s="14"/>
      <c r="R367" s="14"/>
      <c r="S367" s="14" t="s">
        <v>1722</v>
      </c>
      <c r="T367" s="14" t="s">
        <v>1723</v>
      </c>
      <c r="U367" s="15">
        <v>9.4E-2</v>
      </c>
      <c r="V367" s="10">
        <v>1</v>
      </c>
    </row>
    <row r="368" spans="1:22" ht="18" customHeight="1" x14ac:dyDescent="0.35">
      <c r="A368" s="10" t="s">
        <v>23</v>
      </c>
      <c r="B368" s="10" t="s">
        <v>3196</v>
      </c>
      <c r="C368" s="11" t="s">
        <v>2963</v>
      </c>
      <c r="D368" s="11" t="s">
        <v>24</v>
      </c>
      <c r="E368" s="12">
        <v>45922.366261574076</v>
      </c>
      <c r="F368" s="10" t="str">
        <f>TEXT(events[[#This Row],[Start Date]],"DDD")</f>
        <v>Mon</v>
      </c>
      <c r="G368" s="10">
        <f>YEAR(events[[#This Row],[Start Date]])</f>
        <v>2025</v>
      </c>
      <c r="H368" s="10" t="str">
        <f>TEXT(events[[#This Row],[Start Date]],"mmm")</f>
        <v>Sep</v>
      </c>
      <c r="I368" s="10" t="str">
        <f>CONCATENATE("WK_",WEEKNUM(events[[#This Row],[Start Date]]))</f>
        <v>WK_39</v>
      </c>
      <c r="J368" s="12">
        <v>45922.366273148145</v>
      </c>
      <c r="K368" s="10">
        <v>34</v>
      </c>
      <c r="L368" s="10" t="s">
        <v>25</v>
      </c>
      <c r="M368" s="10" t="s">
        <v>26</v>
      </c>
      <c r="N368" s="13">
        <f t="shared" si="5"/>
        <v>1.6666666666666666E-2</v>
      </c>
      <c r="O368" s="14" t="s">
        <v>142</v>
      </c>
      <c r="P368" s="14" t="s">
        <v>142</v>
      </c>
      <c r="Q368" s="14"/>
      <c r="R368" s="14"/>
      <c r="S368" s="14" t="s">
        <v>1704</v>
      </c>
      <c r="T368" s="14" t="s">
        <v>1705</v>
      </c>
      <c r="U368" s="15">
        <v>0</v>
      </c>
      <c r="V368" s="10">
        <v>1</v>
      </c>
    </row>
    <row r="369" spans="1:22" ht="18" customHeight="1" x14ac:dyDescent="0.35">
      <c r="A369" s="10" t="s">
        <v>47</v>
      </c>
      <c r="B369" s="10" t="s">
        <v>3279</v>
      </c>
      <c r="C369" s="11" t="s">
        <v>3058</v>
      </c>
      <c r="D369" s="11" t="s">
        <v>74</v>
      </c>
      <c r="E369" s="12">
        <v>45922.364062499997</v>
      </c>
      <c r="F369" s="10" t="str">
        <f>TEXT(events[[#This Row],[Start Date]],"DDD")</f>
        <v>Mon</v>
      </c>
      <c r="G369" s="10">
        <f>YEAR(events[[#This Row],[Start Date]])</f>
        <v>2025</v>
      </c>
      <c r="H369" s="10" t="str">
        <f>TEXT(events[[#This Row],[Start Date]],"mmm")</f>
        <v>Sep</v>
      </c>
      <c r="I369" s="10" t="str">
        <f>CONCATENATE("WK_",WEEKNUM(events[[#This Row],[Start Date]]))</f>
        <v>WK_39</v>
      </c>
      <c r="J369" s="12">
        <v>45922.364108796297</v>
      </c>
      <c r="K369" s="10">
        <v>83</v>
      </c>
      <c r="L369" s="10" t="s">
        <v>25</v>
      </c>
      <c r="M369" s="10" t="s">
        <v>275</v>
      </c>
      <c r="N369" s="13">
        <f t="shared" si="5"/>
        <v>6.6666666666666666E-2</v>
      </c>
      <c r="O369" s="14" t="s">
        <v>50</v>
      </c>
      <c r="P369" s="14" t="s">
        <v>50</v>
      </c>
      <c r="Q369" s="14"/>
      <c r="R369" s="14"/>
      <c r="S369" s="14" t="s">
        <v>1717</v>
      </c>
      <c r="T369" s="14" t="s">
        <v>1718</v>
      </c>
      <c r="U369" s="15">
        <v>9.4E-2</v>
      </c>
      <c r="V369" s="10">
        <v>1</v>
      </c>
    </row>
    <row r="370" spans="1:22" ht="18" customHeight="1" x14ac:dyDescent="0.35">
      <c r="A370" s="10" t="s">
        <v>86</v>
      </c>
      <c r="B370" s="10" t="s">
        <v>3223</v>
      </c>
      <c r="C370" s="11" t="s">
        <v>2978</v>
      </c>
      <c r="D370" s="11" t="s">
        <v>24</v>
      </c>
      <c r="E370" s="12">
        <v>45921.749606481484</v>
      </c>
      <c r="F370" s="10" t="str">
        <f>TEXT(events[[#This Row],[Start Date]],"DDD")</f>
        <v>Sun</v>
      </c>
      <c r="G370" s="10">
        <f>YEAR(events[[#This Row],[Start Date]])</f>
        <v>2025</v>
      </c>
      <c r="H370" s="10" t="str">
        <f>TEXT(events[[#This Row],[Start Date]],"mmm")</f>
        <v>Sep</v>
      </c>
      <c r="I370" s="10" t="str">
        <f>CONCATENATE("WK_",WEEKNUM(events[[#This Row],[Start Date]]))</f>
        <v>WK_39</v>
      </c>
      <c r="J370" s="12">
        <v>45921.749618055554</v>
      </c>
      <c r="K370" s="10">
        <v>36</v>
      </c>
      <c r="L370" s="10" t="s">
        <v>25</v>
      </c>
      <c r="M370" s="10" t="s">
        <v>26</v>
      </c>
      <c r="N370" s="13">
        <f t="shared" si="5"/>
        <v>1.6666666666666666E-2</v>
      </c>
      <c r="O370" s="14" t="s">
        <v>142</v>
      </c>
      <c r="P370" s="14" t="s">
        <v>142</v>
      </c>
      <c r="Q370" s="14"/>
      <c r="R370" s="14"/>
      <c r="S370" s="14" t="s">
        <v>1725</v>
      </c>
      <c r="T370" s="14" t="s">
        <v>1726</v>
      </c>
      <c r="U370" s="15">
        <v>0</v>
      </c>
      <c r="V370" s="10">
        <v>1</v>
      </c>
    </row>
    <row r="371" spans="1:22" ht="18" customHeight="1" x14ac:dyDescent="0.35">
      <c r="A371" s="10" t="s">
        <v>86</v>
      </c>
      <c r="B371" s="10" t="s">
        <v>3223</v>
      </c>
      <c r="C371" s="11" t="s">
        <v>2978</v>
      </c>
      <c r="D371" s="11" t="s">
        <v>24</v>
      </c>
      <c r="E371" s="12">
        <v>45921.749224537038</v>
      </c>
      <c r="F371" s="10" t="str">
        <f>TEXT(events[[#This Row],[Start Date]],"DDD")</f>
        <v>Sun</v>
      </c>
      <c r="G371" s="10">
        <f>YEAR(events[[#This Row],[Start Date]])</f>
        <v>2025</v>
      </c>
      <c r="H371" s="10" t="str">
        <f>TEXT(events[[#This Row],[Start Date]],"mmm")</f>
        <v>Sep</v>
      </c>
      <c r="I371" s="10" t="str">
        <f>CONCATENATE("WK_",WEEKNUM(events[[#This Row],[Start Date]]))</f>
        <v>WK_39</v>
      </c>
      <c r="J371" s="12">
        <v>45921.749224537038</v>
      </c>
      <c r="K371" s="10">
        <v>36</v>
      </c>
      <c r="L371" s="10" t="s">
        <v>25</v>
      </c>
      <c r="M371" s="10" t="s">
        <v>87</v>
      </c>
      <c r="N371" s="13">
        <f t="shared" si="5"/>
        <v>0</v>
      </c>
      <c r="O371" s="14" t="s">
        <v>142</v>
      </c>
      <c r="P371" s="14" t="s">
        <v>142</v>
      </c>
      <c r="Q371" s="14"/>
      <c r="R371" s="14"/>
      <c r="S371" s="14" t="s">
        <v>1724</v>
      </c>
      <c r="T371" s="14" t="s">
        <v>1724</v>
      </c>
      <c r="U371" s="15">
        <v>0</v>
      </c>
      <c r="V371" s="10">
        <v>1</v>
      </c>
    </row>
    <row r="372" spans="1:22" ht="18" customHeight="1" x14ac:dyDescent="0.35">
      <c r="A372" s="10" t="s">
        <v>86</v>
      </c>
      <c r="B372" s="10" t="s">
        <v>3213</v>
      </c>
      <c r="C372" s="11" t="s">
        <v>3059</v>
      </c>
      <c r="D372" s="11" t="s">
        <v>24</v>
      </c>
      <c r="E372" s="12">
        <v>45921.692858796298</v>
      </c>
      <c r="F372" s="10" t="str">
        <f>TEXT(events[[#This Row],[Start Date]],"DDD")</f>
        <v>Sun</v>
      </c>
      <c r="G372" s="10">
        <f>YEAR(events[[#This Row],[Start Date]])</f>
        <v>2025</v>
      </c>
      <c r="H372" s="10" t="str">
        <f>TEXT(events[[#This Row],[Start Date]],"mmm")</f>
        <v>Sep</v>
      </c>
      <c r="I372" s="10" t="str">
        <f>CONCATENATE("WK_",WEEKNUM(events[[#This Row],[Start Date]]))</f>
        <v>WK_39</v>
      </c>
      <c r="J372" s="12">
        <v>45921.692893518521</v>
      </c>
      <c r="K372" s="10">
        <v>43</v>
      </c>
      <c r="L372" s="10" t="s">
        <v>25</v>
      </c>
      <c r="M372" s="10" t="s">
        <v>75</v>
      </c>
      <c r="N372" s="13">
        <f t="shared" si="5"/>
        <v>0.05</v>
      </c>
      <c r="O372" s="14" t="s">
        <v>182</v>
      </c>
      <c r="P372" s="14" t="s">
        <v>182</v>
      </c>
      <c r="Q372" s="14"/>
      <c r="R372" s="14"/>
      <c r="S372" s="14" t="s">
        <v>1727</v>
      </c>
      <c r="T372" s="14" t="s">
        <v>1728</v>
      </c>
      <c r="U372" s="15">
        <v>6.2E-2</v>
      </c>
      <c r="V372" s="10">
        <v>1</v>
      </c>
    </row>
    <row r="373" spans="1:22" ht="18" customHeight="1" x14ac:dyDescent="0.35">
      <c r="A373" s="10" t="s">
        <v>86</v>
      </c>
      <c r="B373" s="10" t="s">
        <v>3213</v>
      </c>
      <c r="C373" s="11" t="s">
        <v>3059</v>
      </c>
      <c r="D373" s="11" t="s">
        <v>74</v>
      </c>
      <c r="E373" s="12">
        <v>45921.61891203704</v>
      </c>
      <c r="F373" s="10" t="str">
        <f>TEXT(events[[#This Row],[Start Date]],"DDD")</f>
        <v>Sun</v>
      </c>
      <c r="G373" s="10">
        <f>YEAR(events[[#This Row],[Start Date]])</f>
        <v>2025</v>
      </c>
      <c r="H373" s="10" t="str">
        <f>TEXT(events[[#This Row],[Start Date]],"mmm")</f>
        <v>Sep</v>
      </c>
      <c r="I373" s="10" t="str">
        <f>CONCATENATE("WK_",WEEKNUM(events[[#This Row],[Start Date]]))</f>
        <v>WK_39</v>
      </c>
      <c r="J373" s="12">
        <v>45921.61891203704</v>
      </c>
      <c r="K373" s="10">
        <v>82</v>
      </c>
      <c r="L373" s="10" t="s">
        <v>25</v>
      </c>
      <c r="M373" s="10" t="s">
        <v>87</v>
      </c>
      <c r="N373" s="13">
        <f t="shared" si="5"/>
        <v>0</v>
      </c>
      <c r="O373" s="14" t="s">
        <v>1729</v>
      </c>
      <c r="P373" s="14" t="s">
        <v>1729</v>
      </c>
      <c r="Q373" s="14"/>
      <c r="R373" s="14"/>
      <c r="S373" s="14" t="s">
        <v>1730</v>
      </c>
      <c r="T373" s="14" t="s">
        <v>1730</v>
      </c>
      <c r="U373" s="15">
        <v>0</v>
      </c>
      <c r="V373" s="10">
        <v>1</v>
      </c>
    </row>
    <row r="374" spans="1:22" ht="18" customHeight="1" x14ac:dyDescent="0.35">
      <c r="A374" s="10" t="s">
        <v>47</v>
      </c>
      <c r="B374" s="10" t="s">
        <v>3280</v>
      </c>
      <c r="C374" s="11" t="s">
        <v>3060</v>
      </c>
      <c r="D374" s="11" t="s">
        <v>678</v>
      </c>
      <c r="E374" s="12">
        <v>45921.293668981481</v>
      </c>
      <c r="F374" s="10" t="str">
        <f>TEXT(events[[#This Row],[Start Date]],"DDD")</f>
        <v>Sun</v>
      </c>
      <c r="G374" s="10">
        <f>YEAR(events[[#This Row],[Start Date]])</f>
        <v>2025</v>
      </c>
      <c r="H374" s="10" t="str">
        <f>TEXT(events[[#This Row],[Start Date]],"mmm")</f>
        <v>Sep</v>
      </c>
      <c r="I374" s="10" t="str">
        <f>CONCATENATE("WK_",WEEKNUM(events[[#This Row],[Start Date]]))</f>
        <v>WK_39</v>
      </c>
      <c r="J374" s="12">
        <v>45921.293668981481</v>
      </c>
      <c r="K374" s="10">
        <v>11</v>
      </c>
      <c r="L374" s="10" t="s">
        <v>83</v>
      </c>
      <c r="M374" s="10" t="s">
        <v>87</v>
      </c>
      <c r="N374" s="13">
        <f t="shared" si="5"/>
        <v>0</v>
      </c>
      <c r="O374" s="14" t="s">
        <v>92</v>
      </c>
      <c r="P374" s="14" t="s">
        <v>92</v>
      </c>
      <c r="Q374" s="14"/>
      <c r="R374" s="14"/>
      <c r="S374" s="14" t="s">
        <v>1719</v>
      </c>
      <c r="T374" s="14" t="s">
        <v>1719</v>
      </c>
      <c r="U374" s="15">
        <v>0</v>
      </c>
      <c r="V374" s="10">
        <v>1</v>
      </c>
    </row>
    <row r="375" spans="1:22" ht="18" customHeight="1" x14ac:dyDescent="0.35">
      <c r="A375" s="10" t="s">
        <v>123</v>
      </c>
      <c r="B375" s="10" t="s">
        <v>3161</v>
      </c>
      <c r="C375" s="11" t="s">
        <v>2927</v>
      </c>
      <c r="D375" s="11" t="s">
        <v>74</v>
      </c>
      <c r="E375" s="12">
        <v>45920.589618055557</v>
      </c>
      <c r="F375" s="10" t="str">
        <f>TEXT(events[[#This Row],[Start Date]],"DDD")</f>
        <v>Sat</v>
      </c>
      <c r="G375" s="10">
        <f>YEAR(events[[#This Row],[Start Date]])</f>
        <v>2025</v>
      </c>
      <c r="H375" s="10" t="str">
        <f>TEXT(events[[#This Row],[Start Date]],"mmm")</f>
        <v>Sep</v>
      </c>
      <c r="I375" s="10" t="str">
        <f>CONCATENATE("WK_",WEEKNUM(events[[#This Row],[Start Date]]))</f>
        <v>WK_38</v>
      </c>
      <c r="J375" s="12">
        <v>45920.590185185189</v>
      </c>
      <c r="K375" s="10">
        <v>94</v>
      </c>
      <c r="L375" s="10" t="s">
        <v>25</v>
      </c>
      <c r="M375" s="10" t="s">
        <v>489</v>
      </c>
      <c r="N375" s="13">
        <f t="shared" si="5"/>
        <v>0.81666666666666665</v>
      </c>
      <c r="O375" s="14"/>
      <c r="P375" s="14"/>
      <c r="Q375" s="14"/>
      <c r="R375" s="14"/>
      <c r="S375" s="14" t="s">
        <v>1769</v>
      </c>
      <c r="T375" s="14" t="s">
        <v>1770</v>
      </c>
      <c r="U375" s="15">
        <v>1.2</v>
      </c>
      <c r="V375" s="10">
        <v>1</v>
      </c>
    </row>
    <row r="376" spans="1:22" ht="18" customHeight="1" x14ac:dyDescent="0.35">
      <c r="A376" s="10" t="s">
        <v>86</v>
      </c>
      <c r="B376" s="10" t="s">
        <v>3246</v>
      </c>
      <c r="C376" s="11" t="s">
        <v>3055</v>
      </c>
      <c r="D376" s="11" t="s">
        <v>35</v>
      </c>
      <c r="E376" s="12">
        <v>45919.958344907405</v>
      </c>
      <c r="F376" s="10" t="str">
        <f>TEXT(events[[#This Row],[Start Date]],"DDD")</f>
        <v>Fri</v>
      </c>
      <c r="G376" s="10">
        <f>YEAR(events[[#This Row],[Start Date]])</f>
        <v>2025</v>
      </c>
      <c r="H376" s="10" t="str">
        <f>TEXT(events[[#This Row],[Start Date]],"mmm")</f>
        <v>Sep</v>
      </c>
      <c r="I376" s="10" t="str">
        <f>CONCATENATE("WK_",WEEKNUM(events[[#This Row],[Start Date]]))</f>
        <v>WK_38</v>
      </c>
      <c r="J376" s="12">
        <v>45919.968263888892</v>
      </c>
      <c r="K376" s="10">
        <v>207.8</v>
      </c>
      <c r="L376" s="10" t="s">
        <v>36</v>
      </c>
      <c r="M376" s="10" t="s">
        <v>1755</v>
      </c>
      <c r="N376" s="13">
        <f t="shared" si="5"/>
        <v>14.283333333333333</v>
      </c>
      <c r="O376" s="14" t="s">
        <v>49</v>
      </c>
      <c r="P376" s="14" t="s">
        <v>50</v>
      </c>
      <c r="Q376" s="14"/>
      <c r="R376" s="14"/>
      <c r="S376" s="14" t="s">
        <v>1756</v>
      </c>
      <c r="T376" s="14" t="s">
        <v>1757</v>
      </c>
      <c r="U376" s="15">
        <v>3.1880000000000002</v>
      </c>
      <c r="V376" s="10">
        <v>1</v>
      </c>
    </row>
    <row r="377" spans="1:22" ht="18" customHeight="1" x14ac:dyDescent="0.35">
      <c r="A377" s="10" t="s">
        <v>23</v>
      </c>
      <c r="B377" s="10" t="s">
        <v>3209</v>
      </c>
      <c r="C377" s="11" t="s">
        <v>2977</v>
      </c>
      <c r="D377" s="11" t="s">
        <v>24</v>
      </c>
      <c r="E377" s="12">
        <v>45919.886388888888</v>
      </c>
      <c r="F377" s="10" t="str">
        <f>TEXT(events[[#This Row],[Start Date]],"DDD")</f>
        <v>Fri</v>
      </c>
      <c r="G377" s="10">
        <f>YEAR(events[[#This Row],[Start Date]])</f>
        <v>2025</v>
      </c>
      <c r="H377" s="10" t="str">
        <f>TEXT(events[[#This Row],[Start Date]],"mmm")</f>
        <v>Sep</v>
      </c>
      <c r="I377" s="10" t="str">
        <f>CONCATENATE("WK_",WEEKNUM(events[[#This Row],[Start Date]]))</f>
        <v>WK_38</v>
      </c>
      <c r="J377" s="12">
        <v>45919.886423611111</v>
      </c>
      <c r="K377" s="10">
        <v>39</v>
      </c>
      <c r="L377" s="10" t="s">
        <v>25</v>
      </c>
      <c r="M377" s="10" t="s">
        <v>75</v>
      </c>
      <c r="N377" s="13">
        <f t="shared" si="5"/>
        <v>0.05</v>
      </c>
      <c r="O377" s="14" t="s">
        <v>38</v>
      </c>
      <c r="P377" s="14" t="s">
        <v>38</v>
      </c>
      <c r="Q377" s="14"/>
      <c r="R377" s="14"/>
      <c r="S377" s="14" t="s">
        <v>1715</v>
      </c>
      <c r="T377" s="14" t="s">
        <v>1716</v>
      </c>
      <c r="U377" s="15">
        <v>0</v>
      </c>
      <c r="V377" s="10">
        <v>1</v>
      </c>
    </row>
    <row r="378" spans="1:22" ht="18" customHeight="1" x14ac:dyDescent="0.35">
      <c r="A378" s="10" t="s">
        <v>23</v>
      </c>
      <c r="B378" s="10" t="s">
        <v>3254</v>
      </c>
      <c r="C378" s="11" t="s">
        <v>3024</v>
      </c>
      <c r="D378" s="11" t="s">
        <v>35</v>
      </c>
      <c r="E378" s="12">
        <v>45919.160138888888</v>
      </c>
      <c r="F378" s="10" t="str">
        <f>TEXT(events[[#This Row],[Start Date]],"DDD")</f>
        <v>Fri</v>
      </c>
      <c r="G378" s="10">
        <f>YEAR(events[[#This Row],[Start Date]])</f>
        <v>2025</v>
      </c>
      <c r="H378" s="10" t="str">
        <f>TEXT(events[[#This Row],[Start Date]],"mmm")</f>
        <v>Sep</v>
      </c>
      <c r="I378" s="10" t="str">
        <f>CONCATENATE("WK_",WEEKNUM(events[[#This Row],[Start Date]]))</f>
        <v>WK_38</v>
      </c>
      <c r="J378" s="12">
        <v>45919.166643518518</v>
      </c>
      <c r="K378" s="10">
        <v>9.1999999999999993</v>
      </c>
      <c r="L378" s="10" t="s">
        <v>36</v>
      </c>
      <c r="M378" s="10" t="s">
        <v>1712</v>
      </c>
      <c r="N378" s="13">
        <f t="shared" si="5"/>
        <v>9.3666666666666671</v>
      </c>
      <c r="O378" s="14" t="s">
        <v>38</v>
      </c>
      <c r="P378" s="14" t="s">
        <v>38</v>
      </c>
      <c r="Q378" s="14"/>
      <c r="R378" s="14"/>
      <c r="S378" s="14" t="s">
        <v>1713</v>
      </c>
      <c r="T378" s="14" t="s">
        <v>1714</v>
      </c>
      <c r="U378" s="15">
        <v>9</v>
      </c>
      <c r="V378" s="10">
        <v>1</v>
      </c>
    </row>
    <row r="379" spans="1:22" ht="18" customHeight="1" x14ac:dyDescent="0.35">
      <c r="A379" s="10" t="s">
        <v>86</v>
      </c>
      <c r="B379" s="10" t="s">
        <v>3158</v>
      </c>
      <c r="C379" s="11" t="s">
        <v>3008</v>
      </c>
      <c r="D379" s="11" t="s">
        <v>35</v>
      </c>
      <c r="E379" s="12">
        <v>45918.958344907405</v>
      </c>
      <c r="F379" s="10" t="str">
        <f>TEXT(events[[#This Row],[Start Date]],"DDD")</f>
        <v>Thu</v>
      </c>
      <c r="G379" s="10">
        <f>YEAR(events[[#This Row],[Start Date]])</f>
        <v>2025</v>
      </c>
      <c r="H379" s="10" t="str">
        <f>TEXT(events[[#This Row],[Start Date]],"mmm")</f>
        <v>Sep</v>
      </c>
      <c r="I379" s="10" t="str">
        <f>CONCATENATE("WK_",WEEKNUM(events[[#This Row],[Start Date]]))</f>
        <v>WK_38</v>
      </c>
      <c r="J379" s="12">
        <v>45918.975092592591</v>
      </c>
      <c r="K379" s="10">
        <v>50.3</v>
      </c>
      <c r="L379" s="10" t="s">
        <v>36</v>
      </c>
      <c r="M379" s="10" t="s">
        <v>1731</v>
      </c>
      <c r="N379" s="13">
        <f t="shared" si="5"/>
        <v>24.116666666666667</v>
      </c>
      <c r="O379" s="14" t="s">
        <v>38</v>
      </c>
      <c r="P379" s="14" t="s">
        <v>38</v>
      </c>
      <c r="Q379" s="14"/>
      <c r="R379" s="14"/>
      <c r="S379" s="14" t="s">
        <v>1732</v>
      </c>
      <c r="T379" s="14" t="s">
        <v>1733</v>
      </c>
      <c r="U379" s="15">
        <v>14</v>
      </c>
      <c r="V379" s="10">
        <v>1</v>
      </c>
    </row>
    <row r="380" spans="1:22" ht="18" customHeight="1" x14ac:dyDescent="0.35">
      <c r="A380" s="10" t="s">
        <v>86</v>
      </c>
      <c r="B380" s="10" t="s">
        <v>3189</v>
      </c>
      <c r="C380" s="11" t="s">
        <v>2992</v>
      </c>
      <c r="D380" s="11" t="s">
        <v>35</v>
      </c>
      <c r="E380" s="12">
        <v>45918.958344907405</v>
      </c>
      <c r="F380" s="10" t="str">
        <f>TEXT(events[[#This Row],[Start Date]],"DDD")</f>
        <v>Thu</v>
      </c>
      <c r="G380" s="10">
        <f>YEAR(events[[#This Row],[Start Date]])</f>
        <v>2025</v>
      </c>
      <c r="H380" s="10" t="str">
        <f>TEXT(events[[#This Row],[Start Date]],"mmm")</f>
        <v>Sep</v>
      </c>
      <c r="I380" s="10" t="str">
        <f>CONCATENATE("WK_",WEEKNUM(events[[#This Row],[Start Date]]))</f>
        <v>WK_38</v>
      </c>
      <c r="J380" s="12">
        <v>45918.996296296296</v>
      </c>
      <c r="K380" s="10">
        <v>53.3</v>
      </c>
      <c r="L380" s="10" t="s">
        <v>36</v>
      </c>
      <c r="M380" s="10" t="s">
        <v>1736</v>
      </c>
      <c r="N380" s="13">
        <f t="shared" si="5"/>
        <v>54.65</v>
      </c>
      <c r="O380" s="14" t="s">
        <v>209</v>
      </c>
      <c r="P380" s="14" t="s">
        <v>341</v>
      </c>
      <c r="Q380" s="14"/>
      <c r="R380" s="14"/>
      <c r="S380" s="14" t="s">
        <v>1737</v>
      </c>
      <c r="T380" s="14" t="s">
        <v>1738</v>
      </c>
      <c r="U380" s="15">
        <v>25.125</v>
      </c>
      <c r="V380" s="10">
        <v>1</v>
      </c>
    </row>
    <row r="381" spans="1:22" ht="18" customHeight="1" x14ac:dyDescent="0.35">
      <c r="A381" s="10" t="s">
        <v>86</v>
      </c>
      <c r="B381" s="10" t="s">
        <v>3169</v>
      </c>
      <c r="C381" s="11" t="s">
        <v>3061</v>
      </c>
      <c r="D381" s="11" t="s">
        <v>35</v>
      </c>
      <c r="E381" s="12">
        <v>45918.958344907405</v>
      </c>
      <c r="F381" s="10" t="str">
        <f>TEXT(events[[#This Row],[Start Date]],"DDD")</f>
        <v>Thu</v>
      </c>
      <c r="G381" s="10">
        <f>YEAR(events[[#This Row],[Start Date]])</f>
        <v>2025</v>
      </c>
      <c r="H381" s="10" t="str">
        <f>TEXT(events[[#This Row],[Start Date]],"mmm")</f>
        <v>Sep</v>
      </c>
      <c r="I381" s="10" t="str">
        <f>CONCATENATE("WK_",WEEKNUM(events[[#This Row],[Start Date]]))</f>
        <v>WK_38</v>
      </c>
      <c r="J381" s="12">
        <v>45918.989432870374</v>
      </c>
      <c r="K381" s="10">
        <v>116</v>
      </c>
      <c r="L381" s="10" t="s">
        <v>36</v>
      </c>
      <c r="M381" s="10" t="s">
        <v>1739</v>
      </c>
      <c r="N381" s="13">
        <f t="shared" si="5"/>
        <v>44.766666666666666</v>
      </c>
      <c r="O381" s="14" t="s">
        <v>49</v>
      </c>
      <c r="P381" s="14" t="s">
        <v>49</v>
      </c>
      <c r="Q381" s="14"/>
      <c r="R381" s="14"/>
      <c r="S381" s="14" t="s">
        <v>1740</v>
      </c>
      <c r="T381" s="14" t="s">
        <v>1741</v>
      </c>
      <c r="U381" s="15">
        <v>25.699000000000002</v>
      </c>
      <c r="V381" s="10">
        <v>1</v>
      </c>
    </row>
    <row r="382" spans="1:22" ht="18" customHeight="1" x14ac:dyDescent="0.35">
      <c r="A382" s="10" t="s">
        <v>86</v>
      </c>
      <c r="B382" s="10" t="s">
        <v>3246</v>
      </c>
      <c r="C382" s="11" t="s">
        <v>3055</v>
      </c>
      <c r="D382" s="11" t="s">
        <v>35</v>
      </c>
      <c r="E382" s="12">
        <v>45918.958344907405</v>
      </c>
      <c r="F382" s="10" t="str">
        <f>TEXT(events[[#This Row],[Start Date]],"DDD")</f>
        <v>Thu</v>
      </c>
      <c r="G382" s="10">
        <f>YEAR(events[[#This Row],[Start Date]])</f>
        <v>2025</v>
      </c>
      <c r="H382" s="10" t="str">
        <f>TEXT(events[[#This Row],[Start Date]],"mmm")</f>
        <v>Sep</v>
      </c>
      <c r="I382" s="10" t="str">
        <f>CONCATENATE("WK_",WEEKNUM(events[[#This Row],[Start Date]]))</f>
        <v>WK_38</v>
      </c>
      <c r="J382" s="12">
        <v>45918.987812500003</v>
      </c>
      <c r="K382" s="10">
        <v>124.2</v>
      </c>
      <c r="L382" s="10" t="s">
        <v>36</v>
      </c>
      <c r="M382" s="10" t="s">
        <v>1752</v>
      </c>
      <c r="N382" s="13">
        <f t="shared" si="5"/>
        <v>42.43333333333333</v>
      </c>
      <c r="O382" s="14" t="s">
        <v>49</v>
      </c>
      <c r="P382" s="14" t="s">
        <v>49</v>
      </c>
      <c r="Q382" s="14"/>
      <c r="R382" s="14"/>
      <c r="S382" s="14" t="s">
        <v>1753</v>
      </c>
      <c r="T382" s="14" t="s">
        <v>1754</v>
      </c>
      <c r="U382" s="15">
        <v>27.5</v>
      </c>
      <c r="V382" s="10">
        <v>1</v>
      </c>
    </row>
    <row r="383" spans="1:22" ht="18" customHeight="1" x14ac:dyDescent="0.35">
      <c r="A383" s="10" t="s">
        <v>86</v>
      </c>
      <c r="B383" s="10" t="s">
        <v>3220</v>
      </c>
      <c r="C383" s="11" t="s">
        <v>3062</v>
      </c>
      <c r="D383" s="11" t="s">
        <v>35</v>
      </c>
      <c r="E383" s="12">
        <v>45918.958344907405</v>
      </c>
      <c r="F383" s="10" t="str">
        <f>TEXT(events[[#This Row],[Start Date]],"DDD")</f>
        <v>Thu</v>
      </c>
      <c r="G383" s="10">
        <f>YEAR(events[[#This Row],[Start Date]])</f>
        <v>2025</v>
      </c>
      <c r="H383" s="10" t="str">
        <f>TEXT(events[[#This Row],[Start Date]],"mmm")</f>
        <v>Sep</v>
      </c>
      <c r="I383" s="10" t="str">
        <f>CONCATENATE("WK_",WEEKNUM(events[[#This Row],[Start Date]]))</f>
        <v>WK_38</v>
      </c>
      <c r="J383" s="12">
        <v>45919.006898148145</v>
      </c>
      <c r="K383" s="10">
        <v>52.2</v>
      </c>
      <c r="L383" s="10" t="s">
        <v>36</v>
      </c>
      <c r="M383" s="10" t="s">
        <v>1758</v>
      </c>
      <c r="N383" s="13">
        <f t="shared" si="5"/>
        <v>69.916666666666671</v>
      </c>
      <c r="O383" s="14" t="s">
        <v>209</v>
      </c>
      <c r="P383" s="14" t="s">
        <v>341</v>
      </c>
      <c r="Q383" s="14"/>
      <c r="R383" s="14"/>
      <c r="S383" s="14" t="s">
        <v>1759</v>
      </c>
      <c r="T383" s="14" t="s">
        <v>1760</v>
      </c>
      <c r="U383" s="15">
        <v>24.562000000000001</v>
      </c>
      <c r="V383" s="10">
        <v>1</v>
      </c>
    </row>
    <row r="384" spans="1:22" ht="18" customHeight="1" x14ac:dyDescent="0.35">
      <c r="A384" s="10" t="s">
        <v>123</v>
      </c>
      <c r="B384" s="10" t="s">
        <v>3160</v>
      </c>
      <c r="C384" s="11" t="s">
        <v>2926</v>
      </c>
      <c r="D384" s="11" t="s">
        <v>74</v>
      </c>
      <c r="E384" s="12">
        <v>45918.945150462961</v>
      </c>
      <c r="F384" s="10" t="str">
        <f>TEXT(events[[#This Row],[Start Date]],"DDD")</f>
        <v>Thu</v>
      </c>
      <c r="G384" s="10">
        <f>YEAR(events[[#This Row],[Start Date]])</f>
        <v>2025</v>
      </c>
      <c r="H384" s="10" t="str">
        <f>TEXT(events[[#This Row],[Start Date]],"mmm")</f>
        <v>Sep</v>
      </c>
      <c r="I384" s="10" t="str">
        <f>CONCATENATE("WK_",WEEKNUM(events[[#This Row],[Start Date]]))</f>
        <v>WK_38</v>
      </c>
      <c r="J384" s="12">
        <v>45918.946053240739</v>
      </c>
      <c r="K384" s="10">
        <v>111</v>
      </c>
      <c r="L384" s="10" t="s">
        <v>25</v>
      </c>
      <c r="M384" s="10" t="s">
        <v>1586</v>
      </c>
      <c r="N384" s="13">
        <f t="shared" si="5"/>
        <v>1.2833333333333332</v>
      </c>
      <c r="O384" s="14"/>
      <c r="P384" s="14"/>
      <c r="Q384" s="14"/>
      <c r="R384" s="14"/>
      <c r="S384" s="14" t="s">
        <v>1761</v>
      </c>
      <c r="T384" s="14" t="s">
        <v>1762</v>
      </c>
      <c r="U384" s="15">
        <v>2.1</v>
      </c>
      <c r="V384" s="10">
        <v>1</v>
      </c>
    </row>
    <row r="385" spans="1:22" ht="18" customHeight="1" x14ac:dyDescent="0.35">
      <c r="A385" s="10" t="s">
        <v>47</v>
      </c>
      <c r="B385" s="10" t="s">
        <v>3231</v>
      </c>
      <c r="C385" s="11" t="s">
        <v>2998</v>
      </c>
      <c r="D385" s="11" t="s">
        <v>24</v>
      </c>
      <c r="E385" s="12">
        <v>45918.931435185186</v>
      </c>
      <c r="F385" s="10" t="str">
        <f>TEXT(events[[#This Row],[Start Date]],"DDD")</f>
        <v>Thu</v>
      </c>
      <c r="G385" s="10">
        <f>YEAR(events[[#This Row],[Start Date]])</f>
        <v>2025</v>
      </c>
      <c r="H385" s="10" t="str">
        <f>TEXT(events[[#This Row],[Start Date]],"mmm")</f>
        <v>Sep</v>
      </c>
      <c r="I385" s="10" t="str">
        <f>CONCATENATE("WK_",WEEKNUM(events[[#This Row],[Start Date]]))</f>
        <v>WK_38</v>
      </c>
      <c r="J385" s="12">
        <v>45918.931550925925</v>
      </c>
      <c r="K385" s="10">
        <v>58</v>
      </c>
      <c r="L385" s="10" t="s">
        <v>25</v>
      </c>
      <c r="M385" s="10" t="s">
        <v>250</v>
      </c>
      <c r="N385" s="13">
        <f t="shared" si="5"/>
        <v>0.16666666666666666</v>
      </c>
      <c r="O385" s="14" t="s">
        <v>27</v>
      </c>
      <c r="P385" s="14" t="s">
        <v>27</v>
      </c>
      <c r="Q385" s="14"/>
      <c r="R385" s="14"/>
      <c r="S385" s="14" t="s">
        <v>1720</v>
      </c>
      <c r="T385" s="14" t="s">
        <v>1721</v>
      </c>
      <c r="U385" s="15">
        <v>9.4E-2</v>
      </c>
      <c r="V385" s="10">
        <v>1</v>
      </c>
    </row>
    <row r="386" spans="1:22" ht="18" customHeight="1" x14ac:dyDescent="0.35">
      <c r="A386" s="10" t="s">
        <v>86</v>
      </c>
      <c r="B386" s="10" t="s">
        <v>3273</v>
      </c>
      <c r="C386" s="11" t="s">
        <v>3054</v>
      </c>
      <c r="D386" s="11" t="s">
        <v>24</v>
      </c>
      <c r="E386" s="12">
        <v>45918.63689814815</v>
      </c>
      <c r="F386" s="10" t="str">
        <f>TEXT(events[[#This Row],[Start Date]],"DDD")</f>
        <v>Thu</v>
      </c>
      <c r="G386" s="10">
        <f>YEAR(events[[#This Row],[Start Date]])</f>
        <v>2025</v>
      </c>
      <c r="H386" s="10" t="str">
        <f>TEXT(events[[#This Row],[Start Date]],"mmm")</f>
        <v>Sep</v>
      </c>
      <c r="I386" s="10" t="str">
        <f>CONCATENATE("WK_",WEEKNUM(events[[#This Row],[Start Date]]))</f>
        <v>WK_38</v>
      </c>
      <c r="J386" s="12">
        <v>45918.63690972222</v>
      </c>
      <c r="K386" s="10">
        <v>32</v>
      </c>
      <c r="L386" s="10" t="s">
        <v>25</v>
      </c>
      <c r="M386" s="10" t="s">
        <v>26</v>
      </c>
      <c r="N386" s="13">
        <f t="shared" ref="N386:N449" si="6">HOUR(M386)*60+MINUTE(M386)+SECOND(M386)/60</f>
        <v>1.6666666666666666E-2</v>
      </c>
      <c r="O386" s="14" t="s">
        <v>231</v>
      </c>
      <c r="P386" s="14" t="s">
        <v>231</v>
      </c>
      <c r="Q386" s="14"/>
      <c r="R386" s="14"/>
      <c r="S386" s="14" t="s">
        <v>1734</v>
      </c>
      <c r="T386" s="14" t="s">
        <v>1735</v>
      </c>
      <c r="U386" s="15">
        <v>0</v>
      </c>
      <c r="V386" s="10">
        <v>1</v>
      </c>
    </row>
    <row r="387" spans="1:22" ht="18" customHeight="1" x14ac:dyDescent="0.35">
      <c r="A387" s="10" t="s">
        <v>23</v>
      </c>
      <c r="B387" s="10" t="s">
        <v>3199</v>
      </c>
      <c r="C387" s="11" t="s">
        <v>3063</v>
      </c>
      <c r="D387" s="11" t="s">
        <v>24</v>
      </c>
      <c r="E387" s="12">
        <v>45918.23847222222</v>
      </c>
      <c r="F387" s="10" t="str">
        <f>TEXT(events[[#This Row],[Start Date]],"DDD")</f>
        <v>Thu</v>
      </c>
      <c r="G387" s="10">
        <f>YEAR(events[[#This Row],[Start Date]])</f>
        <v>2025</v>
      </c>
      <c r="H387" s="10" t="str">
        <f>TEXT(events[[#This Row],[Start Date]],"mmm")</f>
        <v>Sep</v>
      </c>
      <c r="I387" s="10" t="str">
        <f>CONCATENATE("WK_",WEEKNUM(events[[#This Row],[Start Date]]))</f>
        <v>WK_38</v>
      </c>
      <c r="J387" s="12">
        <v>45918.238935185182</v>
      </c>
      <c r="K387" s="10">
        <v>36</v>
      </c>
      <c r="L387" s="10" t="s">
        <v>25</v>
      </c>
      <c r="M387" s="10" t="s">
        <v>219</v>
      </c>
      <c r="N387" s="13">
        <f t="shared" si="6"/>
        <v>0.66666666666666663</v>
      </c>
      <c r="O387" s="14" t="s">
        <v>27</v>
      </c>
      <c r="P387" s="14" t="s">
        <v>27</v>
      </c>
      <c r="Q387" s="14"/>
      <c r="R387" s="14"/>
      <c r="S387" s="14" t="s">
        <v>1710</v>
      </c>
      <c r="T387" s="14" t="s">
        <v>1711</v>
      </c>
      <c r="U387" s="15">
        <v>0.40600000000000003</v>
      </c>
      <c r="V387" s="10">
        <v>1</v>
      </c>
    </row>
    <row r="388" spans="1:22" ht="18" customHeight="1" x14ac:dyDescent="0.35">
      <c r="A388" s="10" t="s">
        <v>23</v>
      </c>
      <c r="B388" s="10" t="s">
        <v>3199</v>
      </c>
      <c r="C388" s="11" t="s">
        <v>3063</v>
      </c>
      <c r="D388" s="11" t="s">
        <v>24</v>
      </c>
      <c r="E388" s="12">
        <v>45918.234143518515</v>
      </c>
      <c r="F388" s="10" t="str">
        <f>TEXT(events[[#This Row],[Start Date]],"DDD")</f>
        <v>Thu</v>
      </c>
      <c r="G388" s="10">
        <f>YEAR(events[[#This Row],[Start Date]])</f>
        <v>2025</v>
      </c>
      <c r="H388" s="10" t="str">
        <f>TEXT(events[[#This Row],[Start Date]],"mmm")</f>
        <v>Sep</v>
      </c>
      <c r="I388" s="10" t="str">
        <f>CONCATENATE("WK_",WEEKNUM(events[[#This Row],[Start Date]]))</f>
        <v>WK_38</v>
      </c>
      <c r="J388" s="12">
        <v>45918.234155092592</v>
      </c>
      <c r="K388" s="10">
        <v>35</v>
      </c>
      <c r="L388" s="10" t="s">
        <v>25</v>
      </c>
      <c r="M388" s="10" t="s">
        <v>26</v>
      </c>
      <c r="N388" s="13">
        <f t="shared" si="6"/>
        <v>1.6666666666666666E-2</v>
      </c>
      <c r="O388" s="14" t="s">
        <v>27</v>
      </c>
      <c r="P388" s="14" t="s">
        <v>27</v>
      </c>
      <c r="Q388" s="14"/>
      <c r="R388" s="14"/>
      <c r="S388" s="14" t="s">
        <v>1708</v>
      </c>
      <c r="T388" s="14" t="s">
        <v>1709</v>
      </c>
      <c r="U388" s="15">
        <v>9.4E-2</v>
      </c>
      <c r="V388" s="10">
        <v>1</v>
      </c>
    </row>
    <row r="389" spans="1:22" ht="18" customHeight="1" x14ac:dyDescent="0.35">
      <c r="A389" s="10" t="s">
        <v>23</v>
      </c>
      <c r="B389" s="10" t="s">
        <v>3254</v>
      </c>
      <c r="C389" s="11" t="s">
        <v>3024</v>
      </c>
      <c r="D389" s="11" t="s">
        <v>35</v>
      </c>
      <c r="E389" s="12">
        <v>45917.958333333336</v>
      </c>
      <c r="F389" s="10" t="str">
        <f>TEXT(events[[#This Row],[Start Date]],"DDD")</f>
        <v>Wed</v>
      </c>
      <c r="G389" s="10">
        <f>YEAR(events[[#This Row],[Start Date]])</f>
        <v>2025</v>
      </c>
      <c r="H389" s="10" t="str">
        <f>TEXT(events[[#This Row],[Start Date]],"mmm")</f>
        <v>Sep</v>
      </c>
      <c r="I389" s="10" t="str">
        <f>CONCATENATE("WK_",WEEKNUM(events[[#This Row],[Start Date]]))</f>
        <v>WK_38</v>
      </c>
      <c r="J389" s="12">
        <v>45917.964375000003</v>
      </c>
      <c r="K389" s="10">
        <v>160.80000000000001</v>
      </c>
      <c r="L389" s="10" t="s">
        <v>36</v>
      </c>
      <c r="M389" s="10" t="s">
        <v>1779</v>
      </c>
      <c r="N389" s="13">
        <f t="shared" si="6"/>
        <v>8.6999999999999993</v>
      </c>
      <c r="O389" s="14" t="s">
        <v>458</v>
      </c>
      <c r="P389" s="14" t="s">
        <v>458</v>
      </c>
      <c r="Q389" s="14"/>
      <c r="R389" s="14"/>
      <c r="S389" s="14" t="s">
        <v>1780</v>
      </c>
      <c r="T389" s="14" t="s">
        <v>1781</v>
      </c>
      <c r="U389" s="15">
        <v>2.1989999999999998</v>
      </c>
      <c r="V389" s="10">
        <v>1</v>
      </c>
    </row>
    <row r="390" spans="1:22" ht="18" customHeight="1" x14ac:dyDescent="0.35">
      <c r="A390" s="10" t="s">
        <v>86</v>
      </c>
      <c r="B390" s="10" t="s">
        <v>3205</v>
      </c>
      <c r="C390" s="11" t="s">
        <v>2924</v>
      </c>
      <c r="D390" s="11" t="s">
        <v>82</v>
      </c>
      <c r="E390" s="12">
        <v>45917.550636574073</v>
      </c>
      <c r="F390" s="10" t="str">
        <f>TEXT(events[[#This Row],[Start Date]],"DDD")</f>
        <v>Wed</v>
      </c>
      <c r="G390" s="10">
        <f>YEAR(events[[#This Row],[Start Date]])</f>
        <v>2025</v>
      </c>
      <c r="H390" s="10" t="str">
        <f>TEXT(events[[#This Row],[Start Date]],"mmm")</f>
        <v>Sep</v>
      </c>
      <c r="I390" s="10" t="str">
        <f>CONCATENATE("WK_",WEEKNUM(events[[#This Row],[Start Date]]))</f>
        <v>WK_38</v>
      </c>
      <c r="J390" s="12">
        <v>45917.550636574073</v>
      </c>
      <c r="K390" s="10">
        <v>18</v>
      </c>
      <c r="L390" s="10" t="s">
        <v>83</v>
      </c>
      <c r="M390" s="10" t="s">
        <v>87</v>
      </c>
      <c r="N390" s="13">
        <f t="shared" si="6"/>
        <v>0</v>
      </c>
      <c r="O390" s="14" t="s">
        <v>92</v>
      </c>
      <c r="P390" s="14" t="s">
        <v>92</v>
      </c>
      <c r="Q390" s="14"/>
      <c r="R390" s="14"/>
      <c r="S390" s="14" t="s">
        <v>1790</v>
      </c>
      <c r="T390" s="14" t="s">
        <v>1790</v>
      </c>
      <c r="U390" s="15">
        <v>0</v>
      </c>
      <c r="V390" s="10">
        <v>1</v>
      </c>
    </row>
    <row r="391" spans="1:22" ht="18" customHeight="1" x14ac:dyDescent="0.35">
      <c r="A391" s="10" t="s">
        <v>123</v>
      </c>
      <c r="B391" s="10" t="s">
        <v>3281</v>
      </c>
      <c r="C391" s="11" t="s">
        <v>3064</v>
      </c>
      <c r="D391" s="11" t="s">
        <v>74</v>
      </c>
      <c r="E391" s="12">
        <v>45917.478773148148</v>
      </c>
      <c r="F391" s="10" t="str">
        <f>TEXT(events[[#This Row],[Start Date]],"DDD")</f>
        <v>Wed</v>
      </c>
      <c r="G391" s="10">
        <f>YEAR(events[[#This Row],[Start Date]])</f>
        <v>2025</v>
      </c>
      <c r="H391" s="10" t="str">
        <f>TEXT(events[[#This Row],[Start Date]],"mmm")</f>
        <v>Sep</v>
      </c>
      <c r="I391" s="10" t="str">
        <f>CONCATENATE("WK_",WEEKNUM(events[[#This Row],[Start Date]]))</f>
        <v>WK_38</v>
      </c>
      <c r="J391" s="12">
        <v>45917.478946759256</v>
      </c>
      <c r="K391" s="10">
        <v>88</v>
      </c>
      <c r="L391" s="10" t="s">
        <v>25</v>
      </c>
      <c r="M391" s="10" t="s">
        <v>394</v>
      </c>
      <c r="N391" s="13">
        <f t="shared" si="6"/>
        <v>0.25</v>
      </c>
      <c r="O391" s="14"/>
      <c r="P391" s="14"/>
      <c r="Q391" s="14"/>
      <c r="R391" s="14"/>
      <c r="S391" s="14" t="s">
        <v>1808</v>
      </c>
      <c r="T391" s="14" t="s">
        <v>1809</v>
      </c>
      <c r="U391" s="15">
        <v>0.5</v>
      </c>
      <c r="V391" s="10">
        <v>1</v>
      </c>
    </row>
    <row r="392" spans="1:22" ht="18" customHeight="1" x14ac:dyDescent="0.35">
      <c r="A392" s="10" t="s">
        <v>123</v>
      </c>
      <c r="B392" s="10" t="s">
        <v>3160</v>
      </c>
      <c r="C392" s="11" t="s">
        <v>2926</v>
      </c>
      <c r="D392" s="11" t="s">
        <v>74</v>
      </c>
      <c r="E392" s="12">
        <v>45916.979826388888</v>
      </c>
      <c r="F392" s="10" t="str">
        <f>TEXT(events[[#This Row],[Start Date]],"DDD")</f>
        <v>Tue</v>
      </c>
      <c r="G392" s="10">
        <f>YEAR(events[[#This Row],[Start Date]])</f>
        <v>2025</v>
      </c>
      <c r="H392" s="10" t="str">
        <f>TEXT(events[[#This Row],[Start Date]],"mmm")</f>
        <v>Sep</v>
      </c>
      <c r="I392" s="10" t="str">
        <f>CONCATENATE("WK_",WEEKNUM(events[[#This Row],[Start Date]]))</f>
        <v>WK_38</v>
      </c>
      <c r="J392" s="12">
        <v>45916.980833333335</v>
      </c>
      <c r="K392" s="10">
        <v>101</v>
      </c>
      <c r="L392" s="10" t="s">
        <v>25</v>
      </c>
      <c r="M392" s="10" t="s">
        <v>1798</v>
      </c>
      <c r="N392" s="13">
        <f t="shared" si="6"/>
        <v>1.4333333333333333</v>
      </c>
      <c r="O392" s="14"/>
      <c r="P392" s="14"/>
      <c r="Q392" s="14"/>
      <c r="R392" s="14"/>
      <c r="S392" s="14" t="s">
        <v>1799</v>
      </c>
      <c r="T392" s="14" t="s">
        <v>1800</v>
      </c>
      <c r="U392" s="15">
        <v>2.2999999999999998</v>
      </c>
      <c r="V392" s="10">
        <v>1</v>
      </c>
    </row>
    <row r="393" spans="1:22" ht="18" customHeight="1" x14ac:dyDescent="0.35">
      <c r="A393" s="10" t="s">
        <v>23</v>
      </c>
      <c r="B393" s="10" t="s">
        <v>3207</v>
      </c>
      <c r="C393" s="11" t="s">
        <v>2975</v>
      </c>
      <c r="D393" s="11" t="s">
        <v>82</v>
      </c>
      <c r="E393" s="12">
        <v>45916.448009259257</v>
      </c>
      <c r="F393" s="10" t="str">
        <f>TEXT(events[[#This Row],[Start Date]],"DDD")</f>
        <v>Tue</v>
      </c>
      <c r="G393" s="10">
        <f>YEAR(events[[#This Row],[Start Date]])</f>
        <v>2025</v>
      </c>
      <c r="H393" s="10" t="str">
        <f>TEXT(events[[#This Row],[Start Date]],"mmm")</f>
        <v>Sep</v>
      </c>
      <c r="I393" s="10" t="str">
        <f>CONCATENATE("WK_",WEEKNUM(events[[#This Row],[Start Date]]))</f>
        <v>WK_38</v>
      </c>
      <c r="J393" s="12">
        <v>45916.448020833333</v>
      </c>
      <c r="K393" s="10">
        <v>22</v>
      </c>
      <c r="L393" s="10" t="s">
        <v>83</v>
      </c>
      <c r="M393" s="10" t="s">
        <v>26</v>
      </c>
      <c r="N393" s="13">
        <f t="shared" si="6"/>
        <v>1.6666666666666666E-2</v>
      </c>
      <c r="O393" s="14" t="s">
        <v>1729</v>
      </c>
      <c r="P393" s="14"/>
      <c r="Q393" s="14"/>
      <c r="R393" s="14"/>
      <c r="S393" s="14" t="s">
        <v>1773</v>
      </c>
      <c r="T393" s="14"/>
      <c r="U393" s="15">
        <v>0</v>
      </c>
      <c r="V393" s="10">
        <v>1</v>
      </c>
    </row>
    <row r="394" spans="1:22" ht="18" customHeight="1" x14ac:dyDescent="0.35">
      <c r="A394" s="10" t="s">
        <v>86</v>
      </c>
      <c r="B394" s="10" t="s">
        <v>3273</v>
      </c>
      <c r="C394" s="11" t="s">
        <v>3054</v>
      </c>
      <c r="D394" s="11" t="s">
        <v>24</v>
      </c>
      <c r="E394" s="12">
        <v>45916.334826388891</v>
      </c>
      <c r="F394" s="10" t="str">
        <f>TEXT(events[[#This Row],[Start Date]],"DDD")</f>
        <v>Tue</v>
      </c>
      <c r="G394" s="10">
        <f>YEAR(events[[#This Row],[Start Date]])</f>
        <v>2025</v>
      </c>
      <c r="H394" s="10" t="str">
        <f>TEXT(events[[#This Row],[Start Date]],"mmm")</f>
        <v>Sep</v>
      </c>
      <c r="I394" s="10" t="str">
        <f>CONCATENATE("WK_",WEEKNUM(events[[#This Row],[Start Date]]))</f>
        <v>WK_38</v>
      </c>
      <c r="J394" s="12">
        <v>45916.334953703707</v>
      </c>
      <c r="K394" s="10">
        <v>32</v>
      </c>
      <c r="L394" s="10" t="s">
        <v>25</v>
      </c>
      <c r="M394" s="10" t="s">
        <v>212</v>
      </c>
      <c r="N394" s="13">
        <f t="shared" si="6"/>
        <v>0.18333333333333332</v>
      </c>
      <c r="O394" s="14" t="s">
        <v>92</v>
      </c>
      <c r="P394" s="14" t="s">
        <v>92</v>
      </c>
      <c r="Q394" s="14" t="s">
        <v>93</v>
      </c>
      <c r="R394" s="14" t="s">
        <v>93</v>
      </c>
      <c r="S394" s="14" t="s">
        <v>1786</v>
      </c>
      <c r="T394" s="14" t="s">
        <v>1787</v>
      </c>
      <c r="U394" s="15">
        <v>0.125</v>
      </c>
      <c r="V394" s="10">
        <v>1</v>
      </c>
    </row>
    <row r="395" spans="1:22" ht="18" customHeight="1" x14ac:dyDescent="0.35">
      <c r="A395" s="10" t="s">
        <v>86</v>
      </c>
      <c r="B395" s="10" t="s">
        <v>3246</v>
      </c>
      <c r="C395" s="11" t="s">
        <v>3065</v>
      </c>
      <c r="D395" s="11" t="s">
        <v>24</v>
      </c>
      <c r="E395" s="12">
        <v>45915.856261574074</v>
      </c>
      <c r="F395" s="10" t="str">
        <f>TEXT(events[[#This Row],[Start Date]],"DDD")</f>
        <v>Mon</v>
      </c>
      <c r="G395" s="10">
        <f>YEAR(events[[#This Row],[Start Date]])</f>
        <v>2025</v>
      </c>
      <c r="H395" s="10" t="str">
        <f>TEXT(events[[#This Row],[Start Date]],"mmm")</f>
        <v>Sep</v>
      </c>
      <c r="I395" s="10" t="str">
        <f>CONCATENATE("WK_",WEEKNUM(events[[#This Row],[Start Date]]))</f>
        <v>WK_38</v>
      </c>
      <c r="J395" s="12">
        <v>45915.85633101852</v>
      </c>
      <c r="K395" s="10">
        <v>37</v>
      </c>
      <c r="L395" s="10" t="s">
        <v>25</v>
      </c>
      <c r="M395" s="10" t="s">
        <v>328</v>
      </c>
      <c r="N395" s="13">
        <f t="shared" si="6"/>
        <v>0.1</v>
      </c>
      <c r="O395" s="14" t="s">
        <v>38</v>
      </c>
      <c r="P395" s="14" t="s">
        <v>38</v>
      </c>
      <c r="Q395" s="14"/>
      <c r="R395" s="14"/>
      <c r="S395" s="14" t="s">
        <v>1788</v>
      </c>
      <c r="T395" s="14" t="s">
        <v>1789</v>
      </c>
      <c r="U395" s="15">
        <v>0.125</v>
      </c>
      <c r="V395" s="10">
        <v>1</v>
      </c>
    </row>
    <row r="396" spans="1:22" ht="18" customHeight="1" x14ac:dyDescent="0.35">
      <c r="A396" s="10" t="s">
        <v>123</v>
      </c>
      <c r="B396" s="10" t="s">
        <v>3282</v>
      </c>
      <c r="C396" s="11" t="s">
        <v>3066</v>
      </c>
      <c r="D396" s="11" t="s">
        <v>74</v>
      </c>
      <c r="E396" s="12">
        <v>45914.716770833336</v>
      </c>
      <c r="F396" s="10" t="str">
        <f>TEXT(events[[#This Row],[Start Date]],"DDD")</f>
        <v>Sun</v>
      </c>
      <c r="G396" s="10">
        <f>YEAR(events[[#This Row],[Start Date]])</f>
        <v>2025</v>
      </c>
      <c r="H396" s="10" t="str">
        <f>TEXT(events[[#This Row],[Start Date]],"mmm")</f>
        <v>Sep</v>
      </c>
      <c r="I396" s="10" t="str">
        <f>CONCATENATE("WK_",WEEKNUM(events[[#This Row],[Start Date]]))</f>
        <v>WK_38</v>
      </c>
      <c r="J396" s="12">
        <v>45914.717048611114</v>
      </c>
      <c r="K396" s="10">
        <v>88</v>
      </c>
      <c r="L396" s="10" t="s">
        <v>25</v>
      </c>
      <c r="M396" s="10" t="s">
        <v>124</v>
      </c>
      <c r="N396" s="13">
        <f t="shared" si="6"/>
        <v>0.4</v>
      </c>
      <c r="O396" s="14"/>
      <c r="P396" s="14"/>
      <c r="Q396" s="14"/>
      <c r="R396" s="14"/>
      <c r="S396" s="14" t="s">
        <v>1810</v>
      </c>
      <c r="T396" s="14" t="s">
        <v>1811</v>
      </c>
      <c r="U396" s="15">
        <v>0.7</v>
      </c>
      <c r="V396" s="10">
        <v>1</v>
      </c>
    </row>
    <row r="397" spans="1:22" ht="18" customHeight="1" x14ac:dyDescent="0.35">
      <c r="A397" s="10" t="s">
        <v>47</v>
      </c>
      <c r="B397" s="10" t="s">
        <v>3276</v>
      </c>
      <c r="C397" s="11" t="s">
        <v>3053</v>
      </c>
      <c r="D397" s="11" t="s">
        <v>24</v>
      </c>
      <c r="E397" s="12">
        <v>45914.612083333333</v>
      </c>
      <c r="F397" s="10" t="str">
        <f>TEXT(events[[#This Row],[Start Date]],"DDD")</f>
        <v>Sun</v>
      </c>
      <c r="G397" s="10">
        <f>YEAR(events[[#This Row],[Start Date]])</f>
        <v>2025</v>
      </c>
      <c r="H397" s="10" t="str">
        <f>TEXT(events[[#This Row],[Start Date]],"mmm")</f>
        <v>Sep</v>
      </c>
      <c r="I397" s="10" t="str">
        <f>CONCATENATE("WK_",WEEKNUM(events[[#This Row],[Start Date]]))</f>
        <v>WK_38</v>
      </c>
      <c r="J397" s="12">
        <v>45914.612268518518</v>
      </c>
      <c r="K397" s="10">
        <v>38</v>
      </c>
      <c r="L397" s="10" t="s">
        <v>25</v>
      </c>
      <c r="M397" s="10" t="s">
        <v>353</v>
      </c>
      <c r="N397" s="13">
        <f t="shared" si="6"/>
        <v>0.26666666666666666</v>
      </c>
      <c r="O397" s="14" t="s">
        <v>182</v>
      </c>
      <c r="P397" s="14" t="s">
        <v>182</v>
      </c>
      <c r="Q397" s="14"/>
      <c r="R397" s="14"/>
      <c r="S397" s="14" t="s">
        <v>1783</v>
      </c>
      <c r="T397" s="14" t="s">
        <v>1784</v>
      </c>
      <c r="U397" s="15">
        <v>0.1875</v>
      </c>
      <c r="V397" s="10">
        <v>1</v>
      </c>
    </row>
    <row r="398" spans="1:22" ht="18" customHeight="1" x14ac:dyDescent="0.35">
      <c r="A398" s="10" t="s">
        <v>23</v>
      </c>
      <c r="B398" s="10" t="s">
        <v>3174</v>
      </c>
      <c r="C398" s="11" t="s">
        <v>2941</v>
      </c>
      <c r="D398" s="11" t="s">
        <v>82</v>
      </c>
      <c r="E398" s="12">
        <v>45914.391296296293</v>
      </c>
      <c r="F398" s="10" t="str">
        <f>TEXT(events[[#This Row],[Start Date]],"DDD")</f>
        <v>Sun</v>
      </c>
      <c r="G398" s="10">
        <f>YEAR(events[[#This Row],[Start Date]])</f>
        <v>2025</v>
      </c>
      <c r="H398" s="10" t="str">
        <f>TEXT(events[[#This Row],[Start Date]],"mmm")</f>
        <v>Sep</v>
      </c>
      <c r="I398" s="10" t="str">
        <f>CONCATENATE("WK_",WEEKNUM(events[[#This Row],[Start Date]]))</f>
        <v>WK_38</v>
      </c>
      <c r="J398" s="12">
        <v>45914.39130787037</v>
      </c>
      <c r="K398" s="10">
        <v>27</v>
      </c>
      <c r="L398" s="10" t="s">
        <v>83</v>
      </c>
      <c r="M398" s="10" t="s">
        <v>26</v>
      </c>
      <c r="N398" s="13">
        <f t="shared" si="6"/>
        <v>1.6666666666666666E-2</v>
      </c>
      <c r="O398" s="14" t="s">
        <v>27</v>
      </c>
      <c r="P398" s="14"/>
      <c r="Q398" s="14"/>
      <c r="R398" s="14"/>
      <c r="S398" s="14" t="s">
        <v>1778</v>
      </c>
      <c r="T398" s="14"/>
      <c r="U398" s="15">
        <v>0</v>
      </c>
      <c r="V398" s="10">
        <v>1</v>
      </c>
    </row>
    <row r="399" spans="1:22" ht="18" customHeight="1" x14ac:dyDescent="0.35">
      <c r="A399" s="10" t="s">
        <v>47</v>
      </c>
      <c r="B399" s="10" t="s">
        <v>3235</v>
      </c>
      <c r="C399" s="11" t="s">
        <v>3001</v>
      </c>
      <c r="D399" s="11" t="s">
        <v>82</v>
      </c>
      <c r="E399" s="12">
        <v>45914.230983796297</v>
      </c>
      <c r="F399" s="10" t="str">
        <f>TEXT(events[[#This Row],[Start Date]],"DDD")</f>
        <v>Sun</v>
      </c>
      <c r="G399" s="10">
        <f>YEAR(events[[#This Row],[Start Date]])</f>
        <v>2025</v>
      </c>
      <c r="H399" s="10" t="str">
        <f>TEXT(events[[#This Row],[Start Date]],"mmm")</f>
        <v>Sep</v>
      </c>
      <c r="I399" s="10" t="str">
        <f>CONCATENATE("WK_",WEEKNUM(events[[#This Row],[Start Date]]))</f>
        <v>WK_38</v>
      </c>
      <c r="J399" s="12">
        <v>45914.230983796297</v>
      </c>
      <c r="K399" s="10">
        <v>16</v>
      </c>
      <c r="L399" s="10" t="s">
        <v>83</v>
      </c>
      <c r="M399" s="10" t="s">
        <v>87</v>
      </c>
      <c r="N399" s="13">
        <f t="shared" si="6"/>
        <v>0</v>
      </c>
      <c r="O399" s="14" t="s">
        <v>27</v>
      </c>
      <c r="P399" s="14" t="s">
        <v>27</v>
      </c>
      <c r="Q399" s="14"/>
      <c r="R399" s="14"/>
      <c r="S399" s="14" t="s">
        <v>1785</v>
      </c>
      <c r="T399" s="14" t="s">
        <v>1785</v>
      </c>
      <c r="U399" s="15">
        <v>0</v>
      </c>
      <c r="V399" s="10">
        <v>1</v>
      </c>
    </row>
    <row r="400" spans="1:22" ht="18" customHeight="1" x14ac:dyDescent="0.35">
      <c r="A400" s="10" t="s">
        <v>123</v>
      </c>
      <c r="B400" s="10" t="s">
        <v>3283</v>
      </c>
      <c r="C400" s="11" t="s">
        <v>3067</v>
      </c>
      <c r="D400" s="11" t="s">
        <v>74</v>
      </c>
      <c r="E400" s="12">
        <v>45913.85361111111</v>
      </c>
      <c r="F400" s="10" t="str">
        <f>TEXT(events[[#This Row],[Start Date]],"DDD")</f>
        <v>Sat</v>
      </c>
      <c r="G400" s="10">
        <f>YEAR(events[[#This Row],[Start Date]])</f>
        <v>2025</v>
      </c>
      <c r="H400" s="10" t="str">
        <f>TEXT(events[[#This Row],[Start Date]],"mmm")</f>
        <v>Sep</v>
      </c>
      <c r="I400" s="10" t="str">
        <f>CONCATENATE("WK_",WEEKNUM(events[[#This Row],[Start Date]]))</f>
        <v>WK_37</v>
      </c>
      <c r="J400" s="12">
        <v>45913.854143518518</v>
      </c>
      <c r="K400" s="10">
        <v>95</v>
      </c>
      <c r="L400" s="10" t="s">
        <v>25</v>
      </c>
      <c r="M400" s="10" t="s">
        <v>929</v>
      </c>
      <c r="N400" s="13">
        <f t="shared" si="6"/>
        <v>0.75</v>
      </c>
      <c r="O400" s="14"/>
      <c r="P400" s="14"/>
      <c r="Q400" s="14"/>
      <c r="R400" s="14"/>
      <c r="S400" s="14" t="s">
        <v>1791</v>
      </c>
      <c r="T400" s="14" t="s">
        <v>1792</v>
      </c>
      <c r="U400" s="15">
        <v>1.2</v>
      </c>
      <c r="V400" s="10">
        <v>1</v>
      </c>
    </row>
    <row r="401" spans="1:22" ht="18" customHeight="1" x14ac:dyDescent="0.35">
      <c r="A401" s="10" t="s">
        <v>23</v>
      </c>
      <c r="B401" s="10" t="s">
        <v>3163</v>
      </c>
      <c r="C401" s="11" t="s">
        <v>2929</v>
      </c>
      <c r="D401" s="11" t="s">
        <v>24</v>
      </c>
      <c r="E401" s="12">
        <v>45913.632094907407</v>
      </c>
      <c r="F401" s="10" t="str">
        <f>TEXT(events[[#This Row],[Start Date]],"DDD")</f>
        <v>Sat</v>
      </c>
      <c r="G401" s="10">
        <f>YEAR(events[[#This Row],[Start Date]])</f>
        <v>2025</v>
      </c>
      <c r="H401" s="10" t="str">
        <f>TEXT(events[[#This Row],[Start Date]],"mmm")</f>
        <v>Sep</v>
      </c>
      <c r="I401" s="10" t="str">
        <f>CONCATENATE("WK_",WEEKNUM(events[[#This Row],[Start Date]]))</f>
        <v>WK_37</v>
      </c>
      <c r="J401" s="12">
        <v>45913.632326388892</v>
      </c>
      <c r="K401" s="10">
        <v>74</v>
      </c>
      <c r="L401" s="10" t="s">
        <v>25</v>
      </c>
      <c r="M401" s="10" t="s">
        <v>301</v>
      </c>
      <c r="N401" s="13">
        <f t="shared" si="6"/>
        <v>0.33333333333333331</v>
      </c>
      <c r="O401" s="14" t="s">
        <v>268</v>
      </c>
      <c r="P401" s="14" t="s">
        <v>268</v>
      </c>
      <c r="Q401" s="14"/>
      <c r="R401" s="14"/>
      <c r="S401" s="14" t="s">
        <v>1776</v>
      </c>
      <c r="T401" s="14" t="s">
        <v>1777</v>
      </c>
      <c r="U401" s="15">
        <v>0.5</v>
      </c>
      <c r="V401" s="10">
        <v>1</v>
      </c>
    </row>
    <row r="402" spans="1:22" ht="18" customHeight="1" x14ac:dyDescent="0.35">
      <c r="A402" s="10" t="s">
        <v>123</v>
      </c>
      <c r="B402" s="10" t="s">
        <v>3160</v>
      </c>
      <c r="C402" s="11" t="s">
        <v>2926</v>
      </c>
      <c r="D402" s="11" t="s">
        <v>74</v>
      </c>
      <c r="E402" s="12">
        <v>45913.553020833337</v>
      </c>
      <c r="F402" s="10" t="str">
        <f>TEXT(events[[#This Row],[Start Date]],"DDD")</f>
        <v>Sat</v>
      </c>
      <c r="G402" s="10">
        <f>YEAR(events[[#This Row],[Start Date]])</f>
        <v>2025</v>
      </c>
      <c r="H402" s="10" t="str">
        <f>TEXT(events[[#This Row],[Start Date]],"mmm")</f>
        <v>Sep</v>
      </c>
      <c r="I402" s="10" t="str">
        <f>CONCATENATE("WK_",WEEKNUM(events[[#This Row],[Start Date]]))</f>
        <v>WK_37</v>
      </c>
      <c r="J402" s="12">
        <v>45913.553715277776</v>
      </c>
      <c r="K402" s="10">
        <v>95</v>
      </c>
      <c r="L402" s="10" t="s">
        <v>25</v>
      </c>
      <c r="M402" s="10" t="s">
        <v>538</v>
      </c>
      <c r="N402" s="13">
        <f t="shared" si="6"/>
        <v>0.98333333333333328</v>
      </c>
      <c r="O402" s="14"/>
      <c r="P402" s="14"/>
      <c r="Q402" s="14"/>
      <c r="R402" s="14"/>
      <c r="S402" s="14" t="s">
        <v>1793</v>
      </c>
      <c r="T402" s="14" t="s">
        <v>1794</v>
      </c>
      <c r="U402" s="15">
        <v>1.5</v>
      </c>
      <c r="V402" s="10">
        <v>1</v>
      </c>
    </row>
    <row r="403" spans="1:22" ht="18" customHeight="1" x14ac:dyDescent="0.35">
      <c r="A403" s="10" t="s">
        <v>123</v>
      </c>
      <c r="B403" s="10" t="s">
        <v>3192</v>
      </c>
      <c r="C403" s="11" t="s">
        <v>2959</v>
      </c>
      <c r="D403" s="11" t="s">
        <v>74</v>
      </c>
      <c r="E403" s="12">
        <v>45913.520833333336</v>
      </c>
      <c r="F403" s="10" t="str">
        <f>TEXT(events[[#This Row],[Start Date]],"DDD")</f>
        <v>Sat</v>
      </c>
      <c r="G403" s="10">
        <f>YEAR(events[[#This Row],[Start Date]])</f>
        <v>2025</v>
      </c>
      <c r="H403" s="10" t="str">
        <f>TEXT(events[[#This Row],[Start Date]],"mmm")</f>
        <v>Sep</v>
      </c>
      <c r="I403" s="10" t="str">
        <f>CONCATENATE("WK_",WEEKNUM(events[[#This Row],[Start Date]]))</f>
        <v>WK_37</v>
      </c>
      <c r="J403" s="12">
        <v>45913.52175925926</v>
      </c>
      <c r="K403" s="10">
        <v>87</v>
      </c>
      <c r="L403" s="10" t="s">
        <v>25</v>
      </c>
      <c r="M403" s="10" t="s">
        <v>441</v>
      </c>
      <c r="N403" s="13">
        <f t="shared" si="6"/>
        <v>1.3166666666666667</v>
      </c>
      <c r="O403" s="14"/>
      <c r="P403" s="14"/>
      <c r="Q403" s="14"/>
      <c r="R403" s="14"/>
      <c r="S403" s="14" t="s">
        <v>1796</v>
      </c>
      <c r="T403" s="14" t="s">
        <v>1797</v>
      </c>
      <c r="U403" s="15">
        <v>1.9</v>
      </c>
      <c r="V403" s="10">
        <v>1</v>
      </c>
    </row>
    <row r="404" spans="1:22" ht="18" customHeight="1" x14ac:dyDescent="0.35">
      <c r="A404" s="10" t="s">
        <v>47</v>
      </c>
      <c r="B404" s="10" t="s">
        <v>3284</v>
      </c>
      <c r="C404" s="11" t="s">
        <v>3068</v>
      </c>
      <c r="D404" s="11" t="s">
        <v>678</v>
      </c>
      <c r="E404" s="12">
        <v>45913.310277777775</v>
      </c>
      <c r="F404" s="10" t="str">
        <f>TEXT(events[[#This Row],[Start Date]],"DDD")</f>
        <v>Sat</v>
      </c>
      <c r="G404" s="10">
        <f>YEAR(events[[#This Row],[Start Date]])</f>
        <v>2025</v>
      </c>
      <c r="H404" s="10" t="str">
        <f>TEXT(events[[#This Row],[Start Date]],"mmm")</f>
        <v>Sep</v>
      </c>
      <c r="I404" s="10" t="str">
        <f>CONCATENATE("WK_",WEEKNUM(events[[#This Row],[Start Date]]))</f>
        <v>WK_37</v>
      </c>
      <c r="J404" s="12">
        <v>45913.310289351852</v>
      </c>
      <c r="K404" s="10">
        <v>11</v>
      </c>
      <c r="L404" s="10" t="s">
        <v>83</v>
      </c>
      <c r="M404" s="10" t="s">
        <v>26</v>
      </c>
      <c r="N404" s="13">
        <f t="shared" si="6"/>
        <v>1.6666666666666666E-2</v>
      </c>
      <c r="O404" s="14" t="s">
        <v>92</v>
      </c>
      <c r="P404" s="14"/>
      <c r="Q404" s="14"/>
      <c r="R404" s="14"/>
      <c r="S404" s="14" t="s">
        <v>1782</v>
      </c>
      <c r="T404" s="14"/>
      <c r="U404" s="15">
        <v>0</v>
      </c>
      <c r="V404" s="10">
        <v>1</v>
      </c>
    </row>
    <row r="405" spans="1:22" ht="18" customHeight="1" x14ac:dyDescent="0.35">
      <c r="A405" s="10" t="s">
        <v>123</v>
      </c>
      <c r="B405" s="10" t="s">
        <v>3285</v>
      </c>
      <c r="C405" s="11" t="s">
        <v>3069</v>
      </c>
      <c r="D405" s="11" t="s">
        <v>74</v>
      </c>
      <c r="E405" s="12">
        <v>45912.774722222224</v>
      </c>
      <c r="F405" s="10" t="str">
        <f>TEXT(events[[#This Row],[Start Date]],"DDD")</f>
        <v>Fri</v>
      </c>
      <c r="G405" s="10">
        <f>YEAR(events[[#This Row],[Start Date]])</f>
        <v>2025</v>
      </c>
      <c r="H405" s="10" t="str">
        <f>TEXT(events[[#This Row],[Start Date]],"mmm")</f>
        <v>Sep</v>
      </c>
      <c r="I405" s="10" t="str">
        <f>CONCATENATE("WK_",WEEKNUM(events[[#This Row],[Start Date]]))</f>
        <v>WK_37</v>
      </c>
      <c r="J405" s="12">
        <v>45912.774907407409</v>
      </c>
      <c r="K405" s="10">
        <v>87</v>
      </c>
      <c r="L405" s="10" t="s">
        <v>25</v>
      </c>
      <c r="M405" s="10" t="s">
        <v>394</v>
      </c>
      <c r="N405" s="13">
        <f t="shared" si="6"/>
        <v>0.25</v>
      </c>
      <c r="O405" s="14"/>
      <c r="P405" s="14"/>
      <c r="Q405" s="14"/>
      <c r="R405" s="14"/>
      <c r="S405" s="14" t="s">
        <v>1804</v>
      </c>
      <c r="T405" s="14" t="s">
        <v>1805</v>
      </c>
      <c r="U405" s="15">
        <v>0.5</v>
      </c>
      <c r="V405" s="10">
        <v>1</v>
      </c>
    </row>
    <row r="406" spans="1:22" ht="18" customHeight="1" x14ac:dyDescent="0.35">
      <c r="A406" s="10" t="s">
        <v>23</v>
      </c>
      <c r="B406" s="10" t="s">
        <v>3207</v>
      </c>
      <c r="C406" s="11" t="s">
        <v>2975</v>
      </c>
      <c r="D406" s="11" t="s">
        <v>24</v>
      </c>
      <c r="E406" s="12">
        <v>45912.643113425926</v>
      </c>
      <c r="F406" s="10" t="str">
        <f>TEXT(events[[#This Row],[Start Date]],"DDD")</f>
        <v>Fri</v>
      </c>
      <c r="G406" s="10">
        <f>YEAR(events[[#This Row],[Start Date]])</f>
        <v>2025</v>
      </c>
      <c r="H406" s="10" t="str">
        <f>TEXT(events[[#This Row],[Start Date]],"mmm")</f>
        <v>Sep</v>
      </c>
      <c r="I406" s="10" t="str">
        <f>CONCATENATE("WK_",WEEKNUM(events[[#This Row],[Start Date]]))</f>
        <v>WK_37</v>
      </c>
      <c r="J406" s="12">
        <v>45912.643171296295</v>
      </c>
      <c r="K406" s="10">
        <v>32</v>
      </c>
      <c r="L406" s="10" t="s">
        <v>25</v>
      </c>
      <c r="M406" s="10" t="s">
        <v>431</v>
      </c>
      <c r="N406" s="13">
        <f t="shared" si="6"/>
        <v>8.3333333333333329E-2</v>
      </c>
      <c r="O406" s="14" t="s">
        <v>92</v>
      </c>
      <c r="P406" s="14" t="s">
        <v>92</v>
      </c>
      <c r="Q406" s="14"/>
      <c r="R406" s="14"/>
      <c r="S406" s="14" t="s">
        <v>1771</v>
      </c>
      <c r="T406" s="14" t="s">
        <v>1772</v>
      </c>
      <c r="U406" s="15">
        <v>0.125</v>
      </c>
      <c r="V406" s="10">
        <v>1</v>
      </c>
    </row>
    <row r="407" spans="1:22" ht="18" customHeight="1" x14ac:dyDescent="0.35">
      <c r="A407" s="10" t="s">
        <v>123</v>
      </c>
      <c r="B407" s="10" t="s">
        <v>3286</v>
      </c>
      <c r="C407" s="11" t="s">
        <v>3070</v>
      </c>
      <c r="D407" s="11" t="s">
        <v>74</v>
      </c>
      <c r="E407" s="12">
        <v>45912.324965277781</v>
      </c>
      <c r="F407" s="10" t="str">
        <f>TEXT(events[[#This Row],[Start Date]],"DDD")</f>
        <v>Fri</v>
      </c>
      <c r="G407" s="10">
        <f>YEAR(events[[#This Row],[Start Date]])</f>
        <v>2025</v>
      </c>
      <c r="H407" s="10" t="str">
        <f>TEXT(events[[#This Row],[Start Date]],"mmm")</f>
        <v>Sep</v>
      </c>
      <c r="I407" s="10" t="str">
        <f>CONCATENATE("WK_",WEEKNUM(events[[#This Row],[Start Date]]))</f>
        <v>WK_37</v>
      </c>
      <c r="J407" s="12">
        <v>45912.326874999999</v>
      </c>
      <c r="K407" s="10">
        <v>88</v>
      </c>
      <c r="L407" s="10" t="s">
        <v>25</v>
      </c>
      <c r="M407" s="10" t="s">
        <v>1203</v>
      </c>
      <c r="N407" s="13">
        <f t="shared" si="6"/>
        <v>2.7333333333333334</v>
      </c>
      <c r="O407" s="14"/>
      <c r="P407" s="14"/>
      <c r="Q407" s="14"/>
      <c r="R407" s="14"/>
      <c r="S407" s="14" t="s">
        <v>1806</v>
      </c>
      <c r="T407" s="14" t="s">
        <v>1807</v>
      </c>
      <c r="U407" s="15">
        <v>3.9</v>
      </c>
      <c r="V407" s="10">
        <v>1</v>
      </c>
    </row>
    <row r="408" spans="1:22" ht="18" customHeight="1" x14ac:dyDescent="0.35">
      <c r="A408" s="10" t="s">
        <v>123</v>
      </c>
      <c r="B408" s="10" t="s">
        <v>3287</v>
      </c>
      <c r="C408" s="11" t="s">
        <v>3071</v>
      </c>
      <c r="D408" s="11" t="s">
        <v>74</v>
      </c>
      <c r="E408" s="12">
        <v>45911.754178240742</v>
      </c>
      <c r="F408" s="10" t="str">
        <f>TEXT(events[[#This Row],[Start Date]],"DDD")</f>
        <v>Thu</v>
      </c>
      <c r="G408" s="10">
        <f>YEAR(events[[#This Row],[Start Date]])</f>
        <v>2025</v>
      </c>
      <c r="H408" s="10" t="str">
        <f>TEXT(events[[#This Row],[Start Date]],"mmm")</f>
        <v>Sep</v>
      </c>
      <c r="I408" s="10" t="str">
        <f>CONCATENATE("WK_",WEEKNUM(events[[#This Row],[Start Date]]))</f>
        <v>WK_37</v>
      </c>
      <c r="J408" s="12">
        <v>45911.754340277781</v>
      </c>
      <c r="K408" s="10">
        <v>84</v>
      </c>
      <c r="L408" s="10" t="s">
        <v>25</v>
      </c>
      <c r="M408" s="10" t="s">
        <v>418</v>
      </c>
      <c r="N408" s="13">
        <f t="shared" si="6"/>
        <v>0.23333333333333334</v>
      </c>
      <c r="O408" s="14"/>
      <c r="P408" s="14"/>
      <c r="Q408" s="14"/>
      <c r="R408" s="14"/>
      <c r="S408" s="14" t="s">
        <v>1801</v>
      </c>
      <c r="T408" s="14" t="s">
        <v>1802</v>
      </c>
      <c r="U408" s="15">
        <v>0.4</v>
      </c>
      <c r="V408" s="10">
        <v>1</v>
      </c>
    </row>
    <row r="409" spans="1:22" ht="18" customHeight="1" x14ac:dyDescent="0.35">
      <c r="A409" s="10" t="s">
        <v>23</v>
      </c>
      <c r="B409" s="10" t="s">
        <v>3163</v>
      </c>
      <c r="C409" s="11" t="s">
        <v>2929</v>
      </c>
      <c r="D409" s="11" t="s">
        <v>24</v>
      </c>
      <c r="E409" s="12">
        <v>45911.407719907409</v>
      </c>
      <c r="F409" s="10" t="str">
        <f>TEXT(events[[#This Row],[Start Date]],"DDD")</f>
        <v>Thu</v>
      </c>
      <c r="G409" s="10">
        <f>YEAR(events[[#This Row],[Start Date]])</f>
        <v>2025</v>
      </c>
      <c r="H409" s="10" t="str">
        <f>TEXT(events[[#This Row],[Start Date]],"mmm")</f>
        <v>Sep</v>
      </c>
      <c r="I409" s="10" t="str">
        <f>CONCATENATE("WK_",WEEKNUM(events[[#This Row],[Start Date]]))</f>
        <v>WK_37</v>
      </c>
      <c r="J409" s="12">
        <v>45911.407812500001</v>
      </c>
      <c r="K409" s="10">
        <v>36</v>
      </c>
      <c r="L409" s="10" t="s">
        <v>25</v>
      </c>
      <c r="M409" s="10" t="s">
        <v>357</v>
      </c>
      <c r="N409" s="13">
        <f t="shared" si="6"/>
        <v>0.13333333333333333</v>
      </c>
      <c r="O409" s="14" t="s">
        <v>138</v>
      </c>
      <c r="P409" s="14" t="s">
        <v>138</v>
      </c>
      <c r="Q409" s="14"/>
      <c r="R409" s="14"/>
      <c r="S409" s="14" t="s">
        <v>1774</v>
      </c>
      <c r="T409" s="14" t="s">
        <v>1775</v>
      </c>
      <c r="U409" s="15">
        <v>9.3700000000000006E-2</v>
      </c>
      <c r="V409" s="10">
        <v>1</v>
      </c>
    </row>
    <row r="410" spans="1:22" ht="18" customHeight="1" x14ac:dyDescent="0.35">
      <c r="A410" s="10" t="s">
        <v>86</v>
      </c>
      <c r="B410" s="10" t="s">
        <v>3223</v>
      </c>
      <c r="C410" s="11" t="s">
        <v>2978</v>
      </c>
      <c r="D410" s="11" t="s">
        <v>24</v>
      </c>
      <c r="E410" s="12">
        <v>45910.770312499997</v>
      </c>
      <c r="F410" s="10" t="str">
        <f>TEXT(events[[#This Row],[Start Date]],"DDD")</f>
        <v>Wed</v>
      </c>
      <c r="G410" s="10">
        <f>YEAR(events[[#This Row],[Start Date]])</f>
        <v>2025</v>
      </c>
      <c r="H410" s="10" t="str">
        <f>TEXT(events[[#This Row],[Start Date]],"mmm")</f>
        <v>Sep</v>
      </c>
      <c r="I410" s="10" t="str">
        <f>CONCATENATE("WK_",WEEKNUM(events[[#This Row],[Start Date]]))</f>
        <v>WK_37</v>
      </c>
      <c r="J410" s="12">
        <v>45910.770312499997</v>
      </c>
      <c r="K410" s="10">
        <v>39</v>
      </c>
      <c r="L410" s="10" t="s">
        <v>25</v>
      </c>
      <c r="M410" s="10" t="s">
        <v>87</v>
      </c>
      <c r="N410" s="13">
        <f t="shared" si="6"/>
        <v>0</v>
      </c>
      <c r="O410" s="14" t="s">
        <v>142</v>
      </c>
      <c r="P410" s="14" t="s">
        <v>142</v>
      </c>
      <c r="Q410" s="14"/>
      <c r="R410" s="14"/>
      <c r="S410" s="14" t="s">
        <v>1825</v>
      </c>
      <c r="T410" s="14" t="s">
        <v>1825</v>
      </c>
      <c r="U410" s="15">
        <v>0</v>
      </c>
      <c r="V410" s="10">
        <v>1</v>
      </c>
    </row>
    <row r="411" spans="1:22" ht="18" customHeight="1" x14ac:dyDescent="0.35">
      <c r="A411" s="10" t="s">
        <v>86</v>
      </c>
      <c r="B411" s="10" t="s">
        <v>3224</v>
      </c>
      <c r="C411" s="11" t="s">
        <v>3054</v>
      </c>
      <c r="D411" s="11" t="s">
        <v>24</v>
      </c>
      <c r="E411" s="12">
        <v>45910.734768518516</v>
      </c>
      <c r="F411" s="10" t="str">
        <f>TEXT(events[[#This Row],[Start Date]],"DDD")</f>
        <v>Wed</v>
      </c>
      <c r="G411" s="10">
        <f>YEAR(events[[#This Row],[Start Date]])</f>
        <v>2025</v>
      </c>
      <c r="H411" s="10" t="str">
        <f>TEXT(events[[#This Row],[Start Date]],"mmm")</f>
        <v>Sep</v>
      </c>
      <c r="I411" s="10" t="str">
        <f>CONCATENATE("WK_",WEEKNUM(events[[#This Row],[Start Date]]))</f>
        <v>WK_37</v>
      </c>
      <c r="J411" s="12">
        <v>45910.734861111108</v>
      </c>
      <c r="K411" s="10">
        <v>35</v>
      </c>
      <c r="L411" s="10" t="s">
        <v>25</v>
      </c>
      <c r="M411" s="10" t="s">
        <v>357</v>
      </c>
      <c r="N411" s="13">
        <f t="shared" si="6"/>
        <v>0.13333333333333333</v>
      </c>
      <c r="O411" s="14" t="s">
        <v>92</v>
      </c>
      <c r="P411" s="14" t="s">
        <v>92</v>
      </c>
      <c r="Q411" s="14"/>
      <c r="R411" s="14"/>
      <c r="S411" s="14" t="s">
        <v>1850</v>
      </c>
      <c r="T411" s="14" t="s">
        <v>1851</v>
      </c>
      <c r="U411" s="15">
        <v>9.3799999999999994E-2</v>
      </c>
      <c r="V411" s="10">
        <v>1</v>
      </c>
    </row>
    <row r="412" spans="1:22" ht="18" customHeight="1" x14ac:dyDescent="0.35">
      <c r="A412" s="10" t="s">
        <v>47</v>
      </c>
      <c r="B412" s="10" t="s">
        <v>3222</v>
      </c>
      <c r="C412" s="11" t="s">
        <v>2991</v>
      </c>
      <c r="D412" s="11" t="s">
        <v>24</v>
      </c>
      <c r="E412" s="12">
        <v>45910.529305555552</v>
      </c>
      <c r="F412" s="10" t="str">
        <f>TEXT(events[[#This Row],[Start Date]],"DDD")</f>
        <v>Wed</v>
      </c>
      <c r="G412" s="10">
        <f>YEAR(events[[#This Row],[Start Date]])</f>
        <v>2025</v>
      </c>
      <c r="H412" s="10" t="str">
        <f>TEXT(events[[#This Row],[Start Date]],"mmm")</f>
        <v>Sep</v>
      </c>
      <c r="I412" s="10" t="str">
        <f>CONCATENATE("WK_",WEEKNUM(events[[#This Row],[Start Date]]))</f>
        <v>WK_37</v>
      </c>
      <c r="J412" s="12">
        <v>45910.529305555552</v>
      </c>
      <c r="K412" s="10">
        <v>31</v>
      </c>
      <c r="L412" s="10" t="s">
        <v>25</v>
      </c>
      <c r="M412" s="10" t="s">
        <v>87</v>
      </c>
      <c r="N412" s="13">
        <f t="shared" si="6"/>
        <v>0</v>
      </c>
      <c r="O412" s="14" t="s">
        <v>92</v>
      </c>
      <c r="P412" s="14" t="s">
        <v>92</v>
      </c>
      <c r="Q412" s="14"/>
      <c r="R412" s="14"/>
      <c r="S412" s="14" t="s">
        <v>1821</v>
      </c>
      <c r="T412" s="14" t="s">
        <v>1821</v>
      </c>
      <c r="U412" s="15">
        <v>0</v>
      </c>
      <c r="V412" s="10">
        <v>1</v>
      </c>
    </row>
    <row r="413" spans="1:22" ht="18" customHeight="1" x14ac:dyDescent="0.35">
      <c r="A413" s="10" t="s">
        <v>47</v>
      </c>
      <c r="B413" s="10" t="s">
        <v>3222</v>
      </c>
      <c r="C413" s="11" t="s">
        <v>2991</v>
      </c>
      <c r="D413" s="11" t="s">
        <v>74</v>
      </c>
      <c r="E413" s="12">
        <v>45910.528541666667</v>
      </c>
      <c r="F413" s="10" t="str">
        <f>TEXT(events[[#This Row],[Start Date]],"DDD")</f>
        <v>Wed</v>
      </c>
      <c r="G413" s="10">
        <f>YEAR(events[[#This Row],[Start Date]])</f>
        <v>2025</v>
      </c>
      <c r="H413" s="10" t="str">
        <f>TEXT(events[[#This Row],[Start Date]],"mmm")</f>
        <v>Sep</v>
      </c>
      <c r="I413" s="10" t="str">
        <f>CONCATENATE("WK_",WEEKNUM(events[[#This Row],[Start Date]]))</f>
        <v>WK_37</v>
      </c>
      <c r="J413" s="12">
        <v>45910.528541666667</v>
      </c>
      <c r="K413" s="10">
        <v>82</v>
      </c>
      <c r="L413" s="10" t="s">
        <v>25</v>
      </c>
      <c r="M413" s="10" t="s">
        <v>87</v>
      </c>
      <c r="N413" s="13">
        <f t="shared" si="6"/>
        <v>0</v>
      </c>
      <c r="O413" s="14" t="s">
        <v>92</v>
      </c>
      <c r="P413" s="14" t="s">
        <v>92</v>
      </c>
      <c r="Q413" s="14"/>
      <c r="R413" s="14"/>
      <c r="S413" s="14" t="s">
        <v>1822</v>
      </c>
      <c r="T413" s="14" t="s">
        <v>1822</v>
      </c>
      <c r="U413" s="15">
        <v>0</v>
      </c>
      <c r="V413" s="10">
        <v>1</v>
      </c>
    </row>
    <row r="414" spans="1:22" ht="18" customHeight="1" x14ac:dyDescent="0.35">
      <c r="A414" s="10" t="s">
        <v>86</v>
      </c>
      <c r="B414" s="10" t="s">
        <v>3171</v>
      </c>
      <c r="C414" s="11" t="s">
        <v>2952</v>
      </c>
      <c r="D414" s="11" t="s">
        <v>24</v>
      </c>
      <c r="E414" s="12">
        <v>45909.929606481484</v>
      </c>
      <c r="F414" s="10" t="str">
        <f>TEXT(events[[#This Row],[Start Date]],"DDD")</f>
        <v>Tue</v>
      </c>
      <c r="G414" s="10">
        <f>YEAR(events[[#This Row],[Start Date]])</f>
        <v>2025</v>
      </c>
      <c r="H414" s="10" t="str">
        <f>TEXT(events[[#This Row],[Start Date]],"mmm")</f>
        <v>Sep</v>
      </c>
      <c r="I414" s="10" t="str">
        <f>CONCATENATE("WK_",WEEKNUM(events[[#This Row],[Start Date]]))</f>
        <v>WK_37</v>
      </c>
      <c r="J414" s="12">
        <v>45909.9296412037</v>
      </c>
      <c r="K414" s="10">
        <v>35</v>
      </c>
      <c r="L414" s="10" t="s">
        <v>25</v>
      </c>
      <c r="M414" s="10" t="s">
        <v>75</v>
      </c>
      <c r="N414" s="13">
        <f t="shared" si="6"/>
        <v>0.05</v>
      </c>
      <c r="O414" s="14" t="s">
        <v>341</v>
      </c>
      <c r="P414" s="14" t="s">
        <v>341</v>
      </c>
      <c r="Q414" s="14"/>
      <c r="R414" s="14"/>
      <c r="S414" s="14" t="s">
        <v>1837</v>
      </c>
      <c r="T414" s="14" t="s">
        <v>1838</v>
      </c>
      <c r="U414" s="15">
        <v>0</v>
      </c>
      <c r="V414" s="10">
        <v>1</v>
      </c>
    </row>
    <row r="415" spans="1:22" ht="18" customHeight="1" x14ac:dyDescent="0.35">
      <c r="A415" s="10" t="s">
        <v>86</v>
      </c>
      <c r="B415" s="10" t="s">
        <v>3171</v>
      </c>
      <c r="C415" s="11" t="s">
        <v>2952</v>
      </c>
      <c r="D415" s="11" t="s">
        <v>24</v>
      </c>
      <c r="E415" s="12">
        <v>45909.845127314817</v>
      </c>
      <c r="F415" s="10" t="str">
        <f>TEXT(events[[#This Row],[Start Date]],"DDD")</f>
        <v>Tue</v>
      </c>
      <c r="G415" s="10">
        <f>YEAR(events[[#This Row],[Start Date]])</f>
        <v>2025</v>
      </c>
      <c r="H415" s="10" t="str">
        <f>TEXT(events[[#This Row],[Start Date]],"mmm")</f>
        <v>Sep</v>
      </c>
      <c r="I415" s="10" t="str">
        <f>CONCATENATE("WK_",WEEKNUM(events[[#This Row],[Start Date]]))</f>
        <v>WK_37</v>
      </c>
      <c r="J415" s="12">
        <v>45909.845219907409</v>
      </c>
      <c r="K415" s="10">
        <v>37</v>
      </c>
      <c r="L415" s="10" t="s">
        <v>25</v>
      </c>
      <c r="M415" s="10" t="s">
        <v>357</v>
      </c>
      <c r="N415" s="13">
        <f t="shared" si="6"/>
        <v>0.13333333333333333</v>
      </c>
      <c r="O415" s="14" t="s">
        <v>209</v>
      </c>
      <c r="P415" s="14" t="s">
        <v>209</v>
      </c>
      <c r="Q415" s="14"/>
      <c r="R415" s="14"/>
      <c r="S415" s="14" t="s">
        <v>1835</v>
      </c>
      <c r="T415" s="14" t="s">
        <v>1836</v>
      </c>
      <c r="U415" s="15">
        <v>9.3799999999999994E-2</v>
      </c>
      <c r="V415" s="10">
        <v>1</v>
      </c>
    </row>
    <row r="416" spans="1:22" ht="18" customHeight="1" x14ac:dyDescent="0.35">
      <c r="A416" s="10" t="s">
        <v>86</v>
      </c>
      <c r="B416" s="10" t="s">
        <v>3171</v>
      </c>
      <c r="C416" s="11" t="s">
        <v>2952</v>
      </c>
      <c r="D416" s="11" t="s">
        <v>24</v>
      </c>
      <c r="E416" s="12">
        <v>45909.83898148148</v>
      </c>
      <c r="F416" s="10" t="str">
        <f>TEXT(events[[#This Row],[Start Date]],"DDD")</f>
        <v>Tue</v>
      </c>
      <c r="G416" s="10">
        <f>YEAR(events[[#This Row],[Start Date]])</f>
        <v>2025</v>
      </c>
      <c r="H416" s="10" t="str">
        <f>TEXT(events[[#This Row],[Start Date]],"mmm")</f>
        <v>Sep</v>
      </c>
      <c r="I416" s="10" t="str">
        <f>CONCATENATE("WK_",WEEKNUM(events[[#This Row],[Start Date]]))</f>
        <v>WK_37</v>
      </c>
      <c r="J416" s="12">
        <v>45909.83898148148</v>
      </c>
      <c r="K416" s="10">
        <v>39</v>
      </c>
      <c r="L416" s="10" t="s">
        <v>25</v>
      </c>
      <c r="M416" s="10" t="s">
        <v>87</v>
      </c>
      <c r="N416" s="13">
        <f t="shared" si="6"/>
        <v>0</v>
      </c>
      <c r="O416" s="14" t="s">
        <v>209</v>
      </c>
      <c r="P416" s="14" t="s">
        <v>209</v>
      </c>
      <c r="Q416" s="14"/>
      <c r="R416" s="14"/>
      <c r="S416" s="14" t="s">
        <v>1834</v>
      </c>
      <c r="T416" s="14" t="s">
        <v>1834</v>
      </c>
      <c r="U416" s="15">
        <v>0</v>
      </c>
      <c r="V416" s="10">
        <v>1</v>
      </c>
    </row>
    <row r="417" spans="1:22" ht="18" customHeight="1" x14ac:dyDescent="0.35">
      <c r="A417" s="10" t="s">
        <v>23</v>
      </c>
      <c r="B417" s="10" t="s">
        <v>3196</v>
      </c>
      <c r="C417" s="11" t="s">
        <v>3072</v>
      </c>
      <c r="D417" s="11" t="s">
        <v>82</v>
      </c>
      <c r="E417" s="12">
        <v>45909.814027777778</v>
      </c>
      <c r="F417" s="10" t="str">
        <f>TEXT(events[[#This Row],[Start Date]],"DDD")</f>
        <v>Tue</v>
      </c>
      <c r="G417" s="10">
        <f>YEAR(events[[#This Row],[Start Date]])</f>
        <v>2025</v>
      </c>
      <c r="H417" s="10" t="str">
        <f>TEXT(events[[#This Row],[Start Date]],"mmm")</f>
        <v>Sep</v>
      </c>
      <c r="I417" s="10" t="str">
        <f>CONCATENATE("WK_",WEEKNUM(events[[#This Row],[Start Date]]))</f>
        <v>WK_37</v>
      </c>
      <c r="J417" s="12">
        <v>45909.814039351855</v>
      </c>
      <c r="K417" s="10">
        <v>24</v>
      </c>
      <c r="L417" s="10" t="s">
        <v>83</v>
      </c>
      <c r="M417" s="10" t="s">
        <v>26</v>
      </c>
      <c r="N417" s="13">
        <f t="shared" si="6"/>
        <v>1.6666666666666666E-2</v>
      </c>
      <c r="O417" s="14" t="s">
        <v>27</v>
      </c>
      <c r="P417" s="14"/>
      <c r="Q417" s="14"/>
      <c r="R417" s="14"/>
      <c r="S417" s="14" t="s">
        <v>1814</v>
      </c>
      <c r="T417" s="14"/>
      <c r="U417" s="15">
        <v>0</v>
      </c>
      <c r="V417" s="10">
        <v>1</v>
      </c>
    </row>
    <row r="418" spans="1:22" ht="18" customHeight="1" x14ac:dyDescent="0.35">
      <c r="A418" s="10" t="s">
        <v>86</v>
      </c>
      <c r="B418" s="10" t="s">
        <v>3171</v>
      </c>
      <c r="C418" s="11" t="s">
        <v>2952</v>
      </c>
      <c r="D418" s="11" t="s">
        <v>24</v>
      </c>
      <c r="E418" s="12">
        <v>45909.2184837963</v>
      </c>
      <c r="F418" s="10" t="str">
        <f>TEXT(events[[#This Row],[Start Date]],"DDD")</f>
        <v>Tue</v>
      </c>
      <c r="G418" s="10">
        <f>YEAR(events[[#This Row],[Start Date]])</f>
        <v>2025</v>
      </c>
      <c r="H418" s="10" t="str">
        <f>TEXT(events[[#This Row],[Start Date]],"mmm")</f>
        <v>Sep</v>
      </c>
      <c r="I418" s="10" t="str">
        <f>CONCATENATE("WK_",WEEKNUM(events[[#This Row],[Start Date]]))</f>
        <v>WK_37</v>
      </c>
      <c r="J418" s="12">
        <v>45909.218530092592</v>
      </c>
      <c r="K418" s="10">
        <v>40</v>
      </c>
      <c r="L418" s="10" t="s">
        <v>25</v>
      </c>
      <c r="M418" s="10" t="s">
        <v>275</v>
      </c>
      <c r="N418" s="13">
        <f t="shared" si="6"/>
        <v>6.6666666666666666E-2</v>
      </c>
      <c r="O418" s="14" t="s">
        <v>49</v>
      </c>
      <c r="P418" s="14" t="s">
        <v>49</v>
      </c>
      <c r="Q418" s="14"/>
      <c r="R418" s="14"/>
      <c r="S418" s="14" t="s">
        <v>1832</v>
      </c>
      <c r="T418" s="14" t="s">
        <v>1833</v>
      </c>
      <c r="U418" s="15">
        <v>9.3799999999999994E-2</v>
      </c>
      <c r="V418" s="10">
        <v>1</v>
      </c>
    </row>
    <row r="419" spans="1:22" ht="18" customHeight="1" x14ac:dyDescent="0.35">
      <c r="A419" s="10" t="s">
        <v>86</v>
      </c>
      <c r="B419" s="10" t="s">
        <v>3171</v>
      </c>
      <c r="C419" s="11" t="s">
        <v>2952</v>
      </c>
      <c r="D419" s="11" t="s">
        <v>24</v>
      </c>
      <c r="E419" s="12">
        <v>45908.811099537037</v>
      </c>
      <c r="F419" s="10" t="str">
        <f>TEXT(events[[#This Row],[Start Date]],"DDD")</f>
        <v>Mon</v>
      </c>
      <c r="G419" s="10">
        <f>YEAR(events[[#This Row],[Start Date]])</f>
        <v>2025</v>
      </c>
      <c r="H419" s="10" t="str">
        <f>TEXT(events[[#This Row],[Start Date]],"mmm")</f>
        <v>Sep</v>
      </c>
      <c r="I419" s="10" t="str">
        <f>CONCATENATE("WK_",WEEKNUM(events[[#This Row],[Start Date]]))</f>
        <v>WK_37</v>
      </c>
      <c r="J419" s="12">
        <v>45908.811099537037</v>
      </c>
      <c r="K419" s="10">
        <v>40</v>
      </c>
      <c r="L419" s="10" t="s">
        <v>25</v>
      </c>
      <c r="M419" s="10" t="s">
        <v>87</v>
      </c>
      <c r="N419" s="13">
        <f t="shared" si="6"/>
        <v>0</v>
      </c>
      <c r="O419" s="14" t="s">
        <v>50</v>
      </c>
      <c r="P419" s="14" t="s">
        <v>50</v>
      </c>
      <c r="Q419" s="14"/>
      <c r="R419" s="14"/>
      <c r="S419" s="14" t="s">
        <v>1831</v>
      </c>
      <c r="T419" s="14" t="s">
        <v>1831</v>
      </c>
      <c r="U419" s="15">
        <v>0</v>
      </c>
      <c r="V419" s="10">
        <v>1</v>
      </c>
    </row>
    <row r="420" spans="1:22" ht="18" customHeight="1" x14ac:dyDescent="0.35">
      <c r="A420" s="10" t="s">
        <v>86</v>
      </c>
      <c r="B420" s="10" t="s">
        <v>3236</v>
      </c>
      <c r="C420" s="11" t="s">
        <v>3003</v>
      </c>
      <c r="D420" s="11" t="s">
        <v>24</v>
      </c>
      <c r="E420" s="12">
        <v>45908.585358796299</v>
      </c>
      <c r="F420" s="10" t="str">
        <f>TEXT(events[[#This Row],[Start Date]],"DDD")</f>
        <v>Mon</v>
      </c>
      <c r="G420" s="10">
        <f>YEAR(events[[#This Row],[Start Date]])</f>
        <v>2025</v>
      </c>
      <c r="H420" s="10" t="str">
        <f>TEXT(events[[#This Row],[Start Date]],"mmm")</f>
        <v>Sep</v>
      </c>
      <c r="I420" s="10" t="str">
        <f>CONCATENATE("WK_",WEEKNUM(events[[#This Row],[Start Date]]))</f>
        <v>WK_37</v>
      </c>
      <c r="J420" s="12">
        <v>45908.585358796299</v>
      </c>
      <c r="K420" s="10">
        <v>38</v>
      </c>
      <c r="L420" s="10" t="s">
        <v>25</v>
      </c>
      <c r="M420" s="10" t="s">
        <v>87</v>
      </c>
      <c r="N420" s="13">
        <f t="shared" si="6"/>
        <v>0</v>
      </c>
      <c r="O420" s="14" t="s">
        <v>138</v>
      </c>
      <c r="P420" s="14" t="s">
        <v>138</v>
      </c>
      <c r="Q420" s="14"/>
      <c r="R420" s="14"/>
      <c r="S420" s="14" t="s">
        <v>1849</v>
      </c>
      <c r="T420" s="14" t="s">
        <v>1849</v>
      </c>
      <c r="U420" s="15">
        <v>0</v>
      </c>
      <c r="V420" s="10">
        <v>1</v>
      </c>
    </row>
    <row r="421" spans="1:22" ht="18" customHeight="1" x14ac:dyDescent="0.35">
      <c r="A421" s="10" t="s">
        <v>23</v>
      </c>
      <c r="B421" s="10" t="s">
        <v>3202</v>
      </c>
      <c r="C421" s="11" t="s">
        <v>3073</v>
      </c>
      <c r="D421" s="11" t="s">
        <v>82</v>
      </c>
      <c r="E421" s="12">
        <v>45908.557754629626</v>
      </c>
      <c r="F421" s="10" t="str">
        <f>TEXT(events[[#This Row],[Start Date]],"DDD")</f>
        <v>Mon</v>
      </c>
      <c r="G421" s="10">
        <f>YEAR(events[[#This Row],[Start Date]])</f>
        <v>2025</v>
      </c>
      <c r="H421" s="10" t="str">
        <f>TEXT(events[[#This Row],[Start Date]],"mmm")</f>
        <v>Sep</v>
      </c>
      <c r="I421" s="10" t="str">
        <f>CONCATENATE("WK_",WEEKNUM(events[[#This Row],[Start Date]]))</f>
        <v>WK_37</v>
      </c>
      <c r="J421" s="12">
        <v>45908.557766203703</v>
      </c>
      <c r="K421" s="10">
        <v>19</v>
      </c>
      <c r="L421" s="10" t="s">
        <v>83</v>
      </c>
      <c r="M421" s="10" t="s">
        <v>26</v>
      </c>
      <c r="N421" s="13">
        <f t="shared" si="6"/>
        <v>1.6666666666666666E-2</v>
      </c>
      <c r="O421" s="14" t="s">
        <v>458</v>
      </c>
      <c r="P421" s="14"/>
      <c r="Q421" s="14"/>
      <c r="R421" s="14"/>
      <c r="S421" s="14" t="s">
        <v>1818</v>
      </c>
      <c r="T421" s="14"/>
      <c r="U421" s="15">
        <v>0</v>
      </c>
      <c r="V421" s="10">
        <v>1</v>
      </c>
    </row>
    <row r="422" spans="1:22" ht="18" customHeight="1" x14ac:dyDescent="0.35">
      <c r="A422" s="10" t="s">
        <v>123</v>
      </c>
      <c r="B422" s="10" t="s">
        <v>3285</v>
      </c>
      <c r="C422" s="11" t="s">
        <v>3069</v>
      </c>
      <c r="D422" s="11" t="s">
        <v>74</v>
      </c>
      <c r="E422" s="12">
        <v>45908.271944444445</v>
      </c>
      <c r="F422" s="10" t="str">
        <f>TEXT(events[[#This Row],[Start Date]],"DDD")</f>
        <v>Mon</v>
      </c>
      <c r="G422" s="10">
        <f>YEAR(events[[#This Row],[Start Date]])</f>
        <v>2025</v>
      </c>
      <c r="H422" s="10" t="str">
        <f>TEXT(events[[#This Row],[Start Date]],"mmm")</f>
        <v>Sep</v>
      </c>
      <c r="I422" s="10" t="str">
        <f>CONCATENATE("WK_",WEEKNUM(events[[#This Row],[Start Date]]))</f>
        <v>WK_37</v>
      </c>
      <c r="J422" s="12">
        <v>45908.27275462963</v>
      </c>
      <c r="K422" s="10">
        <v>89</v>
      </c>
      <c r="L422" s="10" t="s">
        <v>83</v>
      </c>
      <c r="M422" s="10" t="s">
        <v>828</v>
      </c>
      <c r="N422" s="13">
        <f t="shared" si="6"/>
        <v>1.1666666666666667</v>
      </c>
      <c r="O422" s="14"/>
      <c r="P422" s="14"/>
      <c r="Q422" s="14"/>
      <c r="R422" s="14"/>
      <c r="S422" s="14" t="s">
        <v>1852</v>
      </c>
      <c r="T422" s="14" t="s">
        <v>1853</v>
      </c>
      <c r="U422" s="15">
        <v>2</v>
      </c>
      <c r="V422" s="10">
        <v>1</v>
      </c>
    </row>
    <row r="423" spans="1:22" ht="18" customHeight="1" x14ac:dyDescent="0.35">
      <c r="A423" s="10" t="s">
        <v>123</v>
      </c>
      <c r="B423" s="10" t="s">
        <v>3288</v>
      </c>
      <c r="C423" s="11" t="s">
        <v>3074</v>
      </c>
      <c r="D423" s="11" t="s">
        <v>74</v>
      </c>
      <c r="E423" s="12">
        <v>45907.627592592595</v>
      </c>
      <c r="F423" s="10" t="str">
        <f>TEXT(events[[#This Row],[Start Date]],"DDD")</f>
        <v>Sun</v>
      </c>
      <c r="G423" s="10">
        <f>YEAR(events[[#This Row],[Start Date]])</f>
        <v>2025</v>
      </c>
      <c r="H423" s="10" t="str">
        <f>TEXT(events[[#This Row],[Start Date]],"mmm")</f>
        <v>Sep</v>
      </c>
      <c r="I423" s="10" t="str">
        <f>CONCATENATE("WK_",WEEKNUM(events[[#This Row],[Start Date]]))</f>
        <v>WK_37</v>
      </c>
      <c r="J423" s="12">
        <v>45907.627766203703</v>
      </c>
      <c r="K423" s="10">
        <v>82</v>
      </c>
      <c r="L423" s="10" t="s">
        <v>83</v>
      </c>
      <c r="M423" s="10" t="s">
        <v>418</v>
      </c>
      <c r="N423" s="13">
        <f t="shared" si="6"/>
        <v>0.23333333333333334</v>
      </c>
      <c r="O423" s="14"/>
      <c r="P423" s="14"/>
      <c r="Q423" s="14"/>
      <c r="R423" s="14"/>
      <c r="S423" s="14" t="s">
        <v>1863</v>
      </c>
      <c r="T423" s="14" t="s">
        <v>1864</v>
      </c>
      <c r="U423" s="15">
        <v>0</v>
      </c>
      <c r="V423" s="10">
        <v>1</v>
      </c>
    </row>
    <row r="424" spans="1:22" ht="18" customHeight="1" x14ac:dyDescent="0.35">
      <c r="A424" s="10" t="s">
        <v>47</v>
      </c>
      <c r="B424" s="10" t="s">
        <v>3222</v>
      </c>
      <c r="C424" s="11" t="s">
        <v>2991</v>
      </c>
      <c r="D424" s="11" t="s">
        <v>24</v>
      </c>
      <c r="E424" s="12">
        <v>45907.474918981483</v>
      </c>
      <c r="F424" s="10" t="str">
        <f>TEXT(events[[#This Row],[Start Date]],"DDD")</f>
        <v>Sun</v>
      </c>
      <c r="G424" s="10">
        <f>YEAR(events[[#This Row],[Start Date]])</f>
        <v>2025</v>
      </c>
      <c r="H424" s="10" t="str">
        <f>TEXT(events[[#This Row],[Start Date]],"mmm")</f>
        <v>Sep</v>
      </c>
      <c r="I424" s="10" t="str">
        <f>CONCATENATE("WK_",WEEKNUM(events[[#This Row],[Start Date]]))</f>
        <v>WK_37</v>
      </c>
      <c r="J424" s="12">
        <v>45907.474976851852</v>
      </c>
      <c r="K424" s="10">
        <v>33</v>
      </c>
      <c r="L424" s="10" t="s">
        <v>25</v>
      </c>
      <c r="M424" s="10" t="s">
        <v>431</v>
      </c>
      <c r="N424" s="13">
        <f t="shared" si="6"/>
        <v>8.3333333333333329E-2</v>
      </c>
      <c r="O424" s="14" t="s">
        <v>92</v>
      </c>
      <c r="P424" s="14" t="s">
        <v>92</v>
      </c>
      <c r="Q424" s="14"/>
      <c r="R424" s="14"/>
      <c r="S424" s="14" t="s">
        <v>1819</v>
      </c>
      <c r="T424" s="14" t="s">
        <v>1820</v>
      </c>
      <c r="U424" s="15">
        <v>9.3799999999999994E-2</v>
      </c>
      <c r="V424" s="10">
        <v>1</v>
      </c>
    </row>
    <row r="425" spans="1:22" ht="18" customHeight="1" x14ac:dyDescent="0.35">
      <c r="A425" s="10" t="s">
        <v>23</v>
      </c>
      <c r="B425" s="10" t="s">
        <v>3174</v>
      </c>
      <c r="C425" s="11" t="s">
        <v>2941</v>
      </c>
      <c r="D425" s="11" t="s">
        <v>82</v>
      </c>
      <c r="E425" s="12">
        <v>45906.900150462963</v>
      </c>
      <c r="F425" s="10" t="str">
        <f>TEXT(events[[#This Row],[Start Date]],"DDD")</f>
        <v>Sat</v>
      </c>
      <c r="G425" s="10">
        <f>YEAR(events[[#This Row],[Start Date]])</f>
        <v>2025</v>
      </c>
      <c r="H425" s="10" t="str">
        <f>TEXT(events[[#This Row],[Start Date]],"mmm")</f>
        <v>Sep</v>
      </c>
      <c r="I425" s="10" t="str">
        <f>CONCATENATE("WK_",WEEKNUM(events[[#This Row],[Start Date]]))</f>
        <v>WK_36</v>
      </c>
      <c r="J425" s="12">
        <v>45906.90016203704</v>
      </c>
      <c r="K425" s="10">
        <v>29</v>
      </c>
      <c r="L425" s="10" t="s">
        <v>83</v>
      </c>
      <c r="M425" s="10" t="s">
        <v>26</v>
      </c>
      <c r="N425" s="13">
        <f t="shared" si="6"/>
        <v>1.6666666666666666E-2</v>
      </c>
      <c r="O425" s="14" t="s">
        <v>65</v>
      </c>
      <c r="P425" s="14"/>
      <c r="Q425" s="14"/>
      <c r="R425" s="14"/>
      <c r="S425" s="14" t="s">
        <v>1817</v>
      </c>
      <c r="T425" s="14"/>
      <c r="U425" s="15">
        <v>0</v>
      </c>
      <c r="V425" s="10">
        <v>1</v>
      </c>
    </row>
    <row r="426" spans="1:22" ht="18" customHeight="1" x14ac:dyDescent="0.35">
      <c r="A426" s="10" t="s">
        <v>86</v>
      </c>
      <c r="B426" s="10" t="s">
        <v>3213</v>
      </c>
      <c r="C426" s="11" t="s">
        <v>2956</v>
      </c>
      <c r="D426" s="11" t="s">
        <v>24</v>
      </c>
      <c r="E426" s="12">
        <v>45906.234548611108</v>
      </c>
      <c r="F426" s="10" t="str">
        <f>TEXT(events[[#This Row],[Start Date]],"DDD")</f>
        <v>Sat</v>
      </c>
      <c r="G426" s="10">
        <f>YEAR(events[[#This Row],[Start Date]])</f>
        <v>2025</v>
      </c>
      <c r="H426" s="10" t="str">
        <f>TEXT(events[[#This Row],[Start Date]],"mmm")</f>
        <v>Sep</v>
      </c>
      <c r="I426" s="10" t="str">
        <f>CONCATENATE("WK_",WEEKNUM(events[[#This Row],[Start Date]]))</f>
        <v>WK_36</v>
      </c>
      <c r="J426" s="12">
        <v>45906.23541666667</v>
      </c>
      <c r="K426" s="10">
        <v>38</v>
      </c>
      <c r="L426" s="10" t="s">
        <v>25</v>
      </c>
      <c r="M426" s="10" t="s">
        <v>1827</v>
      </c>
      <c r="N426" s="13">
        <f t="shared" si="6"/>
        <v>1.25</v>
      </c>
      <c r="O426" s="14" t="s">
        <v>1828</v>
      </c>
      <c r="P426" s="14" t="s">
        <v>1828</v>
      </c>
      <c r="Q426" s="14"/>
      <c r="R426" s="14"/>
      <c r="S426" s="14" t="s">
        <v>1829</v>
      </c>
      <c r="T426" s="14" t="s">
        <v>1830</v>
      </c>
      <c r="U426" s="15">
        <v>0.8125</v>
      </c>
      <c r="V426" s="10">
        <v>1</v>
      </c>
    </row>
    <row r="427" spans="1:22" ht="18" customHeight="1" x14ac:dyDescent="0.35">
      <c r="A427" s="10" t="s">
        <v>86</v>
      </c>
      <c r="B427" s="10" t="s">
        <v>3236</v>
      </c>
      <c r="C427" s="11" t="s">
        <v>3065</v>
      </c>
      <c r="D427" s="11" t="s">
        <v>24</v>
      </c>
      <c r="E427" s="12">
        <v>45905.848310185182</v>
      </c>
      <c r="F427" s="10" t="str">
        <f>TEXT(events[[#This Row],[Start Date]],"DDD")</f>
        <v>Fri</v>
      </c>
      <c r="G427" s="10">
        <f>YEAR(events[[#This Row],[Start Date]])</f>
        <v>2025</v>
      </c>
      <c r="H427" s="10" t="str">
        <f>TEXT(events[[#This Row],[Start Date]],"mmm")</f>
        <v>Sep</v>
      </c>
      <c r="I427" s="10" t="str">
        <f>CONCATENATE("WK_",WEEKNUM(events[[#This Row],[Start Date]]))</f>
        <v>WK_36</v>
      </c>
      <c r="J427" s="12">
        <v>45905.848379629628</v>
      </c>
      <c r="K427" s="10">
        <v>40</v>
      </c>
      <c r="L427" s="10" t="s">
        <v>25</v>
      </c>
      <c r="M427" s="10" t="s">
        <v>328</v>
      </c>
      <c r="N427" s="13">
        <f t="shared" si="6"/>
        <v>0.1</v>
      </c>
      <c r="O427" s="14" t="s">
        <v>65</v>
      </c>
      <c r="P427" s="14" t="s">
        <v>65</v>
      </c>
      <c r="Q427" s="14"/>
      <c r="R427" s="14"/>
      <c r="S427" s="14" t="s">
        <v>1847</v>
      </c>
      <c r="T427" s="14" t="s">
        <v>1848</v>
      </c>
      <c r="U427" s="15">
        <v>9.3700000000000006E-2</v>
      </c>
      <c r="V427" s="10">
        <v>1</v>
      </c>
    </row>
    <row r="428" spans="1:22" ht="18" customHeight="1" x14ac:dyDescent="0.35">
      <c r="A428" s="10" t="s">
        <v>86</v>
      </c>
      <c r="B428" s="10" t="s">
        <v>3236</v>
      </c>
      <c r="C428" s="11" t="s">
        <v>3065</v>
      </c>
      <c r="D428" s="11" t="s">
        <v>24</v>
      </c>
      <c r="E428" s="12">
        <v>45905.754907407405</v>
      </c>
      <c r="F428" s="10" t="str">
        <f>TEXT(events[[#This Row],[Start Date]],"DDD")</f>
        <v>Fri</v>
      </c>
      <c r="G428" s="10">
        <f>YEAR(events[[#This Row],[Start Date]])</f>
        <v>2025</v>
      </c>
      <c r="H428" s="10" t="str">
        <f>TEXT(events[[#This Row],[Start Date]],"mmm")</f>
        <v>Sep</v>
      </c>
      <c r="I428" s="10" t="str">
        <f>CONCATENATE("WK_",WEEKNUM(events[[#This Row],[Start Date]]))</f>
        <v>WK_36</v>
      </c>
      <c r="J428" s="12">
        <v>45905.754918981482</v>
      </c>
      <c r="K428" s="10">
        <v>36</v>
      </c>
      <c r="L428" s="10" t="s">
        <v>25</v>
      </c>
      <c r="M428" s="10" t="s">
        <v>26</v>
      </c>
      <c r="N428" s="13">
        <f t="shared" si="6"/>
        <v>1.6666666666666666E-2</v>
      </c>
      <c r="O428" s="14" t="s">
        <v>231</v>
      </c>
      <c r="P428" s="14" t="s">
        <v>231</v>
      </c>
      <c r="Q428" s="14"/>
      <c r="R428" s="14"/>
      <c r="S428" s="14" t="s">
        <v>1845</v>
      </c>
      <c r="T428" s="14" t="s">
        <v>1846</v>
      </c>
      <c r="U428" s="15">
        <v>0</v>
      </c>
      <c r="V428" s="10">
        <v>1</v>
      </c>
    </row>
    <row r="429" spans="1:22" ht="18" customHeight="1" x14ac:dyDescent="0.35">
      <c r="A429" s="10" t="s">
        <v>86</v>
      </c>
      <c r="B429" s="10" t="s">
        <v>3236</v>
      </c>
      <c r="C429" s="11" t="s">
        <v>3065</v>
      </c>
      <c r="D429" s="11" t="s">
        <v>24</v>
      </c>
      <c r="E429" s="12">
        <v>45905.751087962963</v>
      </c>
      <c r="F429" s="10" t="str">
        <f>TEXT(events[[#This Row],[Start Date]],"DDD")</f>
        <v>Fri</v>
      </c>
      <c r="G429" s="10">
        <f>YEAR(events[[#This Row],[Start Date]])</f>
        <v>2025</v>
      </c>
      <c r="H429" s="10" t="str">
        <f>TEXT(events[[#This Row],[Start Date]],"mmm")</f>
        <v>Sep</v>
      </c>
      <c r="I429" s="10" t="str">
        <f>CONCATENATE("WK_",WEEKNUM(events[[#This Row],[Start Date]]))</f>
        <v>WK_36</v>
      </c>
      <c r="J429" s="12">
        <v>45905.751238425924</v>
      </c>
      <c r="K429" s="10">
        <v>40</v>
      </c>
      <c r="L429" s="10" t="s">
        <v>25</v>
      </c>
      <c r="M429" s="10" t="s">
        <v>167</v>
      </c>
      <c r="N429" s="13">
        <f t="shared" si="6"/>
        <v>0.21666666666666667</v>
      </c>
      <c r="O429" s="14" t="s">
        <v>231</v>
      </c>
      <c r="P429" s="14" t="s">
        <v>231</v>
      </c>
      <c r="Q429" s="14"/>
      <c r="R429" s="14"/>
      <c r="S429" s="14" t="s">
        <v>1843</v>
      </c>
      <c r="T429" s="14" t="s">
        <v>1844</v>
      </c>
      <c r="U429" s="15">
        <v>0.21870000000000001</v>
      </c>
      <c r="V429" s="10">
        <v>1</v>
      </c>
    </row>
    <row r="430" spans="1:22" ht="18" customHeight="1" x14ac:dyDescent="0.35">
      <c r="A430" s="10" t="s">
        <v>86</v>
      </c>
      <c r="B430" s="10" t="s">
        <v>3236</v>
      </c>
      <c r="C430" s="11" t="s">
        <v>3065</v>
      </c>
      <c r="D430" s="11" t="s">
        <v>24</v>
      </c>
      <c r="E430" s="12">
        <v>45905.7419212963</v>
      </c>
      <c r="F430" s="10" t="str">
        <f>TEXT(events[[#This Row],[Start Date]],"DDD")</f>
        <v>Fri</v>
      </c>
      <c r="G430" s="10">
        <f>YEAR(events[[#This Row],[Start Date]])</f>
        <v>2025</v>
      </c>
      <c r="H430" s="10" t="str">
        <f>TEXT(events[[#This Row],[Start Date]],"mmm")</f>
        <v>Sep</v>
      </c>
      <c r="I430" s="10" t="str">
        <f>CONCATENATE("WK_",WEEKNUM(events[[#This Row],[Start Date]]))</f>
        <v>WK_36</v>
      </c>
      <c r="J430" s="12">
        <v>45905.741990740738</v>
      </c>
      <c r="K430" s="10">
        <v>40</v>
      </c>
      <c r="L430" s="10" t="s">
        <v>25</v>
      </c>
      <c r="M430" s="10" t="s">
        <v>328</v>
      </c>
      <c r="N430" s="13">
        <f t="shared" si="6"/>
        <v>0.1</v>
      </c>
      <c r="O430" s="14" t="s">
        <v>231</v>
      </c>
      <c r="P430" s="14" t="s">
        <v>231</v>
      </c>
      <c r="Q430" s="14"/>
      <c r="R430" s="14"/>
      <c r="S430" s="14" t="s">
        <v>1841</v>
      </c>
      <c r="T430" s="14" t="s">
        <v>1842</v>
      </c>
      <c r="U430" s="15">
        <v>0.125</v>
      </c>
      <c r="V430" s="10">
        <v>1</v>
      </c>
    </row>
    <row r="431" spans="1:22" ht="18" customHeight="1" x14ac:dyDescent="0.35">
      <c r="A431" s="10" t="s">
        <v>86</v>
      </c>
      <c r="B431" s="10" t="s">
        <v>3236</v>
      </c>
      <c r="C431" s="11" t="s">
        <v>3065</v>
      </c>
      <c r="D431" s="11" t="s">
        <v>24</v>
      </c>
      <c r="E431" s="12">
        <v>45905.72792824074</v>
      </c>
      <c r="F431" s="10" t="str">
        <f>TEXT(events[[#This Row],[Start Date]],"DDD")</f>
        <v>Fri</v>
      </c>
      <c r="G431" s="10">
        <f>YEAR(events[[#This Row],[Start Date]])</f>
        <v>2025</v>
      </c>
      <c r="H431" s="10" t="str">
        <f>TEXT(events[[#This Row],[Start Date]],"mmm")</f>
        <v>Sep</v>
      </c>
      <c r="I431" s="10" t="str">
        <f>CONCATENATE("WK_",WEEKNUM(events[[#This Row],[Start Date]]))</f>
        <v>WK_36</v>
      </c>
      <c r="J431" s="12">
        <v>45905.728009259263</v>
      </c>
      <c r="K431" s="10">
        <v>40</v>
      </c>
      <c r="L431" s="10" t="s">
        <v>25</v>
      </c>
      <c r="M431" s="10" t="s">
        <v>115</v>
      </c>
      <c r="N431" s="13">
        <f t="shared" si="6"/>
        <v>0.11666666666666667</v>
      </c>
      <c r="O431" s="14" t="s">
        <v>231</v>
      </c>
      <c r="P431" s="14" t="s">
        <v>231</v>
      </c>
      <c r="Q431" s="14"/>
      <c r="R431" s="14"/>
      <c r="S431" s="14" t="s">
        <v>1839</v>
      </c>
      <c r="T431" s="14" t="s">
        <v>1840</v>
      </c>
      <c r="U431" s="15">
        <v>0.125</v>
      </c>
      <c r="V431" s="10">
        <v>1</v>
      </c>
    </row>
    <row r="432" spans="1:22" ht="18" customHeight="1" x14ac:dyDescent="0.35">
      <c r="A432" s="10" t="s">
        <v>23</v>
      </c>
      <c r="B432" s="10" t="s">
        <v>3163</v>
      </c>
      <c r="C432" s="11" t="s">
        <v>2929</v>
      </c>
      <c r="D432" s="11" t="s">
        <v>678</v>
      </c>
      <c r="E432" s="12">
        <v>45905.583912037036</v>
      </c>
      <c r="F432" s="10" t="str">
        <f>TEXT(events[[#This Row],[Start Date]],"DDD")</f>
        <v>Fri</v>
      </c>
      <c r="G432" s="10">
        <f>YEAR(events[[#This Row],[Start Date]])</f>
        <v>2025</v>
      </c>
      <c r="H432" s="10" t="str">
        <f>TEXT(events[[#This Row],[Start Date]],"mmm")</f>
        <v>Sep</v>
      </c>
      <c r="I432" s="10" t="str">
        <f>CONCATENATE("WK_",WEEKNUM(events[[#This Row],[Start Date]]))</f>
        <v>WK_36</v>
      </c>
      <c r="J432" s="12">
        <v>45905.583923611113</v>
      </c>
      <c r="K432" s="10">
        <v>11</v>
      </c>
      <c r="L432" s="10" t="s">
        <v>83</v>
      </c>
      <c r="M432" s="10" t="s">
        <v>26</v>
      </c>
      <c r="N432" s="13">
        <f t="shared" si="6"/>
        <v>1.6666666666666666E-2</v>
      </c>
      <c r="O432" s="14" t="s">
        <v>138</v>
      </c>
      <c r="P432" s="14"/>
      <c r="Q432" s="14" t="s">
        <v>1812</v>
      </c>
      <c r="R432" s="14"/>
      <c r="S432" s="14" t="s">
        <v>1813</v>
      </c>
      <c r="T432" s="14"/>
      <c r="U432" s="15">
        <v>0</v>
      </c>
      <c r="V432" s="10">
        <v>1</v>
      </c>
    </row>
    <row r="433" spans="1:22" ht="18" customHeight="1" x14ac:dyDescent="0.35">
      <c r="A433" s="10" t="s">
        <v>86</v>
      </c>
      <c r="B433" s="10" t="s">
        <v>3213</v>
      </c>
      <c r="C433" s="11" t="s">
        <v>2956</v>
      </c>
      <c r="D433" s="11" t="s">
        <v>24</v>
      </c>
      <c r="E433" s="12">
        <v>45905.524467592593</v>
      </c>
      <c r="F433" s="10" t="str">
        <f>TEXT(events[[#This Row],[Start Date]],"DDD")</f>
        <v>Fri</v>
      </c>
      <c r="G433" s="10">
        <f>YEAR(events[[#This Row],[Start Date]])</f>
        <v>2025</v>
      </c>
      <c r="H433" s="10" t="str">
        <f>TEXT(events[[#This Row],[Start Date]],"mmm")</f>
        <v>Sep</v>
      </c>
      <c r="I433" s="10" t="str">
        <f>CONCATENATE("WK_",WEEKNUM(events[[#This Row],[Start Date]]))</f>
        <v>WK_36</v>
      </c>
      <c r="J433" s="12">
        <v>45905.524467592593</v>
      </c>
      <c r="K433" s="10">
        <v>31</v>
      </c>
      <c r="L433" s="10" t="s">
        <v>25</v>
      </c>
      <c r="M433" s="10" t="s">
        <v>87</v>
      </c>
      <c r="N433" s="13">
        <f t="shared" si="6"/>
        <v>0</v>
      </c>
      <c r="O433" s="14" t="s">
        <v>92</v>
      </c>
      <c r="P433" s="14" t="s">
        <v>92</v>
      </c>
      <c r="Q433" s="14" t="s">
        <v>93</v>
      </c>
      <c r="R433" s="14" t="s">
        <v>93</v>
      </c>
      <c r="S433" s="14" t="s">
        <v>1826</v>
      </c>
      <c r="T433" s="14" t="s">
        <v>1826</v>
      </c>
      <c r="U433" s="15">
        <v>0</v>
      </c>
      <c r="V433" s="10">
        <v>1</v>
      </c>
    </row>
    <row r="434" spans="1:22" ht="18" customHeight="1" x14ac:dyDescent="0.35">
      <c r="A434" s="10" t="s">
        <v>123</v>
      </c>
      <c r="B434" s="10" t="s">
        <v>3289</v>
      </c>
      <c r="C434" s="11" t="s">
        <v>3075</v>
      </c>
      <c r="D434" s="11" t="s">
        <v>74</v>
      </c>
      <c r="E434" s="12">
        <v>45905.441840277781</v>
      </c>
      <c r="F434" s="10" t="str">
        <f>TEXT(events[[#This Row],[Start Date]],"DDD")</f>
        <v>Fri</v>
      </c>
      <c r="G434" s="10">
        <f>YEAR(events[[#This Row],[Start Date]])</f>
        <v>2025</v>
      </c>
      <c r="H434" s="10" t="str">
        <f>TEXT(events[[#This Row],[Start Date]],"mmm")</f>
        <v>Sep</v>
      </c>
      <c r="I434" s="10" t="str">
        <f>CONCATENATE("WK_",WEEKNUM(events[[#This Row],[Start Date]]))</f>
        <v>WK_36</v>
      </c>
      <c r="J434" s="12">
        <v>45905.442546296297</v>
      </c>
      <c r="K434" s="10">
        <v>91</v>
      </c>
      <c r="L434" s="10" t="s">
        <v>83</v>
      </c>
      <c r="M434" s="10" t="s">
        <v>177</v>
      </c>
      <c r="N434" s="13">
        <f t="shared" si="6"/>
        <v>1</v>
      </c>
      <c r="O434" s="14"/>
      <c r="P434" s="14"/>
      <c r="Q434" s="14"/>
      <c r="R434" s="14"/>
      <c r="S434" s="14" t="s">
        <v>910</v>
      </c>
      <c r="T434" s="14" t="s">
        <v>1865</v>
      </c>
      <c r="U434" s="15">
        <v>2</v>
      </c>
      <c r="V434" s="10">
        <v>1</v>
      </c>
    </row>
    <row r="435" spans="1:22" ht="18" customHeight="1" x14ac:dyDescent="0.35">
      <c r="A435" s="10" t="s">
        <v>23</v>
      </c>
      <c r="B435" s="10" t="s">
        <v>3196</v>
      </c>
      <c r="C435" s="11" t="s">
        <v>3072</v>
      </c>
      <c r="D435" s="11" t="s">
        <v>74</v>
      </c>
      <c r="E435" s="12">
        <v>45905.386192129627</v>
      </c>
      <c r="F435" s="10" t="str">
        <f>TEXT(events[[#This Row],[Start Date]],"DDD")</f>
        <v>Fri</v>
      </c>
      <c r="G435" s="10">
        <f>YEAR(events[[#This Row],[Start Date]])</f>
        <v>2025</v>
      </c>
      <c r="H435" s="10" t="str">
        <f>TEXT(events[[#This Row],[Start Date]],"mmm")</f>
        <v>Sep</v>
      </c>
      <c r="I435" s="10" t="str">
        <f>CONCATENATE("WK_",WEEKNUM(events[[#This Row],[Start Date]]))</f>
        <v>WK_36</v>
      </c>
      <c r="J435" s="12">
        <v>45905.386261574073</v>
      </c>
      <c r="K435" s="10">
        <v>87</v>
      </c>
      <c r="L435" s="10" t="s">
        <v>25</v>
      </c>
      <c r="M435" s="10" t="s">
        <v>328</v>
      </c>
      <c r="N435" s="13">
        <f t="shared" si="6"/>
        <v>0.1</v>
      </c>
      <c r="O435" s="14" t="s">
        <v>378</v>
      </c>
      <c r="P435" s="14" t="s">
        <v>378</v>
      </c>
      <c r="Q435" s="14"/>
      <c r="R435" s="14"/>
      <c r="S435" s="14" t="s">
        <v>1815</v>
      </c>
      <c r="T435" s="14" t="s">
        <v>1816</v>
      </c>
      <c r="U435" s="15">
        <v>0.1875</v>
      </c>
      <c r="V435" s="10">
        <v>1</v>
      </c>
    </row>
    <row r="436" spans="1:22" ht="18" customHeight="1" x14ac:dyDescent="0.35">
      <c r="A436" s="10" t="s">
        <v>86</v>
      </c>
      <c r="B436" s="10" t="s">
        <v>3223</v>
      </c>
      <c r="C436" s="11" t="s">
        <v>2978</v>
      </c>
      <c r="D436" s="11" t="s">
        <v>24</v>
      </c>
      <c r="E436" s="12">
        <v>45904.824074074073</v>
      </c>
      <c r="F436" s="10" t="str">
        <f>TEXT(events[[#This Row],[Start Date]],"DDD")</f>
        <v>Thu</v>
      </c>
      <c r="G436" s="10">
        <f>YEAR(events[[#This Row],[Start Date]])</f>
        <v>2025</v>
      </c>
      <c r="H436" s="10" t="str">
        <f>TEXT(events[[#This Row],[Start Date]],"mmm")</f>
        <v>Sep</v>
      </c>
      <c r="I436" s="10" t="str">
        <f>CONCATENATE("WK_",WEEKNUM(events[[#This Row],[Start Date]]))</f>
        <v>WK_36</v>
      </c>
      <c r="J436" s="12">
        <v>45904.824108796296</v>
      </c>
      <c r="K436" s="10">
        <v>37</v>
      </c>
      <c r="L436" s="10" t="s">
        <v>25</v>
      </c>
      <c r="M436" s="10" t="s">
        <v>75</v>
      </c>
      <c r="N436" s="13">
        <f t="shared" si="6"/>
        <v>0.05</v>
      </c>
      <c r="O436" s="14" t="s">
        <v>92</v>
      </c>
      <c r="P436" s="14" t="s">
        <v>92</v>
      </c>
      <c r="Q436" s="14"/>
      <c r="R436" s="14"/>
      <c r="S436" s="14" t="s">
        <v>1823</v>
      </c>
      <c r="T436" s="14" t="s">
        <v>1824</v>
      </c>
      <c r="U436" s="15">
        <v>0</v>
      </c>
      <c r="V436" s="10">
        <v>1</v>
      </c>
    </row>
    <row r="437" spans="1:22" ht="18" customHeight="1" x14ac:dyDescent="0.35">
      <c r="A437" s="10" t="s">
        <v>123</v>
      </c>
      <c r="B437" s="10" t="s">
        <v>3290</v>
      </c>
      <c r="C437" s="11" t="s">
        <v>3076</v>
      </c>
      <c r="D437" s="11" t="s">
        <v>74</v>
      </c>
      <c r="E437" s="12">
        <v>45904.708657407406</v>
      </c>
      <c r="F437" s="10" t="str">
        <f>TEXT(events[[#This Row],[Start Date]],"DDD")</f>
        <v>Thu</v>
      </c>
      <c r="G437" s="10">
        <f>YEAR(events[[#This Row],[Start Date]])</f>
        <v>2025</v>
      </c>
      <c r="H437" s="10" t="str">
        <f>TEXT(events[[#This Row],[Start Date]],"mmm")</f>
        <v>Sep</v>
      </c>
      <c r="I437" s="10" t="str">
        <f>CONCATENATE("WK_",WEEKNUM(events[[#This Row],[Start Date]]))</f>
        <v>WK_36</v>
      </c>
      <c r="J437" s="12">
        <v>45904.709050925929</v>
      </c>
      <c r="K437" s="10">
        <v>94</v>
      </c>
      <c r="L437" s="10" t="s">
        <v>83</v>
      </c>
      <c r="M437" s="10" t="s">
        <v>543</v>
      </c>
      <c r="N437" s="13">
        <f t="shared" si="6"/>
        <v>0.55000000000000004</v>
      </c>
      <c r="O437" s="14"/>
      <c r="P437" s="14"/>
      <c r="Q437" s="14"/>
      <c r="R437" s="14"/>
      <c r="S437" s="14" t="s">
        <v>1861</v>
      </c>
      <c r="T437" s="14" t="s">
        <v>1862</v>
      </c>
      <c r="U437" s="15">
        <v>1</v>
      </c>
      <c r="V437" s="10">
        <v>1</v>
      </c>
    </row>
    <row r="438" spans="1:22" ht="18" customHeight="1" x14ac:dyDescent="0.35">
      <c r="A438" s="10" t="s">
        <v>123</v>
      </c>
      <c r="B438" s="10" t="s">
        <v>3291</v>
      </c>
      <c r="C438" s="11" t="s">
        <v>3077</v>
      </c>
      <c r="D438" s="11" t="s">
        <v>74</v>
      </c>
      <c r="E438" s="12">
        <v>45904.511041666665</v>
      </c>
      <c r="F438" s="10" t="str">
        <f>TEXT(events[[#This Row],[Start Date]],"DDD")</f>
        <v>Thu</v>
      </c>
      <c r="G438" s="10">
        <f>YEAR(events[[#This Row],[Start Date]])</f>
        <v>2025</v>
      </c>
      <c r="H438" s="10" t="str">
        <f>TEXT(events[[#This Row],[Start Date]],"mmm")</f>
        <v>Sep</v>
      </c>
      <c r="I438" s="10" t="str">
        <f>CONCATENATE("WK_",WEEKNUM(events[[#This Row],[Start Date]]))</f>
        <v>WK_36</v>
      </c>
      <c r="J438" s="12">
        <v>45904.511712962965</v>
      </c>
      <c r="K438" s="10">
        <v>102</v>
      </c>
      <c r="L438" s="10" t="s">
        <v>83</v>
      </c>
      <c r="M438" s="10" t="s">
        <v>1290</v>
      </c>
      <c r="N438" s="13">
        <f t="shared" si="6"/>
        <v>0.95</v>
      </c>
      <c r="O438" s="14"/>
      <c r="P438" s="14"/>
      <c r="Q438" s="14"/>
      <c r="R438" s="14"/>
      <c r="S438" s="14" t="s">
        <v>1859</v>
      </c>
      <c r="T438" s="14" t="s">
        <v>1860</v>
      </c>
      <c r="U438" s="15">
        <v>2</v>
      </c>
      <c r="V438" s="10">
        <v>1</v>
      </c>
    </row>
    <row r="439" spans="1:22" ht="18" customHeight="1" x14ac:dyDescent="0.35">
      <c r="A439" s="10" t="s">
        <v>123</v>
      </c>
      <c r="B439" s="10" t="s">
        <v>3291</v>
      </c>
      <c r="C439" s="11" t="s">
        <v>3077</v>
      </c>
      <c r="D439" s="11" t="s">
        <v>74</v>
      </c>
      <c r="E439" s="12">
        <v>45904.348263888889</v>
      </c>
      <c r="F439" s="10" t="str">
        <f>TEXT(events[[#This Row],[Start Date]],"DDD")</f>
        <v>Thu</v>
      </c>
      <c r="G439" s="10">
        <f>YEAR(events[[#This Row],[Start Date]])</f>
        <v>2025</v>
      </c>
      <c r="H439" s="10" t="str">
        <f>TEXT(events[[#This Row],[Start Date]],"mmm")</f>
        <v>Sep</v>
      </c>
      <c r="I439" s="10" t="str">
        <f>CONCATENATE("WK_",WEEKNUM(events[[#This Row],[Start Date]]))</f>
        <v>WK_36</v>
      </c>
      <c r="J439" s="12">
        <v>45904.349074074074</v>
      </c>
      <c r="K439" s="10">
        <v>97</v>
      </c>
      <c r="L439" s="10" t="s">
        <v>83</v>
      </c>
      <c r="M439" s="10" t="s">
        <v>828</v>
      </c>
      <c r="N439" s="13">
        <f t="shared" si="6"/>
        <v>1.1666666666666667</v>
      </c>
      <c r="O439" s="14"/>
      <c r="P439" s="14"/>
      <c r="Q439" s="14"/>
      <c r="R439" s="14"/>
      <c r="S439" s="14" t="s">
        <v>1856</v>
      </c>
      <c r="T439" s="14" t="s">
        <v>1857</v>
      </c>
      <c r="U439" s="15">
        <v>2</v>
      </c>
      <c r="V439" s="10">
        <v>1</v>
      </c>
    </row>
    <row r="440" spans="1:22" ht="18" customHeight="1" x14ac:dyDescent="0.35">
      <c r="A440" s="10" t="s">
        <v>123</v>
      </c>
      <c r="B440" s="10" t="s">
        <v>3291</v>
      </c>
      <c r="C440" s="11" t="s">
        <v>3077</v>
      </c>
      <c r="D440" s="11" t="s">
        <v>74</v>
      </c>
      <c r="E440" s="12">
        <v>45904.040613425925</v>
      </c>
      <c r="F440" s="10" t="str">
        <f>TEXT(events[[#This Row],[Start Date]],"DDD")</f>
        <v>Thu</v>
      </c>
      <c r="G440" s="10">
        <f>YEAR(events[[#This Row],[Start Date]])</f>
        <v>2025</v>
      </c>
      <c r="H440" s="10" t="str">
        <f>TEXT(events[[#This Row],[Start Date]],"mmm")</f>
        <v>Sep</v>
      </c>
      <c r="I440" s="10" t="str">
        <f>CONCATENATE("WK_",WEEKNUM(events[[#This Row],[Start Date]]))</f>
        <v>WK_36</v>
      </c>
      <c r="J440" s="12">
        <v>45904.041886574072</v>
      </c>
      <c r="K440" s="10">
        <v>109</v>
      </c>
      <c r="L440" s="10" t="s">
        <v>83</v>
      </c>
      <c r="M440" s="10" t="s">
        <v>494</v>
      </c>
      <c r="N440" s="13">
        <f t="shared" si="6"/>
        <v>1.8333333333333335</v>
      </c>
      <c r="O440" s="14"/>
      <c r="P440" s="14"/>
      <c r="Q440" s="14"/>
      <c r="R440" s="14"/>
      <c r="S440" s="14" t="s">
        <v>1854</v>
      </c>
      <c r="T440" s="14" t="s">
        <v>1855</v>
      </c>
      <c r="U440" s="15">
        <v>3</v>
      </c>
      <c r="V440" s="10">
        <v>1</v>
      </c>
    </row>
    <row r="441" spans="1:22" ht="18" customHeight="1" x14ac:dyDescent="0.35">
      <c r="A441" s="10" t="s">
        <v>47</v>
      </c>
      <c r="B441" s="10" t="s">
        <v>3292</v>
      </c>
      <c r="C441" s="11" t="s">
        <v>3078</v>
      </c>
      <c r="D441" s="11" t="s">
        <v>24</v>
      </c>
      <c r="E441" s="12">
        <v>45903.828182870369</v>
      </c>
      <c r="F441" s="10" t="str">
        <f>TEXT(events[[#This Row],[Start Date]],"DDD")</f>
        <v>Wed</v>
      </c>
      <c r="G441" s="10">
        <f>YEAR(events[[#This Row],[Start Date]])</f>
        <v>2025</v>
      </c>
      <c r="H441" s="10" t="str">
        <f>TEXT(events[[#This Row],[Start Date]],"mmm")</f>
        <v>Sep</v>
      </c>
      <c r="I441" s="10" t="str">
        <f>CONCATENATE("WK_",WEEKNUM(events[[#This Row],[Start Date]]))</f>
        <v>WK_36</v>
      </c>
      <c r="J441" s="12">
        <v>45903.828194444446</v>
      </c>
      <c r="K441" s="10">
        <v>51</v>
      </c>
      <c r="L441" s="10" t="s">
        <v>25</v>
      </c>
      <c r="M441" s="10" t="s">
        <v>26</v>
      </c>
      <c r="N441" s="13">
        <f t="shared" si="6"/>
        <v>1.6666666666666666E-2</v>
      </c>
      <c r="O441" s="14" t="s">
        <v>92</v>
      </c>
      <c r="P441" s="14" t="s">
        <v>92</v>
      </c>
      <c r="Q441" s="14" t="s">
        <v>93</v>
      </c>
      <c r="R441" s="14" t="s">
        <v>93</v>
      </c>
      <c r="S441" s="14" t="s">
        <v>1874</v>
      </c>
      <c r="T441" s="14" t="s">
        <v>1875</v>
      </c>
      <c r="U441" s="15">
        <v>0</v>
      </c>
      <c r="V441" s="10">
        <v>1</v>
      </c>
    </row>
    <row r="442" spans="1:22" ht="18" customHeight="1" x14ac:dyDescent="0.35">
      <c r="A442" s="10" t="s">
        <v>23</v>
      </c>
      <c r="B442" s="10" t="s">
        <v>3207</v>
      </c>
      <c r="C442" s="11" t="s">
        <v>2975</v>
      </c>
      <c r="D442" s="11" t="s">
        <v>24</v>
      </c>
      <c r="E442" s="12">
        <v>45903.544618055559</v>
      </c>
      <c r="F442" s="10" t="str">
        <f>TEXT(events[[#This Row],[Start Date]],"DDD")</f>
        <v>Wed</v>
      </c>
      <c r="G442" s="10">
        <f>YEAR(events[[#This Row],[Start Date]])</f>
        <v>2025</v>
      </c>
      <c r="H442" s="10" t="str">
        <f>TEXT(events[[#This Row],[Start Date]],"mmm")</f>
        <v>Sep</v>
      </c>
      <c r="I442" s="10" t="str">
        <f>CONCATENATE("WK_",WEEKNUM(events[[#This Row],[Start Date]]))</f>
        <v>WK_36</v>
      </c>
      <c r="J442" s="12">
        <v>45903.544629629629</v>
      </c>
      <c r="K442" s="10">
        <v>32</v>
      </c>
      <c r="L442" s="10" t="s">
        <v>25</v>
      </c>
      <c r="M442" s="10" t="s">
        <v>26</v>
      </c>
      <c r="N442" s="13">
        <f t="shared" si="6"/>
        <v>1.6666666666666666E-2</v>
      </c>
      <c r="O442" s="14" t="s">
        <v>965</v>
      </c>
      <c r="P442" s="14" t="s">
        <v>965</v>
      </c>
      <c r="Q442" s="14"/>
      <c r="R442" s="14"/>
      <c r="S442" s="14" t="s">
        <v>1872</v>
      </c>
      <c r="T442" s="14" t="s">
        <v>1873</v>
      </c>
      <c r="U442" s="15">
        <v>0.125</v>
      </c>
      <c r="V442" s="10">
        <v>1</v>
      </c>
    </row>
    <row r="443" spans="1:22" ht="18" customHeight="1" x14ac:dyDescent="0.35">
      <c r="A443" s="10" t="s">
        <v>23</v>
      </c>
      <c r="B443" s="10" t="s">
        <v>3207</v>
      </c>
      <c r="C443" s="11" t="s">
        <v>2975</v>
      </c>
      <c r="D443" s="11" t="s">
        <v>24</v>
      </c>
      <c r="E443" s="12">
        <v>45903.511562500003</v>
      </c>
      <c r="F443" s="10" t="str">
        <f>TEXT(events[[#This Row],[Start Date]],"DDD")</f>
        <v>Wed</v>
      </c>
      <c r="G443" s="10">
        <f>YEAR(events[[#This Row],[Start Date]])</f>
        <v>2025</v>
      </c>
      <c r="H443" s="10" t="str">
        <f>TEXT(events[[#This Row],[Start Date]],"mmm")</f>
        <v>Sep</v>
      </c>
      <c r="I443" s="10" t="str">
        <f>CONCATENATE("WK_",WEEKNUM(events[[#This Row],[Start Date]]))</f>
        <v>WK_36</v>
      </c>
      <c r="J443" s="12">
        <v>45903.511759259258</v>
      </c>
      <c r="K443" s="10">
        <v>52</v>
      </c>
      <c r="L443" s="10" t="s">
        <v>25</v>
      </c>
      <c r="M443" s="10" t="s">
        <v>775</v>
      </c>
      <c r="N443" s="13">
        <f t="shared" si="6"/>
        <v>0.28333333333333333</v>
      </c>
      <c r="O443" s="14" t="s">
        <v>50</v>
      </c>
      <c r="P443" s="14" t="s">
        <v>50</v>
      </c>
      <c r="Q443" s="14"/>
      <c r="R443" s="14"/>
      <c r="S443" s="14" t="s">
        <v>1870</v>
      </c>
      <c r="T443" s="14" t="s">
        <v>1871</v>
      </c>
      <c r="U443" s="15">
        <v>0.3125</v>
      </c>
      <c r="V443" s="10">
        <v>1</v>
      </c>
    </row>
    <row r="444" spans="1:22" ht="18" customHeight="1" x14ac:dyDescent="0.35">
      <c r="A444" s="10" t="s">
        <v>23</v>
      </c>
      <c r="B444" s="10" t="s">
        <v>3207</v>
      </c>
      <c r="C444" s="11" t="s">
        <v>2975</v>
      </c>
      <c r="D444" s="11" t="s">
        <v>24</v>
      </c>
      <c r="E444" s="12">
        <v>45901.329328703701</v>
      </c>
      <c r="F444" s="10" t="str">
        <f>TEXT(events[[#This Row],[Start Date]],"DDD")</f>
        <v>Mon</v>
      </c>
      <c r="G444" s="10">
        <f>YEAR(events[[#This Row],[Start Date]])</f>
        <v>2025</v>
      </c>
      <c r="H444" s="10" t="str">
        <f>TEXT(events[[#This Row],[Start Date]],"mmm")</f>
        <v>Sep</v>
      </c>
      <c r="I444" s="10" t="str">
        <f>CONCATENATE("WK_",WEEKNUM(events[[#This Row],[Start Date]]))</f>
        <v>WK_36</v>
      </c>
      <c r="J444" s="12">
        <v>45901.329583333332</v>
      </c>
      <c r="K444" s="10">
        <v>47</v>
      </c>
      <c r="L444" s="10" t="s">
        <v>25</v>
      </c>
      <c r="M444" s="10" t="s">
        <v>1079</v>
      </c>
      <c r="N444" s="13">
        <f t="shared" si="6"/>
        <v>0.36666666666666664</v>
      </c>
      <c r="O444" s="14" t="s">
        <v>965</v>
      </c>
      <c r="P444" s="14" t="s">
        <v>965</v>
      </c>
      <c r="Q444" s="14"/>
      <c r="R444" s="14"/>
      <c r="S444" s="14" t="s">
        <v>1868</v>
      </c>
      <c r="T444" s="14" t="s">
        <v>1869</v>
      </c>
      <c r="U444" s="15">
        <v>0.3125</v>
      </c>
      <c r="V444" s="10">
        <v>1</v>
      </c>
    </row>
    <row r="445" spans="1:22" ht="18" customHeight="1" x14ac:dyDescent="0.35">
      <c r="A445" s="10" t="s">
        <v>47</v>
      </c>
      <c r="B445" s="10" t="s">
        <v>3270</v>
      </c>
      <c r="C445" s="11" t="s">
        <v>3046</v>
      </c>
      <c r="D445" s="11" t="s">
        <v>74</v>
      </c>
      <c r="E445" s="12">
        <v>45900.933946759258</v>
      </c>
      <c r="F445" s="10" t="str">
        <f>TEXT(events[[#This Row],[Start Date]],"DDD")</f>
        <v>Sun</v>
      </c>
      <c r="G445" s="10">
        <f>YEAR(events[[#This Row],[Start Date]])</f>
        <v>2025</v>
      </c>
      <c r="H445" s="10" t="str">
        <f>TEXT(events[[#This Row],[Start Date]],"mmm")</f>
        <v>Aug</v>
      </c>
      <c r="I445" s="10" t="str">
        <f>CONCATENATE("WK_",WEEKNUM(events[[#This Row],[Start Date]]))</f>
        <v>WK_36</v>
      </c>
      <c r="J445" s="12">
        <v>45900.933981481481</v>
      </c>
      <c r="K445" s="10">
        <v>81</v>
      </c>
      <c r="L445" s="10" t="s">
        <v>25</v>
      </c>
      <c r="M445" s="10" t="s">
        <v>75</v>
      </c>
      <c r="N445" s="13">
        <f t="shared" si="6"/>
        <v>0.05</v>
      </c>
      <c r="O445" s="14" t="s">
        <v>138</v>
      </c>
      <c r="P445" s="14" t="s">
        <v>138</v>
      </c>
      <c r="Q445" s="14"/>
      <c r="R445" s="14"/>
      <c r="S445" s="14" t="s">
        <v>1881</v>
      </c>
      <c r="T445" s="14" t="s">
        <v>1882</v>
      </c>
      <c r="U445" s="15">
        <v>0.125</v>
      </c>
      <c r="V445" s="10">
        <v>1</v>
      </c>
    </row>
    <row r="446" spans="1:22" ht="18" customHeight="1" x14ac:dyDescent="0.35">
      <c r="A446" s="10" t="s">
        <v>47</v>
      </c>
      <c r="B446" s="10" t="s">
        <v>3293</v>
      </c>
      <c r="C446" s="11" t="s">
        <v>3079</v>
      </c>
      <c r="D446" s="11" t="s">
        <v>678</v>
      </c>
      <c r="E446" s="12">
        <v>45900.446087962962</v>
      </c>
      <c r="F446" s="10" t="str">
        <f>TEXT(events[[#This Row],[Start Date]],"DDD")</f>
        <v>Sun</v>
      </c>
      <c r="G446" s="10">
        <f>YEAR(events[[#This Row],[Start Date]])</f>
        <v>2025</v>
      </c>
      <c r="H446" s="10" t="str">
        <f>TEXT(events[[#This Row],[Start Date]],"mmm")</f>
        <v>Aug</v>
      </c>
      <c r="I446" s="10" t="str">
        <f>CONCATENATE("WK_",WEEKNUM(events[[#This Row],[Start Date]]))</f>
        <v>WK_36</v>
      </c>
      <c r="J446" s="12">
        <v>45900.446099537039</v>
      </c>
      <c r="K446" s="10">
        <v>11</v>
      </c>
      <c r="L446" s="10" t="s">
        <v>83</v>
      </c>
      <c r="M446" s="10" t="s">
        <v>26</v>
      </c>
      <c r="N446" s="13">
        <f t="shared" si="6"/>
        <v>1.6666666666666666E-2</v>
      </c>
      <c r="O446" s="14" t="s">
        <v>92</v>
      </c>
      <c r="P446" s="14"/>
      <c r="Q446" s="14" t="s">
        <v>1877</v>
      </c>
      <c r="R446" s="14"/>
      <c r="S446" s="14" t="s">
        <v>1878</v>
      </c>
      <c r="T446" s="14"/>
      <c r="U446" s="15">
        <v>0</v>
      </c>
      <c r="V446" s="10">
        <v>1</v>
      </c>
    </row>
    <row r="447" spans="1:22" ht="18" customHeight="1" x14ac:dyDescent="0.35">
      <c r="A447" s="10" t="s">
        <v>47</v>
      </c>
      <c r="B447" s="10" t="s">
        <v>3294</v>
      </c>
      <c r="C447" s="11" t="s">
        <v>3080</v>
      </c>
      <c r="D447" s="11" t="s">
        <v>24</v>
      </c>
      <c r="E447" s="12">
        <v>45899.763368055559</v>
      </c>
      <c r="F447" s="10" t="str">
        <f>TEXT(events[[#This Row],[Start Date]],"DDD")</f>
        <v>Sat</v>
      </c>
      <c r="G447" s="10">
        <f>YEAR(events[[#This Row],[Start Date]])</f>
        <v>2025</v>
      </c>
      <c r="H447" s="10" t="str">
        <f>TEXT(events[[#This Row],[Start Date]],"mmm")</f>
        <v>Aug</v>
      </c>
      <c r="I447" s="10" t="str">
        <f>CONCATENATE("WK_",WEEKNUM(events[[#This Row],[Start Date]]))</f>
        <v>WK_35</v>
      </c>
      <c r="J447" s="12">
        <v>45899.763425925928</v>
      </c>
      <c r="K447" s="10">
        <v>75</v>
      </c>
      <c r="L447" s="10" t="s">
        <v>25</v>
      </c>
      <c r="M447" s="10" t="s">
        <v>431</v>
      </c>
      <c r="N447" s="13">
        <f t="shared" si="6"/>
        <v>8.3333333333333329E-2</v>
      </c>
      <c r="O447" s="14" t="s">
        <v>231</v>
      </c>
      <c r="P447" s="14" t="s">
        <v>231</v>
      </c>
      <c r="Q447" s="14"/>
      <c r="R447" s="14"/>
      <c r="S447" s="14" t="s">
        <v>1879</v>
      </c>
      <c r="T447" s="14" t="s">
        <v>1880</v>
      </c>
      <c r="U447" s="15">
        <v>0.21870000000000001</v>
      </c>
      <c r="V447" s="10">
        <v>1</v>
      </c>
    </row>
    <row r="448" spans="1:22" ht="18" customHeight="1" x14ac:dyDescent="0.35">
      <c r="A448" s="10" t="s">
        <v>23</v>
      </c>
      <c r="B448" s="10" t="s">
        <v>3295</v>
      </c>
      <c r="C448" s="11" t="s">
        <v>3081</v>
      </c>
      <c r="D448" s="11" t="s">
        <v>24</v>
      </c>
      <c r="E448" s="12">
        <v>45899.34652777778</v>
      </c>
      <c r="F448" s="10" t="str">
        <f>TEXT(events[[#This Row],[Start Date]],"DDD")</f>
        <v>Sat</v>
      </c>
      <c r="G448" s="10">
        <f>YEAR(events[[#This Row],[Start Date]])</f>
        <v>2025</v>
      </c>
      <c r="H448" s="10" t="str">
        <f>TEXT(events[[#This Row],[Start Date]],"mmm")</f>
        <v>Aug</v>
      </c>
      <c r="I448" s="10" t="str">
        <f>CONCATENATE("WK_",WEEKNUM(events[[#This Row],[Start Date]]))</f>
        <v>WK_35</v>
      </c>
      <c r="J448" s="12">
        <v>45899.346539351849</v>
      </c>
      <c r="K448" s="10">
        <v>63</v>
      </c>
      <c r="L448" s="10" t="s">
        <v>25</v>
      </c>
      <c r="M448" s="10" t="s">
        <v>26</v>
      </c>
      <c r="N448" s="13">
        <f t="shared" si="6"/>
        <v>1.6666666666666666E-2</v>
      </c>
      <c r="O448" s="14" t="s">
        <v>1436</v>
      </c>
      <c r="P448" s="14" t="s">
        <v>1436</v>
      </c>
      <c r="Q448" s="14"/>
      <c r="R448" s="14"/>
      <c r="S448" s="14" t="s">
        <v>1866</v>
      </c>
      <c r="T448" s="14" t="s">
        <v>1867</v>
      </c>
      <c r="U448" s="15">
        <v>0</v>
      </c>
      <c r="V448" s="10">
        <v>1</v>
      </c>
    </row>
    <row r="449" spans="1:22" ht="18" customHeight="1" x14ac:dyDescent="0.35">
      <c r="A449" s="10" t="s">
        <v>86</v>
      </c>
      <c r="B449" s="10" t="s">
        <v>3220</v>
      </c>
      <c r="C449" s="11" t="s">
        <v>3062</v>
      </c>
      <c r="D449" s="11" t="s">
        <v>24</v>
      </c>
      <c r="E449" s="12">
        <v>45898.797986111109</v>
      </c>
      <c r="F449" s="10" t="str">
        <f>TEXT(events[[#This Row],[Start Date]],"DDD")</f>
        <v>Fri</v>
      </c>
      <c r="G449" s="10">
        <f>YEAR(events[[#This Row],[Start Date]])</f>
        <v>2025</v>
      </c>
      <c r="H449" s="10" t="str">
        <f>TEXT(events[[#This Row],[Start Date]],"mmm")</f>
        <v>Aug</v>
      </c>
      <c r="I449" s="10" t="str">
        <f>CONCATENATE("WK_",WEEKNUM(events[[#This Row],[Start Date]]))</f>
        <v>WK_35</v>
      </c>
      <c r="J449" s="12">
        <v>45898.798090277778</v>
      </c>
      <c r="K449" s="10">
        <v>31</v>
      </c>
      <c r="L449" s="10" t="s">
        <v>25</v>
      </c>
      <c r="M449" s="10" t="s">
        <v>414</v>
      </c>
      <c r="N449" s="13">
        <f t="shared" si="6"/>
        <v>0.15</v>
      </c>
      <c r="O449" s="14" t="s">
        <v>50</v>
      </c>
      <c r="P449" s="14" t="s">
        <v>50</v>
      </c>
      <c r="Q449" s="14"/>
      <c r="R449" s="14"/>
      <c r="S449" s="14" t="s">
        <v>1885</v>
      </c>
      <c r="T449" s="14" t="s">
        <v>1886</v>
      </c>
      <c r="U449" s="15">
        <v>0.125</v>
      </c>
      <c r="V449" s="10">
        <v>1</v>
      </c>
    </row>
    <row r="450" spans="1:22" ht="18" customHeight="1" x14ac:dyDescent="0.35">
      <c r="A450" s="10" t="s">
        <v>86</v>
      </c>
      <c r="B450" s="10" t="s">
        <v>3220</v>
      </c>
      <c r="C450" s="11" t="s">
        <v>3062</v>
      </c>
      <c r="D450" s="11" t="s">
        <v>24</v>
      </c>
      <c r="E450" s="12">
        <v>45898.797650462962</v>
      </c>
      <c r="F450" s="10" t="str">
        <f>TEXT(events[[#This Row],[Start Date]],"DDD")</f>
        <v>Fri</v>
      </c>
      <c r="G450" s="10">
        <f>YEAR(events[[#This Row],[Start Date]])</f>
        <v>2025</v>
      </c>
      <c r="H450" s="10" t="str">
        <f>TEXT(events[[#This Row],[Start Date]],"mmm")</f>
        <v>Aug</v>
      </c>
      <c r="I450" s="10" t="str">
        <f>CONCATENATE("WK_",WEEKNUM(events[[#This Row],[Start Date]]))</f>
        <v>WK_35</v>
      </c>
      <c r="J450" s="12">
        <v>45898.797743055555</v>
      </c>
      <c r="K450" s="10">
        <v>31</v>
      </c>
      <c r="L450" s="10" t="s">
        <v>25</v>
      </c>
      <c r="M450" s="10" t="s">
        <v>357</v>
      </c>
      <c r="N450" s="13">
        <f t="shared" ref="N450:N513" si="7">HOUR(M450)*60+MINUTE(M450)+SECOND(M450)/60</f>
        <v>0.13333333333333333</v>
      </c>
      <c r="O450" s="14" t="s">
        <v>50</v>
      </c>
      <c r="P450" s="14" t="s">
        <v>50</v>
      </c>
      <c r="Q450" s="14"/>
      <c r="R450" s="14"/>
      <c r="S450" s="14" t="s">
        <v>1883</v>
      </c>
      <c r="T450" s="14" t="s">
        <v>1884</v>
      </c>
      <c r="U450" s="15">
        <v>0.125</v>
      </c>
      <c r="V450" s="10">
        <v>1</v>
      </c>
    </row>
    <row r="451" spans="1:22" ht="18" customHeight="1" x14ac:dyDescent="0.35">
      <c r="A451" s="10" t="s">
        <v>47</v>
      </c>
      <c r="B451" s="10" t="s">
        <v>3190</v>
      </c>
      <c r="C451" s="11" t="s">
        <v>2957</v>
      </c>
      <c r="D451" s="11" t="s">
        <v>678</v>
      </c>
      <c r="E451" s="12">
        <v>45898.338842592595</v>
      </c>
      <c r="F451" s="10" t="str">
        <f>TEXT(events[[#This Row],[Start Date]],"DDD")</f>
        <v>Fri</v>
      </c>
      <c r="G451" s="10">
        <f>YEAR(events[[#This Row],[Start Date]])</f>
        <v>2025</v>
      </c>
      <c r="H451" s="10" t="str">
        <f>TEXT(events[[#This Row],[Start Date]],"mmm")</f>
        <v>Aug</v>
      </c>
      <c r="I451" s="10" t="str">
        <f>CONCATENATE("WK_",WEEKNUM(events[[#This Row],[Start Date]]))</f>
        <v>WK_35</v>
      </c>
      <c r="J451" s="12">
        <v>45898.338865740741</v>
      </c>
      <c r="K451" s="10">
        <v>14</v>
      </c>
      <c r="L451" s="10" t="s">
        <v>83</v>
      </c>
      <c r="M451" s="10" t="s">
        <v>31</v>
      </c>
      <c r="N451" s="13">
        <f t="shared" si="7"/>
        <v>3.3333333333333333E-2</v>
      </c>
      <c r="O451" s="14" t="s">
        <v>138</v>
      </c>
      <c r="P451" s="14"/>
      <c r="Q451" s="14"/>
      <c r="R451" s="14"/>
      <c r="S451" s="14" t="s">
        <v>1876</v>
      </c>
      <c r="T451" s="14"/>
      <c r="U451" s="15">
        <v>0</v>
      </c>
      <c r="V451" s="10">
        <v>1</v>
      </c>
    </row>
    <row r="452" spans="1:22" ht="18" customHeight="1" x14ac:dyDescent="0.35">
      <c r="A452" s="10" t="s">
        <v>86</v>
      </c>
      <c r="B452" s="10" t="s">
        <v>3189</v>
      </c>
      <c r="C452" s="11" t="s">
        <v>2964</v>
      </c>
      <c r="D452" s="11" t="s">
        <v>24</v>
      </c>
      <c r="E452" s="12">
        <v>45896.473055555558</v>
      </c>
      <c r="F452" s="10" t="str">
        <f>TEXT(events[[#This Row],[Start Date]],"DDD")</f>
        <v>Wed</v>
      </c>
      <c r="G452" s="10">
        <f>YEAR(events[[#This Row],[Start Date]])</f>
        <v>2025</v>
      </c>
      <c r="H452" s="10" t="str">
        <f>TEXT(events[[#This Row],[Start Date]],"mmm")</f>
        <v>Aug</v>
      </c>
      <c r="I452" s="10" t="str">
        <f>CONCATENATE("WK_",WEEKNUM(events[[#This Row],[Start Date]]))</f>
        <v>WK_35</v>
      </c>
      <c r="J452" s="12">
        <v>45896.473067129627</v>
      </c>
      <c r="K452" s="10">
        <v>41</v>
      </c>
      <c r="L452" s="10" t="s">
        <v>25</v>
      </c>
      <c r="M452" s="10" t="s">
        <v>26</v>
      </c>
      <c r="N452" s="13">
        <f t="shared" si="7"/>
        <v>1.6666666666666666E-2</v>
      </c>
      <c r="O452" s="14" t="s">
        <v>138</v>
      </c>
      <c r="P452" s="14" t="s">
        <v>138</v>
      </c>
      <c r="Q452" s="14"/>
      <c r="R452" s="14"/>
      <c r="S452" s="14" t="s">
        <v>1903</v>
      </c>
      <c r="T452" s="14" t="s">
        <v>1904</v>
      </c>
      <c r="U452" s="15">
        <v>0</v>
      </c>
      <c r="V452" s="10">
        <v>1</v>
      </c>
    </row>
    <row r="453" spans="1:22" ht="18" customHeight="1" x14ac:dyDescent="0.35">
      <c r="A453" s="10" t="s">
        <v>86</v>
      </c>
      <c r="B453" s="10" t="s">
        <v>3197</v>
      </c>
      <c r="C453" s="11" t="s">
        <v>3059</v>
      </c>
      <c r="D453" s="11" t="s">
        <v>24</v>
      </c>
      <c r="E453" s="12">
        <v>45895.724629629629</v>
      </c>
      <c r="F453" s="10" t="str">
        <f>TEXT(events[[#This Row],[Start Date]],"DDD")</f>
        <v>Tue</v>
      </c>
      <c r="G453" s="10">
        <f>YEAR(events[[#This Row],[Start Date]])</f>
        <v>2025</v>
      </c>
      <c r="H453" s="10" t="str">
        <f>TEXT(events[[#This Row],[Start Date]],"mmm")</f>
        <v>Aug</v>
      </c>
      <c r="I453" s="10" t="str">
        <f>CONCATENATE("WK_",WEEKNUM(events[[#This Row],[Start Date]]))</f>
        <v>WK_35</v>
      </c>
      <c r="J453" s="12">
        <v>45895.724664351852</v>
      </c>
      <c r="K453" s="10">
        <v>39</v>
      </c>
      <c r="L453" s="10" t="s">
        <v>25</v>
      </c>
      <c r="M453" s="10" t="s">
        <v>75</v>
      </c>
      <c r="N453" s="13">
        <f t="shared" si="7"/>
        <v>0.05</v>
      </c>
      <c r="O453" s="14" t="s">
        <v>27</v>
      </c>
      <c r="P453" s="14" t="s">
        <v>27</v>
      </c>
      <c r="Q453" s="14"/>
      <c r="R453" s="14"/>
      <c r="S453" s="14" t="s">
        <v>1915</v>
      </c>
      <c r="T453" s="14" t="s">
        <v>1916</v>
      </c>
      <c r="U453" s="15">
        <v>0</v>
      </c>
      <c r="V453" s="10">
        <v>1</v>
      </c>
    </row>
    <row r="454" spans="1:22" ht="18" customHeight="1" x14ac:dyDescent="0.35">
      <c r="A454" s="10" t="s">
        <v>47</v>
      </c>
      <c r="B454" s="10" t="s">
        <v>3186</v>
      </c>
      <c r="C454" s="11" t="s">
        <v>2954</v>
      </c>
      <c r="D454" s="11" t="s">
        <v>74</v>
      </c>
      <c r="E454" s="12">
        <v>45895.664768518516</v>
      </c>
      <c r="F454" s="10" t="str">
        <f>TEXT(events[[#This Row],[Start Date]],"DDD")</f>
        <v>Tue</v>
      </c>
      <c r="G454" s="10">
        <f>YEAR(events[[#This Row],[Start Date]])</f>
        <v>2025</v>
      </c>
      <c r="H454" s="10" t="str">
        <f>TEXT(events[[#This Row],[Start Date]],"mmm")</f>
        <v>Aug</v>
      </c>
      <c r="I454" s="10" t="str">
        <f>CONCATENATE("WK_",WEEKNUM(events[[#This Row],[Start Date]]))</f>
        <v>WK_35</v>
      </c>
      <c r="J454" s="12">
        <v>45895.66479166667</v>
      </c>
      <c r="K454" s="10">
        <v>83</v>
      </c>
      <c r="L454" s="10" t="s">
        <v>25</v>
      </c>
      <c r="M454" s="10" t="s">
        <v>31</v>
      </c>
      <c r="N454" s="13">
        <f t="shared" si="7"/>
        <v>3.3333333333333333E-2</v>
      </c>
      <c r="O454" s="14" t="s">
        <v>65</v>
      </c>
      <c r="P454" s="14" t="s">
        <v>27</v>
      </c>
      <c r="Q454" s="14"/>
      <c r="R454" s="14"/>
      <c r="S454" s="14" t="s">
        <v>1899</v>
      </c>
      <c r="T454" s="14" t="s">
        <v>1900</v>
      </c>
      <c r="U454" s="15">
        <v>0.125</v>
      </c>
      <c r="V454" s="10">
        <v>1</v>
      </c>
    </row>
    <row r="455" spans="1:22" ht="18" customHeight="1" x14ac:dyDescent="0.35">
      <c r="A455" s="10" t="s">
        <v>47</v>
      </c>
      <c r="B455" s="10" t="s">
        <v>3186</v>
      </c>
      <c r="C455" s="11" t="s">
        <v>2954</v>
      </c>
      <c r="D455" s="11" t="s">
        <v>24</v>
      </c>
      <c r="E455" s="12">
        <v>45895.53765046296</v>
      </c>
      <c r="F455" s="10" t="str">
        <f>TEXT(events[[#This Row],[Start Date]],"DDD")</f>
        <v>Tue</v>
      </c>
      <c r="G455" s="10">
        <f>YEAR(events[[#This Row],[Start Date]])</f>
        <v>2025</v>
      </c>
      <c r="H455" s="10" t="str">
        <f>TEXT(events[[#This Row],[Start Date]],"mmm")</f>
        <v>Aug</v>
      </c>
      <c r="I455" s="10" t="str">
        <f>CONCATENATE("WK_",WEEKNUM(events[[#This Row],[Start Date]]))</f>
        <v>WK_35</v>
      </c>
      <c r="J455" s="12">
        <v>45895.537835648145</v>
      </c>
      <c r="K455" s="10">
        <v>74</v>
      </c>
      <c r="L455" s="10" t="s">
        <v>25</v>
      </c>
      <c r="M455" s="10" t="s">
        <v>353</v>
      </c>
      <c r="N455" s="13">
        <f t="shared" si="7"/>
        <v>0.26666666666666666</v>
      </c>
      <c r="O455" s="14" t="s">
        <v>231</v>
      </c>
      <c r="P455" s="14" t="s">
        <v>231</v>
      </c>
      <c r="Q455" s="14"/>
      <c r="R455" s="14"/>
      <c r="S455" s="14" t="s">
        <v>1895</v>
      </c>
      <c r="T455" s="14" t="s">
        <v>1896</v>
      </c>
      <c r="U455" s="15">
        <v>0.3125</v>
      </c>
      <c r="V455" s="10">
        <v>1</v>
      </c>
    </row>
    <row r="456" spans="1:22" ht="18" customHeight="1" x14ac:dyDescent="0.35">
      <c r="A456" s="10" t="s">
        <v>123</v>
      </c>
      <c r="B456" s="10" t="s">
        <v>3180</v>
      </c>
      <c r="C456" s="11" t="s">
        <v>2947</v>
      </c>
      <c r="D456" s="11" t="s">
        <v>74</v>
      </c>
      <c r="E456" s="12">
        <v>45894.868668981479</v>
      </c>
      <c r="F456" s="10" t="str">
        <f>TEXT(events[[#This Row],[Start Date]],"DDD")</f>
        <v>Mon</v>
      </c>
      <c r="G456" s="10">
        <f>YEAR(events[[#This Row],[Start Date]])</f>
        <v>2025</v>
      </c>
      <c r="H456" s="10" t="str">
        <f>TEXT(events[[#This Row],[Start Date]],"mmm")</f>
        <v>Aug</v>
      </c>
      <c r="I456" s="10" t="str">
        <f>CONCATENATE("WK_",WEEKNUM(events[[#This Row],[Start Date]]))</f>
        <v>WK_35</v>
      </c>
      <c r="J456" s="12">
        <v>45894.869583333333</v>
      </c>
      <c r="K456" s="10">
        <v>89</v>
      </c>
      <c r="L456" s="10" t="s">
        <v>25</v>
      </c>
      <c r="M456" s="10" t="s">
        <v>441</v>
      </c>
      <c r="N456" s="13">
        <f t="shared" si="7"/>
        <v>1.3166666666666667</v>
      </c>
      <c r="O456" s="14"/>
      <c r="P456" s="14"/>
      <c r="Q456" s="14"/>
      <c r="R456" s="14"/>
      <c r="S456" s="14" t="s">
        <v>1921</v>
      </c>
      <c r="T456" s="14" t="s">
        <v>1922</v>
      </c>
      <c r="U456" s="15">
        <v>2</v>
      </c>
      <c r="V456" s="10">
        <v>1</v>
      </c>
    </row>
    <row r="457" spans="1:22" ht="18" customHeight="1" x14ac:dyDescent="0.35">
      <c r="A457" s="10" t="s">
        <v>23</v>
      </c>
      <c r="B457" s="10" t="s">
        <v>3295</v>
      </c>
      <c r="C457" s="11" t="s">
        <v>3081</v>
      </c>
      <c r="D457" s="11" t="s">
        <v>24</v>
      </c>
      <c r="E457" s="12">
        <v>45894.862743055557</v>
      </c>
      <c r="F457" s="10" t="str">
        <f>TEXT(events[[#This Row],[Start Date]],"DDD")</f>
        <v>Mon</v>
      </c>
      <c r="G457" s="10">
        <f>YEAR(events[[#This Row],[Start Date]])</f>
        <v>2025</v>
      </c>
      <c r="H457" s="10" t="str">
        <f>TEXT(events[[#This Row],[Start Date]],"mmm")</f>
        <v>Aug</v>
      </c>
      <c r="I457" s="10" t="str">
        <f>CONCATENATE("WK_",WEEKNUM(events[[#This Row],[Start Date]]))</f>
        <v>WK_35</v>
      </c>
      <c r="J457" s="12">
        <v>45894.862754629627</v>
      </c>
      <c r="K457" s="10">
        <v>33</v>
      </c>
      <c r="L457" s="10" t="s">
        <v>25</v>
      </c>
      <c r="M457" s="10" t="s">
        <v>26</v>
      </c>
      <c r="N457" s="13">
        <f t="shared" si="7"/>
        <v>1.6666666666666666E-2</v>
      </c>
      <c r="O457" s="14" t="s">
        <v>27</v>
      </c>
      <c r="P457" s="14" t="s">
        <v>27</v>
      </c>
      <c r="Q457" s="14"/>
      <c r="R457" s="14"/>
      <c r="S457" s="14" t="s">
        <v>1893</v>
      </c>
      <c r="T457" s="14" t="s">
        <v>1894</v>
      </c>
      <c r="U457" s="15">
        <v>0</v>
      </c>
      <c r="V457" s="10">
        <v>1</v>
      </c>
    </row>
    <row r="458" spans="1:22" ht="18" customHeight="1" x14ac:dyDescent="0.35">
      <c r="A458" s="10" t="s">
        <v>47</v>
      </c>
      <c r="B458" s="10" t="s">
        <v>3292</v>
      </c>
      <c r="C458" s="11" t="s">
        <v>3078</v>
      </c>
      <c r="D458" s="11" t="s">
        <v>82</v>
      </c>
      <c r="E458" s="12">
        <v>45894.499363425923</v>
      </c>
      <c r="F458" s="10" t="str">
        <f>TEXT(events[[#This Row],[Start Date]],"DDD")</f>
        <v>Mon</v>
      </c>
      <c r="G458" s="10">
        <f>YEAR(events[[#This Row],[Start Date]])</f>
        <v>2025</v>
      </c>
      <c r="H458" s="10" t="str">
        <f>TEXT(events[[#This Row],[Start Date]],"mmm")</f>
        <v>Aug</v>
      </c>
      <c r="I458" s="10" t="str">
        <f>CONCATENATE("WK_",WEEKNUM(events[[#This Row],[Start Date]]))</f>
        <v>WK_35</v>
      </c>
      <c r="J458" s="12">
        <v>45894.499374999999</v>
      </c>
      <c r="K458" s="10">
        <v>20</v>
      </c>
      <c r="L458" s="10" t="s">
        <v>83</v>
      </c>
      <c r="M458" s="10" t="s">
        <v>26</v>
      </c>
      <c r="N458" s="13">
        <f t="shared" si="7"/>
        <v>1.6666666666666666E-2</v>
      </c>
      <c r="O458" s="14" t="s">
        <v>92</v>
      </c>
      <c r="P458" s="14"/>
      <c r="Q458" s="14"/>
      <c r="R458" s="14"/>
      <c r="S458" s="14" t="s">
        <v>1901</v>
      </c>
      <c r="T458" s="14"/>
      <c r="U458" s="15">
        <v>0</v>
      </c>
      <c r="V458" s="10">
        <v>1</v>
      </c>
    </row>
    <row r="459" spans="1:22" ht="18" customHeight="1" x14ac:dyDescent="0.35">
      <c r="A459" s="10" t="s">
        <v>23</v>
      </c>
      <c r="B459" s="10" t="s">
        <v>3295</v>
      </c>
      <c r="C459" s="11" t="s">
        <v>3081</v>
      </c>
      <c r="D459" s="11" t="s">
        <v>24</v>
      </c>
      <c r="E459" s="12">
        <v>45894.440381944441</v>
      </c>
      <c r="F459" s="10" t="str">
        <f>TEXT(events[[#This Row],[Start Date]],"DDD")</f>
        <v>Mon</v>
      </c>
      <c r="G459" s="10">
        <f>YEAR(events[[#This Row],[Start Date]])</f>
        <v>2025</v>
      </c>
      <c r="H459" s="10" t="str">
        <f>TEXT(events[[#This Row],[Start Date]],"mmm")</f>
        <v>Aug</v>
      </c>
      <c r="I459" s="10" t="str">
        <f>CONCATENATE("WK_",WEEKNUM(events[[#This Row],[Start Date]]))</f>
        <v>WK_35</v>
      </c>
      <c r="J459" s="12">
        <v>45894.440416666665</v>
      </c>
      <c r="K459" s="10">
        <v>36</v>
      </c>
      <c r="L459" s="10" t="s">
        <v>25</v>
      </c>
      <c r="M459" s="10" t="s">
        <v>75</v>
      </c>
      <c r="N459" s="13">
        <f t="shared" si="7"/>
        <v>0.05</v>
      </c>
      <c r="O459" s="14" t="s">
        <v>378</v>
      </c>
      <c r="P459" s="14" t="s">
        <v>378</v>
      </c>
      <c r="Q459" s="14"/>
      <c r="R459" s="14"/>
      <c r="S459" s="14" t="s">
        <v>1891</v>
      </c>
      <c r="T459" s="14" t="s">
        <v>1892</v>
      </c>
      <c r="U459" s="15">
        <v>0</v>
      </c>
      <c r="V459" s="10">
        <v>1</v>
      </c>
    </row>
    <row r="460" spans="1:22" ht="18" customHeight="1" x14ac:dyDescent="0.35">
      <c r="A460" s="10" t="s">
        <v>23</v>
      </c>
      <c r="B460" s="10" t="s">
        <v>3295</v>
      </c>
      <c r="C460" s="11" t="s">
        <v>3081</v>
      </c>
      <c r="D460" s="11" t="s">
        <v>24</v>
      </c>
      <c r="E460" s="12">
        <v>45894.440081018518</v>
      </c>
      <c r="F460" s="10" t="str">
        <f>TEXT(events[[#This Row],[Start Date]],"DDD")</f>
        <v>Mon</v>
      </c>
      <c r="G460" s="10">
        <f>YEAR(events[[#This Row],[Start Date]])</f>
        <v>2025</v>
      </c>
      <c r="H460" s="10" t="str">
        <f>TEXT(events[[#This Row],[Start Date]],"mmm")</f>
        <v>Aug</v>
      </c>
      <c r="I460" s="10" t="str">
        <f>CONCATENATE("WK_",WEEKNUM(events[[#This Row],[Start Date]]))</f>
        <v>WK_35</v>
      </c>
      <c r="J460" s="12">
        <v>45894.440162037034</v>
      </c>
      <c r="K460" s="10">
        <v>36</v>
      </c>
      <c r="L460" s="10" t="s">
        <v>25</v>
      </c>
      <c r="M460" s="10" t="s">
        <v>115</v>
      </c>
      <c r="N460" s="13">
        <f t="shared" si="7"/>
        <v>0.11666666666666667</v>
      </c>
      <c r="O460" s="14" t="s">
        <v>378</v>
      </c>
      <c r="P460" s="14" t="s">
        <v>378</v>
      </c>
      <c r="Q460" s="14"/>
      <c r="R460" s="14"/>
      <c r="S460" s="14" t="s">
        <v>1889</v>
      </c>
      <c r="T460" s="14" t="s">
        <v>1890</v>
      </c>
      <c r="U460" s="15">
        <v>9.3700000000000006E-2</v>
      </c>
      <c r="V460" s="10">
        <v>1</v>
      </c>
    </row>
    <row r="461" spans="1:22" ht="18" customHeight="1" x14ac:dyDescent="0.35">
      <c r="A461" s="10" t="s">
        <v>86</v>
      </c>
      <c r="B461" s="10" t="s">
        <v>3167</v>
      </c>
      <c r="C461" s="11" t="s">
        <v>2956</v>
      </c>
      <c r="D461" s="11" t="s">
        <v>74</v>
      </c>
      <c r="E461" s="12">
        <v>45892.974768518521</v>
      </c>
      <c r="F461" s="10" t="str">
        <f>TEXT(events[[#This Row],[Start Date]],"DDD")</f>
        <v>Sat</v>
      </c>
      <c r="G461" s="10">
        <f>YEAR(events[[#This Row],[Start Date]])</f>
        <v>2025</v>
      </c>
      <c r="H461" s="10" t="str">
        <f>TEXT(events[[#This Row],[Start Date]],"mmm")</f>
        <v>Aug</v>
      </c>
      <c r="I461" s="10" t="str">
        <f>CONCATENATE("WK_",WEEKNUM(events[[#This Row],[Start Date]]))</f>
        <v>WK_34</v>
      </c>
      <c r="J461" s="12">
        <v>45892.974861111114</v>
      </c>
      <c r="K461" s="10">
        <v>85</v>
      </c>
      <c r="L461" s="10" t="s">
        <v>25</v>
      </c>
      <c r="M461" s="10" t="s">
        <v>357</v>
      </c>
      <c r="N461" s="13">
        <f t="shared" si="7"/>
        <v>0.13333333333333333</v>
      </c>
      <c r="O461" s="14" t="s">
        <v>65</v>
      </c>
      <c r="P461" s="14" t="s">
        <v>65</v>
      </c>
      <c r="Q461" s="14"/>
      <c r="R461" s="14"/>
      <c r="S461" s="14" t="s">
        <v>1913</v>
      </c>
      <c r="T461" s="14" t="s">
        <v>1914</v>
      </c>
      <c r="U461" s="15">
        <v>0.1875</v>
      </c>
      <c r="V461" s="10">
        <v>1</v>
      </c>
    </row>
    <row r="462" spans="1:22" ht="18" customHeight="1" x14ac:dyDescent="0.35">
      <c r="A462" s="10" t="s">
        <v>86</v>
      </c>
      <c r="B462" s="10" t="s">
        <v>3167</v>
      </c>
      <c r="C462" s="11" t="s">
        <v>2956</v>
      </c>
      <c r="D462" s="11" t="s">
        <v>74</v>
      </c>
      <c r="E462" s="12">
        <v>45892.947766203702</v>
      </c>
      <c r="F462" s="10" t="str">
        <f>TEXT(events[[#This Row],[Start Date]],"DDD")</f>
        <v>Sat</v>
      </c>
      <c r="G462" s="10">
        <f>YEAR(events[[#This Row],[Start Date]])</f>
        <v>2025</v>
      </c>
      <c r="H462" s="10" t="str">
        <f>TEXT(events[[#This Row],[Start Date]],"mmm")</f>
        <v>Aug</v>
      </c>
      <c r="I462" s="10" t="str">
        <f>CONCATENATE("WK_",WEEKNUM(events[[#This Row],[Start Date]]))</f>
        <v>WK_34</v>
      </c>
      <c r="J462" s="12">
        <v>45892.947777777779</v>
      </c>
      <c r="K462" s="10">
        <v>81</v>
      </c>
      <c r="L462" s="10" t="s">
        <v>25</v>
      </c>
      <c r="M462" s="10" t="s">
        <v>26</v>
      </c>
      <c r="N462" s="13">
        <f t="shared" si="7"/>
        <v>1.6666666666666666E-2</v>
      </c>
      <c r="O462" s="14" t="s">
        <v>231</v>
      </c>
      <c r="P462" s="14" t="s">
        <v>231</v>
      </c>
      <c r="Q462" s="14"/>
      <c r="R462" s="14"/>
      <c r="S462" s="14" t="s">
        <v>1911</v>
      </c>
      <c r="T462" s="14" t="s">
        <v>1912</v>
      </c>
      <c r="U462" s="15">
        <v>0</v>
      </c>
      <c r="V462" s="10">
        <v>1</v>
      </c>
    </row>
    <row r="463" spans="1:22" ht="18" customHeight="1" x14ac:dyDescent="0.35">
      <c r="A463" s="10" t="s">
        <v>86</v>
      </c>
      <c r="B463" s="10" t="s">
        <v>3255</v>
      </c>
      <c r="C463" s="11" t="s">
        <v>3065</v>
      </c>
      <c r="D463" s="11" t="s">
        <v>24</v>
      </c>
      <c r="E463" s="12">
        <v>45891.68068287037</v>
      </c>
      <c r="F463" s="10" t="str">
        <f>TEXT(events[[#This Row],[Start Date]],"DDD")</f>
        <v>Fri</v>
      </c>
      <c r="G463" s="10">
        <f>YEAR(events[[#This Row],[Start Date]])</f>
        <v>2025</v>
      </c>
      <c r="H463" s="10" t="str">
        <f>TEXT(events[[#This Row],[Start Date]],"mmm")</f>
        <v>Aug</v>
      </c>
      <c r="I463" s="10" t="str">
        <f>CONCATENATE("WK_",WEEKNUM(events[[#This Row],[Start Date]]))</f>
        <v>WK_34</v>
      </c>
      <c r="J463" s="12">
        <v>45891.680694444447</v>
      </c>
      <c r="K463" s="10">
        <v>31</v>
      </c>
      <c r="L463" s="10" t="s">
        <v>25</v>
      </c>
      <c r="M463" s="10" t="s">
        <v>26</v>
      </c>
      <c r="N463" s="13">
        <f t="shared" si="7"/>
        <v>1.6666666666666666E-2</v>
      </c>
      <c r="O463" s="14" t="s">
        <v>157</v>
      </c>
      <c r="P463" s="14" t="s">
        <v>157</v>
      </c>
      <c r="Q463" s="14"/>
      <c r="R463" s="14"/>
      <c r="S463" s="14" t="s">
        <v>1907</v>
      </c>
      <c r="T463" s="14" t="s">
        <v>1908</v>
      </c>
      <c r="U463" s="15">
        <v>0</v>
      </c>
      <c r="V463" s="10">
        <v>1</v>
      </c>
    </row>
    <row r="464" spans="1:22" ht="18" customHeight="1" x14ac:dyDescent="0.35">
      <c r="A464" s="10" t="s">
        <v>86</v>
      </c>
      <c r="B464" s="10" t="s">
        <v>3255</v>
      </c>
      <c r="C464" s="11" t="s">
        <v>3065</v>
      </c>
      <c r="D464" s="11" t="s">
        <v>24</v>
      </c>
      <c r="E464" s="12">
        <v>45891.654039351852</v>
      </c>
      <c r="F464" s="10" t="str">
        <f>TEXT(events[[#This Row],[Start Date]],"DDD")</f>
        <v>Fri</v>
      </c>
      <c r="G464" s="10">
        <f>YEAR(events[[#This Row],[Start Date]])</f>
        <v>2025</v>
      </c>
      <c r="H464" s="10" t="str">
        <f>TEXT(events[[#This Row],[Start Date]],"mmm")</f>
        <v>Aug</v>
      </c>
      <c r="I464" s="10" t="str">
        <f>CONCATENATE("WK_",WEEKNUM(events[[#This Row],[Start Date]]))</f>
        <v>WK_34</v>
      </c>
      <c r="J464" s="12">
        <v>45891.654050925928</v>
      </c>
      <c r="K464" s="10">
        <v>37</v>
      </c>
      <c r="L464" s="10" t="s">
        <v>25</v>
      </c>
      <c r="M464" s="10" t="s">
        <v>26</v>
      </c>
      <c r="N464" s="13">
        <f t="shared" si="7"/>
        <v>1.6666666666666666E-2</v>
      </c>
      <c r="O464" s="14" t="s">
        <v>157</v>
      </c>
      <c r="P464" s="14" t="s">
        <v>157</v>
      </c>
      <c r="Q464" s="14"/>
      <c r="R464" s="14"/>
      <c r="S464" s="14" t="s">
        <v>1905</v>
      </c>
      <c r="T464" s="14" t="s">
        <v>1906</v>
      </c>
      <c r="U464" s="15">
        <v>0</v>
      </c>
      <c r="V464" s="10">
        <v>1</v>
      </c>
    </row>
    <row r="465" spans="1:22" ht="18" customHeight="1" x14ac:dyDescent="0.35">
      <c r="A465" s="10" t="s">
        <v>86</v>
      </c>
      <c r="B465" s="10" t="s">
        <v>3169</v>
      </c>
      <c r="C465" s="11" t="s">
        <v>2956</v>
      </c>
      <c r="D465" s="11" t="s">
        <v>74</v>
      </c>
      <c r="E465" s="12">
        <v>45891.484178240738</v>
      </c>
      <c r="F465" s="10" t="str">
        <f>TEXT(events[[#This Row],[Start Date]],"DDD")</f>
        <v>Fri</v>
      </c>
      <c r="G465" s="10">
        <f>YEAR(events[[#This Row],[Start Date]])</f>
        <v>2025</v>
      </c>
      <c r="H465" s="10" t="str">
        <f>TEXT(events[[#This Row],[Start Date]],"mmm")</f>
        <v>Aug</v>
      </c>
      <c r="I465" s="10" t="str">
        <f>CONCATENATE("WK_",WEEKNUM(events[[#This Row],[Start Date]]))</f>
        <v>WK_34</v>
      </c>
      <c r="J465" s="12">
        <v>45891.484212962961</v>
      </c>
      <c r="K465" s="10">
        <v>83</v>
      </c>
      <c r="L465" s="10" t="s">
        <v>25</v>
      </c>
      <c r="M465" s="10" t="s">
        <v>75</v>
      </c>
      <c r="N465" s="13">
        <f t="shared" si="7"/>
        <v>0.05</v>
      </c>
      <c r="O465" s="14" t="s">
        <v>138</v>
      </c>
      <c r="P465" s="14" t="s">
        <v>138</v>
      </c>
      <c r="Q465" s="14"/>
      <c r="R465" s="14"/>
      <c r="S465" s="14" t="s">
        <v>1909</v>
      </c>
      <c r="T465" s="14" t="s">
        <v>1910</v>
      </c>
      <c r="U465" s="15">
        <v>0.1016</v>
      </c>
      <c r="V465" s="10">
        <v>1</v>
      </c>
    </row>
    <row r="466" spans="1:22" ht="18" customHeight="1" x14ac:dyDescent="0.35">
      <c r="A466" s="10" t="s">
        <v>123</v>
      </c>
      <c r="B466" s="10" t="s">
        <v>3296</v>
      </c>
      <c r="C466" s="11" t="s">
        <v>3082</v>
      </c>
      <c r="D466" s="11" t="s">
        <v>74</v>
      </c>
      <c r="E466" s="12">
        <v>45891.446400462963</v>
      </c>
      <c r="F466" s="10" t="str">
        <f>TEXT(events[[#This Row],[Start Date]],"DDD")</f>
        <v>Fri</v>
      </c>
      <c r="G466" s="10">
        <f>YEAR(events[[#This Row],[Start Date]])</f>
        <v>2025</v>
      </c>
      <c r="H466" s="10" t="str">
        <f>TEXT(events[[#This Row],[Start Date]],"mmm")</f>
        <v>Aug</v>
      </c>
      <c r="I466" s="10" t="str">
        <f>CONCATENATE("WK_",WEEKNUM(events[[#This Row],[Start Date]]))</f>
        <v>WK_34</v>
      </c>
      <c r="J466" s="12">
        <v>45891.446689814817</v>
      </c>
      <c r="K466" s="10">
        <v>83</v>
      </c>
      <c r="L466" s="10" t="s">
        <v>25</v>
      </c>
      <c r="M466" s="10" t="s">
        <v>124</v>
      </c>
      <c r="N466" s="13">
        <f t="shared" si="7"/>
        <v>0.4</v>
      </c>
      <c r="O466" s="14"/>
      <c r="P466" s="14"/>
      <c r="Q466" s="14"/>
      <c r="R466" s="14"/>
      <c r="S466" s="14" t="s">
        <v>1919</v>
      </c>
      <c r="T466" s="14" t="s">
        <v>1920</v>
      </c>
      <c r="U466" s="15">
        <v>1</v>
      </c>
      <c r="V466" s="10">
        <v>1</v>
      </c>
    </row>
    <row r="467" spans="1:22" ht="18" customHeight="1" x14ac:dyDescent="0.35">
      <c r="A467" s="10" t="s">
        <v>47</v>
      </c>
      <c r="B467" s="10" t="s">
        <v>3268</v>
      </c>
      <c r="C467" s="11" t="s">
        <v>3044</v>
      </c>
      <c r="D467" s="11" t="s">
        <v>82</v>
      </c>
      <c r="E467" s="12">
        <v>45891.425335648149</v>
      </c>
      <c r="F467" s="10" t="str">
        <f>TEXT(events[[#This Row],[Start Date]],"DDD")</f>
        <v>Fri</v>
      </c>
      <c r="G467" s="10">
        <f>YEAR(events[[#This Row],[Start Date]])</f>
        <v>2025</v>
      </c>
      <c r="H467" s="10" t="str">
        <f>TEXT(events[[#This Row],[Start Date]],"mmm")</f>
        <v>Aug</v>
      </c>
      <c r="I467" s="10" t="str">
        <f>CONCATENATE("WK_",WEEKNUM(events[[#This Row],[Start Date]]))</f>
        <v>WK_34</v>
      </c>
      <c r="J467" s="12">
        <v>45891.425347222219</v>
      </c>
      <c r="K467" s="10">
        <v>24</v>
      </c>
      <c r="L467" s="10" t="s">
        <v>83</v>
      </c>
      <c r="M467" s="10" t="s">
        <v>26</v>
      </c>
      <c r="N467" s="13">
        <f t="shared" si="7"/>
        <v>1.6666666666666666E-2</v>
      </c>
      <c r="O467" s="14" t="s">
        <v>65</v>
      </c>
      <c r="P467" s="14"/>
      <c r="Q467" s="14"/>
      <c r="R467" s="14"/>
      <c r="S467" s="14" t="s">
        <v>1902</v>
      </c>
      <c r="T467" s="14"/>
      <c r="U467" s="15">
        <v>0</v>
      </c>
      <c r="V467" s="10">
        <v>1</v>
      </c>
    </row>
    <row r="468" spans="1:22" ht="18" customHeight="1" x14ac:dyDescent="0.35">
      <c r="A468" s="10" t="s">
        <v>123</v>
      </c>
      <c r="B468" s="10" t="s">
        <v>3297</v>
      </c>
      <c r="C468" s="11" t="s">
        <v>3083</v>
      </c>
      <c r="D468" s="11" t="s">
        <v>74</v>
      </c>
      <c r="E468" s="12">
        <v>45891.293900462966</v>
      </c>
      <c r="F468" s="10" t="str">
        <f>TEXT(events[[#This Row],[Start Date]],"DDD")</f>
        <v>Fri</v>
      </c>
      <c r="G468" s="10">
        <f>YEAR(events[[#This Row],[Start Date]])</f>
        <v>2025</v>
      </c>
      <c r="H468" s="10" t="str">
        <f>TEXT(events[[#This Row],[Start Date]],"mmm")</f>
        <v>Aug</v>
      </c>
      <c r="I468" s="10" t="str">
        <f>CONCATENATE("WK_",WEEKNUM(events[[#This Row],[Start Date]]))</f>
        <v>WK_34</v>
      </c>
      <c r="J468" s="12">
        <v>45891.294942129629</v>
      </c>
      <c r="K468" s="10">
        <v>96</v>
      </c>
      <c r="L468" s="10" t="s">
        <v>25</v>
      </c>
      <c r="M468" s="10" t="s">
        <v>900</v>
      </c>
      <c r="N468" s="13">
        <f t="shared" si="7"/>
        <v>1.4833333333333334</v>
      </c>
      <c r="O468" s="14"/>
      <c r="P468" s="14"/>
      <c r="Q468" s="14"/>
      <c r="R468" s="14"/>
      <c r="S468" s="14" t="s">
        <v>1917</v>
      </c>
      <c r="T468" s="14" t="s">
        <v>1918</v>
      </c>
      <c r="U468" s="15">
        <v>2</v>
      </c>
      <c r="V468" s="10">
        <v>1</v>
      </c>
    </row>
    <row r="469" spans="1:22" ht="18" customHeight="1" x14ac:dyDescent="0.35">
      <c r="A469" s="10" t="s">
        <v>123</v>
      </c>
      <c r="B469" s="10" t="s">
        <v>3160</v>
      </c>
      <c r="C469" s="11" t="s">
        <v>2926</v>
      </c>
      <c r="D469" s="11" t="s">
        <v>74</v>
      </c>
      <c r="E469" s="12">
        <v>45890.711226851854</v>
      </c>
      <c r="F469" s="10" t="str">
        <f>TEXT(events[[#This Row],[Start Date]],"DDD")</f>
        <v>Thu</v>
      </c>
      <c r="G469" s="10">
        <f>YEAR(events[[#This Row],[Start Date]])</f>
        <v>2025</v>
      </c>
      <c r="H469" s="10" t="str">
        <f>TEXT(events[[#This Row],[Start Date]],"mmm")</f>
        <v>Aug</v>
      </c>
      <c r="I469" s="10" t="str">
        <f>CONCATENATE("WK_",WEEKNUM(events[[#This Row],[Start Date]]))</f>
        <v>WK_34</v>
      </c>
      <c r="J469" s="12">
        <v>45890.712268518517</v>
      </c>
      <c r="K469" s="10">
        <v>109</v>
      </c>
      <c r="L469" s="10" t="s">
        <v>25</v>
      </c>
      <c r="M469" s="10" t="s">
        <v>900</v>
      </c>
      <c r="N469" s="13">
        <f t="shared" si="7"/>
        <v>1.4833333333333334</v>
      </c>
      <c r="O469" s="14"/>
      <c r="P469" s="14"/>
      <c r="Q469" s="14"/>
      <c r="R469" s="14"/>
      <c r="S469" s="14" t="s">
        <v>1923</v>
      </c>
      <c r="T469" s="14" t="s">
        <v>1924</v>
      </c>
      <c r="U469" s="15">
        <v>2</v>
      </c>
      <c r="V469" s="10">
        <v>1</v>
      </c>
    </row>
    <row r="470" spans="1:22" ht="18" customHeight="1" x14ac:dyDescent="0.35">
      <c r="A470" s="10" t="s">
        <v>123</v>
      </c>
      <c r="B470" s="10" t="s">
        <v>3166</v>
      </c>
      <c r="C470" s="11" t="s">
        <v>2932</v>
      </c>
      <c r="D470" s="11" t="s">
        <v>74</v>
      </c>
      <c r="E470" s="12">
        <v>45890.636782407404</v>
      </c>
      <c r="F470" s="10" t="str">
        <f>TEXT(events[[#This Row],[Start Date]],"DDD")</f>
        <v>Thu</v>
      </c>
      <c r="G470" s="10">
        <f>YEAR(events[[#This Row],[Start Date]])</f>
        <v>2025</v>
      </c>
      <c r="H470" s="10" t="str">
        <f>TEXT(events[[#This Row],[Start Date]],"mmm")</f>
        <v>Aug</v>
      </c>
      <c r="I470" s="10" t="str">
        <f>CONCATENATE("WK_",WEEKNUM(events[[#This Row],[Start Date]]))</f>
        <v>WK_34</v>
      </c>
      <c r="J470" s="12">
        <v>45890.637025462966</v>
      </c>
      <c r="K470" s="10">
        <v>85</v>
      </c>
      <c r="L470" s="10" t="s">
        <v>25</v>
      </c>
      <c r="M470" s="10" t="s">
        <v>301</v>
      </c>
      <c r="N470" s="13">
        <f t="shared" si="7"/>
        <v>0.33333333333333331</v>
      </c>
      <c r="O470" s="14"/>
      <c r="P470" s="14"/>
      <c r="Q470" s="14"/>
      <c r="R470" s="14"/>
      <c r="S470" s="14" t="s">
        <v>1930</v>
      </c>
      <c r="T470" s="14" t="s">
        <v>1931</v>
      </c>
      <c r="U470" s="15">
        <v>1</v>
      </c>
      <c r="V470" s="10">
        <v>1</v>
      </c>
    </row>
    <row r="471" spans="1:22" ht="18" customHeight="1" x14ac:dyDescent="0.35">
      <c r="A471" s="10" t="s">
        <v>47</v>
      </c>
      <c r="B471" s="10" t="s">
        <v>3186</v>
      </c>
      <c r="C471" s="11" t="s">
        <v>2954</v>
      </c>
      <c r="D471" s="11" t="s">
        <v>74</v>
      </c>
      <c r="E471" s="12">
        <v>45890.616956018515</v>
      </c>
      <c r="F471" s="10" t="str">
        <f>TEXT(events[[#This Row],[Start Date]],"DDD")</f>
        <v>Thu</v>
      </c>
      <c r="G471" s="10">
        <f>YEAR(events[[#This Row],[Start Date]])</f>
        <v>2025</v>
      </c>
      <c r="H471" s="10" t="str">
        <f>TEXT(events[[#This Row],[Start Date]],"mmm")</f>
        <v>Aug</v>
      </c>
      <c r="I471" s="10" t="str">
        <f>CONCATENATE("WK_",WEEKNUM(events[[#This Row],[Start Date]]))</f>
        <v>WK_34</v>
      </c>
      <c r="J471" s="12">
        <v>45890.616967592592</v>
      </c>
      <c r="K471" s="10">
        <v>82</v>
      </c>
      <c r="L471" s="10" t="s">
        <v>25</v>
      </c>
      <c r="M471" s="10" t="s">
        <v>26</v>
      </c>
      <c r="N471" s="13">
        <f t="shared" si="7"/>
        <v>1.6666666666666666E-2</v>
      </c>
      <c r="O471" s="14" t="s">
        <v>231</v>
      </c>
      <c r="P471" s="14" t="s">
        <v>231</v>
      </c>
      <c r="Q471" s="14"/>
      <c r="R471" s="14"/>
      <c r="S471" s="14" t="s">
        <v>1897</v>
      </c>
      <c r="T471" s="14" t="s">
        <v>1898</v>
      </c>
      <c r="U471" s="15">
        <v>0</v>
      </c>
      <c r="V471" s="10">
        <v>1</v>
      </c>
    </row>
    <row r="472" spans="1:22" ht="18" customHeight="1" x14ac:dyDescent="0.35">
      <c r="A472" s="10" t="s">
        <v>123</v>
      </c>
      <c r="B472" s="10" t="s">
        <v>3161</v>
      </c>
      <c r="C472" s="11" t="s">
        <v>2927</v>
      </c>
      <c r="D472" s="11" t="s">
        <v>74</v>
      </c>
      <c r="E472" s="12">
        <v>45890.538310185184</v>
      </c>
      <c r="F472" s="10" t="str">
        <f>TEXT(events[[#This Row],[Start Date]],"DDD")</f>
        <v>Thu</v>
      </c>
      <c r="G472" s="10">
        <f>YEAR(events[[#This Row],[Start Date]])</f>
        <v>2025</v>
      </c>
      <c r="H472" s="10" t="str">
        <f>TEXT(events[[#This Row],[Start Date]],"mmm")</f>
        <v>Aug</v>
      </c>
      <c r="I472" s="10" t="str">
        <f>CONCATENATE("WK_",WEEKNUM(events[[#This Row],[Start Date]]))</f>
        <v>WK_34</v>
      </c>
      <c r="J472" s="12">
        <v>45890.538993055554</v>
      </c>
      <c r="K472" s="10">
        <v>99</v>
      </c>
      <c r="L472" s="10" t="s">
        <v>25</v>
      </c>
      <c r="M472" s="10" t="s">
        <v>538</v>
      </c>
      <c r="N472" s="13">
        <f t="shared" si="7"/>
        <v>0.98333333333333328</v>
      </c>
      <c r="O472" s="14"/>
      <c r="P472" s="14"/>
      <c r="Q472" s="14"/>
      <c r="R472" s="14"/>
      <c r="S472" s="14" t="s">
        <v>1925</v>
      </c>
      <c r="T472" s="14" t="s">
        <v>1926</v>
      </c>
      <c r="U472" s="15">
        <v>2</v>
      </c>
      <c r="V472" s="10">
        <v>1</v>
      </c>
    </row>
    <row r="473" spans="1:22" ht="18" customHeight="1" x14ac:dyDescent="0.35">
      <c r="A473" s="10" t="s">
        <v>123</v>
      </c>
      <c r="B473" s="10" t="s">
        <v>3298</v>
      </c>
      <c r="C473" s="11" t="s">
        <v>3084</v>
      </c>
      <c r="D473" s="11" t="s">
        <v>74</v>
      </c>
      <c r="E473" s="12">
        <v>45890.531331018516</v>
      </c>
      <c r="F473" s="10" t="str">
        <f>TEXT(events[[#This Row],[Start Date]],"DDD")</f>
        <v>Thu</v>
      </c>
      <c r="G473" s="10">
        <f>YEAR(events[[#This Row],[Start Date]])</f>
        <v>2025</v>
      </c>
      <c r="H473" s="10" t="str">
        <f>TEXT(events[[#This Row],[Start Date]],"mmm")</f>
        <v>Aug</v>
      </c>
      <c r="I473" s="10" t="str">
        <f>CONCATENATE("WK_",WEEKNUM(events[[#This Row],[Start Date]]))</f>
        <v>WK_34</v>
      </c>
      <c r="J473" s="12">
        <v>45890.531851851854</v>
      </c>
      <c r="K473" s="10">
        <v>88</v>
      </c>
      <c r="L473" s="10" t="s">
        <v>25</v>
      </c>
      <c r="M473" s="10" t="s">
        <v>929</v>
      </c>
      <c r="N473" s="13">
        <f t="shared" si="7"/>
        <v>0.75</v>
      </c>
      <c r="O473" s="14"/>
      <c r="P473" s="14"/>
      <c r="Q473" s="14"/>
      <c r="R473" s="14"/>
      <c r="S473" s="14" t="s">
        <v>1928</v>
      </c>
      <c r="T473" s="14" t="s">
        <v>1929</v>
      </c>
      <c r="U473" s="15">
        <v>1</v>
      </c>
      <c r="V473" s="10">
        <v>1</v>
      </c>
    </row>
    <row r="474" spans="1:22" ht="18" customHeight="1" x14ac:dyDescent="0.35">
      <c r="A474" s="10" t="s">
        <v>23</v>
      </c>
      <c r="B474" s="10" t="s">
        <v>3226</v>
      </c>
      <c r="C474" s="11" t="s">
        <v>2994</v>
      </c>
      <c r="D474" s="11" t="s">
        <v>24</v>
      </c>
      <c r="E474" s="12">
        <v>45890.267592592594</v>
      </c>
      <c r="F474" s="10" t="str">
        <f>TEXT(events[[#This Row],[Start Date]],"DDD")</f>
        <v>Thu</v>
      </c>
      <c r="G474" s="10">
        <f>YEAR(events[[#This Row],[Start Date]])</f>
        <v>2025</v>
      </c>
      <c r="H474" s="10" t="str">
        <f>TEXT(events[[#This Row],[Start Date]],"mmm")</f>
        <v>Aug</v>
      </c>
      <c r="I474" s="10" t="str">
        <f>CONCATENATE("WK_",WEEKNUM(events[[#This Row],[Start Date]]))</f>
        <v>WK_34</v>
      </c>
      <c r="J474" s="12">
        <v>45890.268217592595</v>
      </c>
      <c r="K474" s="10">
        <v>46</v>
      </c>
      <c r="L474" s="10" t="s">
        <v>25</v>
      </c>
      <c r="M474" s="10" t="s">
        <v>912</v>
      </c>
      <c r="N474" s="13">
        <f t="shared" si="7"/>
        <v>0.9</v>
      </c>
      <c r="O474" s="14" t="s">
        <v>27</v>
      </c>
      <c r="P474" s="14" t="s">
        <v>27</v>
      </c>
      <c r="Q474" s="14"/>
      <c r="R474" s="14"/>
      <c r="S474" s="14" t="s">
        <v>1887</v>
      </c>
      <c r="T474" s="14" t="s">
        <v>1888</v>
      </c>
      <c r="U474" s="15">
        <v>0.59379999999999999</v>
      </c>
      <c r="V474" s="10">
        <v>1</v>
      </c>
    </row>
    <row r="475" spans="1:22" ht="18" customHeight="1" x14ac:dyDescent="0.35">
      <c r="A475" s="10" t="s">
        <v>86</v>
      </c>
      <c r="B475" s="10" t="s">
        <v>3189</v>
      </c>
      <c r="C475" s="11" t="s">
        <v>3003</v>
      </c>
      <c r="D475" s="11" t="s">
        <v>24</v>
      </c>
      <c r="E475" s="12">
        <v>45889.772326388891</v>
      </c>
      <c r="F475" s="10" t="str">
        <f>TEXT(events[[#This Row],[Start Date]],"DDD")</f>
        <v>Wed</v>
      </c>
      <c r="G475" s="10">
        <f>YEAR(events[[#This Row],[Start Date]])</f>
        <v>2025</v>
      </c>
      <c r="H475" s="10" t="str">
        <f>TEXT(events[[#This Row],[Start Date]],"mmm")</f>
        <v>Aug</v>
      </c>
      <c r="I475" s="10" t="str">
        <f>CONCATENATE("WK_",WEEKNUM(events[[#This Row],[Start Date]]))</f>
        <v>WK_34</v>
      </c>
      <c r="J475" s="12">
        <v>45889.772916666669</v>
      </c>
      <c r="K475" s="10">
        <v>64</v>
      </c>
      <c r="L475" s="10" t="s">
        <v>25</v>
      </c>
      <c r="M475" s="10" t="s">
        <v>311</v>
      </c>
      <c r="N475" s="13">
        <f t="shared" si="7"/>
        <v>0.85</v>
      </c>
      <c r="O475" s="14" t="s">
        <v>27</v>
      </c>
      <c r="P475" s="14" t="s">
        <v>27</v>
      </c>
      <c r="Q475" s="14" t="s">
        <v>1970</v>
      </c>
      <c r="R475" s="14"/>
      <c r="S475" s="14" t="s">
        <v>1971</v>
      </c>
      <c r="T475" s="14" t="s">
        <v>1972</v>
      </c>
      <c r="U475" s="15">
        <v>0.6875</v>
      </c>
      <c r="V475" s="10">
        <v>1</v>
      </c>
    </row>
    <row r="476" spans="1:22" ht="18" customHeight="1" x14ac:dyDescent="0.35">
      <c r="A476" s="10" t="s">
        <v>23</v>
      </c>
      <c r="B476" s="10" t="s">
        <v>3202</v>
      </c>
      <c r="C476" s="11" t="s">
        <v>2969</v>
      </c>
      <c r="D476" s="11" t="s">
        <v>82</v>
      </c>
      <c r="E476" s="12">
        <v>45889.404340277775</v>
      </c>
      <c r="F476" s="10" t="str">
        <f>TEXT(events[[#This Row],[Start Date]],"DDD")</f>
        <v>Wed</v>
      </c>
      <c r="G476" s="10">
        <f>YEAR(events[[#This Row],[Start Date]])</f>
        <v>2025</v>
      </c>
      <c r="H476" s="10" t="str">
        <f>TEXT(events[[#This Row],[Start Date]],"mmm")</f>
        <v>Aug</v>
      </c>
      <c r="I476" s="10" t="str">
        <f>CONCATENATE("WK_",WEEKNUM(events[[#This Row],[Start Date]]))</f>
        <v>WK_34</v>
      </c>
      <c r="J476" s="12">
        <v>45889.404351851852</v>
      </c>
      <c r="K476" s="10">
        <v>16</v>
      </c>
      <c r="L476" s="10" t="s">
        <v>83</v>
      </c>
      <c r="M476" s="10" t="s">
        <v>26</v>
      </c>
      <c r="N476" s="13">
        <f t="shared" si="7"/>
        <v>1.6666666666666666E-2</v>
      </c>
      <c r="O476" s="14" t="s">
        <v>92</v>
      </c>
      <c r="P476" s="14"/>
      <c r="Q476" s="14"/>
      <c r="R476" s="14"/>
      <c r="S476" s="14" t="s">
        <v>1945</v>
      </c>
      <c r="T476" s="14"/>
      <c r="U476" s="15">
        <v>0</v>
      </c>
      <c r="V476" s="10">
        <v>1</v>
      </c>
    </row>
    <row r="477" spans="1:22" ht="18" customHeight="1" x14ac:dyDescent="0.35">
      <c r="A477" s="10" t="s">
        <v>23</v>
      </c>
      <c r="B477" s="10" t="s">
        <v>3295</v>
      </c>
      <c r="C477" s="11" t="s">
        <v>3081</v>
      </c>
      <c r="D477" s="11" t="s">
        <v>24</v>
      </c>
      <c r="E477" s="12">
        <v>45889.260995370372</v>
      </c>
      <c r="F477" s="10" t="str">
        <f>TEXT(events[[#This Row],[Start Date]],"DDD")</f>
        <v>Wed</v>
      </c>
      <c r="G477" s="10">
        <f>YEAR(events[[#This Row],[Start Date]])</f>
        <v>2025</v>
      </c>
      <c r="H477" s="10" t="str">
        <f>TEXT(events[[#This Row],[Start Date]],"mmm")</f>
        <v>Aug</v>
      </c>
      <c r="I477" s="10" t="str">
        <f>CONCATENATE("WK_",WEEKNUM(events[[#This Row],[Start Date]]))</f>
        <v>WK_34</v>
      </c>
      <c r="J477" s="12">
        <v>45889.261250000003</v>
      </c>
      <c r="K477" s="10">
        <v>52</v>
      </c>
      <c r="L477" s="10" t="s">
        <v>25</v>
      </c>
      <c r="M477" s="10" t="s">
        <v>1079</v>
      </c>
      <c r="N477" s="13">
        <f t="shared" si="7"/>
        <v>0.36666666666666664</v>
      </c>
      <c r="O477" s="14" t="s">
        <v>27</v>
      </c>
      <c r="P477" s="14" t="s">
        <v>27</v>
      </c>
      <c r="Q477" s="14"/>
      <c r="R477" s="14"/>
      <c r="S477" s="14" t="s">
        <v>1937</v>
      </c>
      <c r="T477" s="14" t="s">
        <v>1938</v>
      </c>
      <c r="U477" s="15">
        <v>0.3125</v>
      </c>
      <c r="V477" s="10">
        <v>1</v>
      </c>
    </row>
    <row r="478" spans="1:22" ht="18" customHeight="1" x14ac:dyDescent="0.35">
      <c r="A478" s="10" t="s">
        <v>23</v>
      </c>
      <c r="B478" s="10" t="s">
        <v>3207</v>
      </c>
      <c r="C478" s="11" t="s">
        <v>2975</v>
      </c>
      <c r="D478" s="11" t="s">
        <v>24</v>
      </c>
      <c r="E478" s="12">
        <v>45888.880428240744</v>
      </c>
      <c r="F478" s="10" t="str">
        <f>TEXT(events[[#This Row],[Start Date]],"DDD")</f>
        <v>Tue</v>
      </c>
      <c r="G478" s="10">
        <f>YEAR(events[[#This Row],[Start Date]])</f>
        <v>2025</v>
      </c>
      <c r="H478" s="10" t="str">
        <f>TEXT(events[[#This Row],[Start Date]],"mmm")</f>
        <v>Aug</v>
      </c>
      <c r="I478" s="10" t="str">
        <f>CONCATENATE("WK_",WEEKNUM(events[[#This Row],[Start Date]]))</f>
        <v>WK_34</v>
      </c>
      <c r="J478" s="12">
        <v>45888.880439814813</v>
      </c>
      <c r="K478" s="10">
        <v>32</v>
      </c>
      <c r="L478" s="10" t="s">
        <v>25</v>
      </c>
      <c r="M478" s="10" t="s">
        <v>26</v>
      </c>
      <c r="N478" s="13">
        <f t="shared" si="7"/>
        <v>1.6666666666666666E-2</v>
      </c>
      <c r="O478" s="14" t="s">
        <v>38</v>
      </c>
      <c r="P478" s="14" t="s">
        <v>38</v>
      </c>
      <c r="Q478" s="14"/>
      <c r="R478" s="14"/>
      <c r="S478" s="14" t="s">
        <v>1941</v>
      </c>
      <c r="T478" s="14" t="s">
        <v>1942</v>
      </c>
      <c r="U478" s="15">
        <v>0</v>
      </c>
      <c r="V478" s="10">
        <v>1</v>
      </c>
    </row>
    <row r="479" spans="1:22" ht="18" customHeight="1" x14ac:dyDescent="0.35">
      <c r="A479" s="10" t="s">
        <v>86</v>
      </c>
      <c r="B479" s="10" t="s">
        <v>3255</v>
      </c>
      <c r="C479" s="11" t="s">
        <v>3020</v>
      </c>
      <c r="D479" s="11" t="s">
        <v>24</v>
      </c>
      <c r="E479" s="12">
        <v>45888.812511574077</v>
      </c>
      <c r="F479" s="10" t="str">
        <f>TEXT(events[[#This Row],[Start Date]],"DDD")</f>
        <v>Tue</v>
      </c>
      <c r="G479" s="10">
        <f>YEAR(events[[#This Row],[Start Date]])</f>
        <v>2025</v>
      </c>
      <c r="H479" s="10" t="str">
        <f>TEXT(events[[#This Row],[Start Date]],"mmm")</f>
        <v>Aug</v>
      </c>
      <c r="I479" s="10" t="str">
        <f>CONCATENATE("WK_",WEEKNUM(events[[#This Row],[Start Date]]))</f>
        <v>WK_34</v>
      </c>
      <c r="J479" s="12">
        <v>45888.812534722223</v>
      </c>
      <c r="K479" s="10">
        <v>37</v>
      </c>
      <c r="L479" s="10" t="s">
        <v>25</v>
      </c>
      <c r="M479" s="10" t="s">
        <v>31</v>
      </c>
      <c r="N479" s="13">
        <f t="shared" si="7"/>
        <v>3.3333333333333333E-2</v>
      </c>
      <c r="O479" s="14" t="s">
        <v>209</v>
      </c>
      <c r="P479" s="14" t="s">
        <v>209</v>
      </c>
      <c r="Q479" s="14"/>
      <c r="R479" s="14"/>
      <c r="S479" s="14" t="s">
        <v>1973</v>
      </c>
      <c r="T479" s="14" t="s">
        <v>1974</v>
      </c>
      <c r="U479" s="15">
        <v>0</v>
      </c>
      <c r="V479" s="10">
        <v>1</v>
      </c>
    </row>
    <row r="480" spans="1:22" ht="18" customHeight="1" x14ac:dyDescent="0.35">
      <c r="A480" s="10" t="s">
        <v>23</v>
      </c>
      <c r="B480" s="10" t="s">
        <v>3226</v>
      </c>
      <c r="C480" s="11" t="s">
        <v>2994</v>
      </c>
      <c r="D480" s="11" t="s">
        <v>24</v>
      </c>
      <c r="E480" s="12">
        <v>45888.77753472222</v>
      </c>
      <c r="F480" s="10" t="str">
        <f>TEXT(events[[#This Row],[Start Date]],"DDD")</f>
        <v>Tue</v>
      </c>
      <c r="G480" s="10">
        <f>YEAR(events[[#This Row],[Start Date]])</f>
        <v>2025</v>
      </c>
      <c r="H480" s="10" t="str">
        <f>TEXT(events[[#This Row],[Start Date]],"mmm")</f>
        <v>Aug</v>
      </c>
      <c r="I480" s="10" t="str">
        <f>CONCATENATE("WK_",WEEKNUM(events[[#This Row],[Start Date]]))</f>
        <v>WK_34</v>
      </c>
      <c r="J480" s="12">
        <v>45888.777881944443</v>
      </c>
      <c r="K480" s="10">
        <v>67</v>
      </c>
      <c r="L480" s="10" t="s">
        <v>25</v>
      </c>
      <c r="M480" s="10" t="s">
        <v>999</v>
      </c>
      <c r="N480" s="13">
        <f t="shared" si="7"/>
        <v>0.5</v>
      </c>
      <c r="O480" s="14" t="s">
        <v>38</v>
      </c>
      <c r="P480" s="14" t="s">
        <v>38</v>
      </c>
      <c r="Q480" s="14"/>
      <c r="R480" s="14"/>
      <c r="S480" s="14" t="s">
        <v>1932</v>
      </c>
      <c r="T480" s="14" t="s">
        <v>1933</v>
      </c>
      <c r="U480" s="15">
        <v>0.5</v>
      </c>
      <c r="V480" s="10">
        <v>1</v>
      </c>
    </row>
    <row r="481" spans="1:22" ht="18" customHeight="1" x14ac:dyDescent="0.35">
      <c r="A481" s="10" t="s">
        <v>23</v>
      </c>
      <c r="B481" s="10" t="s">
        <v>3207</v>
      </c>
      <c r="C481" s="11" t="s">
        <v>2975</v>
      </c>
      <c r="D481" s="11" t="s">
        <v>24</v>
      </c>
      <c r="E481" s="12">
        <v>45888.692349537036</v>
      </c>
      <c r="F481" s="10" t="str">
        <f>TEXT(events[[#This Row],[Start Date]],"DDD")</f>
        <v>Tue</v>
      </c>
      <c r="G481" s="10">
        <f>YEAR(events[[#This Row],[Start Date]])</f>
        <v>2025</v>
      </c>
      <c r="H481" s="10" t="str">
        <f>TEXT(events[[#This Row],[Start Date]],"mmm")</f>
        <v>Aug</v>
      </c>
      <c r="I481" s="10" t="str">
        <f>CONCATENATE("WK_",WEEKNUM(events[[#This Row],[Start Date]]))</f>
        <v>WK_34</v>
      </c>
      <c r="J481" s="12">
        <v>45888.692361111112</v>
      </c>
      <c r="K481" s="10">
        <v>33</v>
      </c>
      <c r="L481" s="10" t="s">
        <v>25</v>
      </c>
      <c r="M481" s="10" t="s">
        <v>26</v>
      </c>
      <c r="N481" s="13">
        <f t="shared" si="7"/>
        <v>1.6666666666666666E-2</v>
      </c>
      <c r="O481" s="14" t="s">
        <v>142</v>
      </c>
      <c r="P481" s="14" t="s">
        <v>142</v>
      </c>
      <c r="Q481" s="14"/>
      <c r="R481" s="14"/>
      <c r="S481" s="14" t="s">
        <v>1939</v>
      </c>
      <c r="T481" s="14" t="s">
        <v>1940</v>
      </c>
      <c r="U481" s="15">
        <v>0</v>
      </c>
      <c r="V481" s="10">
        <v>1</v>
      </c>
    </row>
    <row r="482" spans="1:22" ht="18" customHeight="1" x14ac:dyDescent="0.35">
      <c r="A482" s="10" t="s">
        <v>86</v>
      </c>
      <c r="B482" s="10" t="s">
        <v>3210</v>
      </c>
      <c r="C482" s="11" t="s">
        <v>2979</v>
      </c>
      <c r="D482" s="11" t="s">
        <v>678</v>
      </c>
      <c r="E482" s="12">
        <v>45888.467638888891</v>
      </c>
      <c r="F482" s="10" t="str">
        <f>TEXT(events[[#This Row],[Start Date]],"DDD")</f>
        <v>Tue</v>
      </c>
      <c r="G482" s="10">
        <f>YEAR(events[[#This Row],[Start Date]])</f>
        <v>2025</v>
      </c>
      <c r="H482" s="10" t="str">
        <f>TEXT(events[[#This Row],[Start Date]],"mmm")</f>
        <v>Aug</v>
      </c>
      <c r="I482" s="10" t="str">
        <f>CONCATENATE("WK_",WEEKNUM(events[[#This Row],[Start Date]]))</f>
        <v>WK_34</v>
      </c>
      <c r="J482" s="12">
        <v>45888.467638888891</v>
      </c>
      <c r="K482" s="10">
        <v>11</v>
      </c>
      <c r="L482" s="10" t="s">
        <v>83</v>
      </c>
      <c r="M482" s="10" t="s">
        <v>87</v>
      </c>
      <c r="N482" s="13">
        <f t="shared" si="7"/>
        <v>0</v>
      </c>
      <c r="O482" s="14" t="s">
        <v>65</v>
      </c>
      <c r="P482" s="14" t="s">
        <v>65</v>
      </c>
      <c r="Q482" s="14"/>
      <c r="R482" s="14"/>
      <c r="S482" s="14" t="s">
        <v>1964</v>
      </c>
      <c r="T482" s="14" t="s">
        <v>1964</v>
      </c>
      <c r="U482" s="15">
        <v>0</v>
      </c>
      <c r="V482" s="10">
        <v>1</v>
      </c>
    </row>
    <row r="483" spans="1:22" ht="18" customHeight="1" x14ac:dyDescent="0.35">
      <c r="A483" s="10" t="s">
        <v>123</v>
      </c>
      <c r="B483" s="10" t="s">
        <v>3281</v>
      </c>
      <c r="C483" s="11" t="s">
        <v>3064</v>
      </c>
      <c r="D483" s="11" t="s">
        <v>74</v>
      </c>
      <c r="E483" s="12">
        <v>45888.369687500002</v>
      </c>
      <c r="F483" s="10" t="str">
        <f>TEXT(events[[#This Row],[Start Date]],"DDD")</f>
        <v>Tue</v>
      </c>
      <c r="G483" s="10">
        <f>YEAR(events[[#This Row],[Start Date]])</f>
        <v>2025</v>
      </c>
      <c r="H483" s="10" t="str">
        <f>TEXT(events[[#This Row],[Start Date]],"mmm")</f>
        <v>Aug</v>
      </c>
      <c r="I483" s="10" t="str">
        <f>CONCATENATE("WK_",WEEKNUM(events[[#This Row],[Start Date]]))</f>
        <v>WK_34</v>
      </c>
      <c r="J483" s="12">
        <v>45888.370833333334</v>
      </c>
      <c r="K483" s="10">
        <v>92</v>
      </c>
      <c r="L483" s="10" t="s">
        <v>25</v>
      </c>
      <c r="M483" s="10" t="s">
        <v>1268</v>
      </c>
      <c r="N483" s="13">
        <f t="shared" si="7"/>
        <v>1.65</v>
      </c>
      <c r="O483" s="14"/>
      <c r="P483" s="14"/>
      <c r="Q483" s="14"/>
      <c r="R483" s="14"/>
      <c r="S483" s="14" t="s">
        <v>1987</v>
      </c>
      <c r="T483" s="14" t="s">
        <v>1988</v>
      </c>
      <c r="U483" s="15">
        <v>2</v>
      </c>
      <c r="V483" s="10">
        <v>1</v>
      </c>
    </row>
    <row r="484" spans="1:22" ht="18" customHeight="1" x14ac:dyDescent="0.35">
      <c r="A484" s="10" t="s">
        <v>86</v>
      </c>
      <c r="B484" s="10" t="s">
        <v>3167</v>
      </c>
      <c r="C484" s="11" t="s">
        <v>3065</v>
      </c>
      <c r="D484" s="11" t="s">
        <v>24</v>
      </c>
      <c r="E484" s="12">
        <v>45887.792986111112</v>
      </c>
      <c r="F484" s="10" t="str">
        <f>TEXT(events[[#This Row],[Start Date]],"DDD")</f>
        <v>Mon</v>
      </c>
      <c r="G484" s="10">
        <f>YEAR(events[[#This Row],[Start Date]])</f>
        <v>2025</v>
      </c>
      <c r="H484" s="10" t="str">
        <f>TEXT(events[[#This Row],[Start Date]],"mmm")</f>
        <v>Aug</v>
      </c>
      <c r="I484" s="10" t="str">
        <f>CONCATENATE("WK_",WEEKNUM(events[[#This Row],[Start Date]]))</f>
        <v>WK_34</v>
      </c>
      <c r="J484" s="12">
        <v>45887.793032407404</v>
      </c>
      <c r="K484" s="10">
        <v>40</v>
      </c>
      <c r="L484" s="10" t="s">
        <v>25</v>
      </c>
      <c r="M484" s="10" t="s">
        <v>275</v>
      </c>
      <c r="N484" s="13">
        <f t="shared" si="7"/>
        <v>6.6666666666666666E-2</v>
      </c>
      <c r="O484" s="14" t="s">
        <v>65</v>
      </c>
      <c r="P484" s="14" t="s">
        <v>65</v>
      </c>
      <c r="Q484" s="14"/>
      <c r="R484" s="14"/>
      <c r="S484" s="14" t="s">
        <v>1981</v>
      </c>
      <c r="T484" s="14" t="s">
        <v>1982</v>
      </c>
      <c r="U484" s="15">
        <v>0</v>
      </c>
      <c r="V484" s="10">
        <v>1</v>
      </c>
    </row>
    <row r="485" spans="1:22" ht="18" customHeight="1" x14ac:dyDescent="0.35">
      <c r="A485" s="10" t="s">
        <v>123</v>
      </c>
      <c r="B485" s="10" t="s">
        <v>3281</v>
      </c>
      <c r="C485" s="11" t="s">
        <v>3064</v>
      </c>
      <c r="D485" s="11" t="s">
        <v>74</v>
      </c>
      <c r="E485" s="12">
        <v>45887.782118055555</v>
      </c>
      <c r="F485" s="10" t="str">
        <f>TEXT(events[[#This Row],[Start Date]],"DDD")</f>
        <v>Mon</v>
      </c>
      <c r="G485" s="10">
        <f>YEAR(events[[#This Row],[Start Date]])</f>
        <v>2025</v>
      </c>
      <c r="H485" s="10" t="str">
        <f>TEXT(events[[#This Row],[Start Date]],"mmm")</f>
        <v>Aug</v>
      </c>
      <c r="I485" s="10" t="str">
        <f>CONCATENATE("WK_",WEEKNUM(events[[#This Row],[Start Date]]))</f>
        <v>WK_34</v>
      </c>
      <c r="J485" s="12">
        <v>45887.783043981479</v>
      </c>
      <c r="K485" s="10">
        <v>97</v>
      </c>
      <c r="L485" s="10" t="s">
        <v>25</v>
      </c>
      <c r="M485" s="10" t="s">
        <v>441</v>
      </c>
      <c r="N485" s="13">
        <f t="shared" si="7"/>
        <v>1.3166666666666667</v>
      </c>
      <c r="O485" s="14"/>
      <c r="P485" s="14"/>
      <c r="Q485" s="14"/>
      <c r="R485" s="14"/>
      <c r="S485" s="14" t="s">
        <v>1995</v>
      </c>
      <c r="T485" s="14" t="s">
        <v>1996</v>
      </c>
      <c r="U485" s="15">
        <v>2</v>
      </c>
      <c r="V485" s="10">
        <v>1</v>
      </c>
    </row>
    <row r="486" spans="1:22" ht="18" customHeight="1" x14ac:dyDescent="0.35">
      <c r="A486" s="10" t="s">
        <v>86</v>
      </c>
      <c r="B486" s="10" t="s">
        <v>3164</v>
      </c>
      <c r="C486" s="11" t="s">
        <v>2989</v>
      </c>
      <c r="D486" s="11" t="s">
        <v>24</v>
      </c>
      <c r="E486" s="12">
        <v>45887.712511574071</v>
      </c>
      <c r="F486" s="10" t="str">
        <f>TEXT(events[[#This Row],[Start Date]],"DDD")</f>
        <v>Mon</v>
      </c>
      <c r="G486" s="10">
        <f>YEAR(events[[#This Row],[Start Date]])</f>
        <v>2025</v>
      </c>
      <c r="H486" s="10" t="str">
        <f>TEXT(events[[#This Row],[Start Date]],"mmm")</f>
        <v>Aug</v>
      </c>
      <c r="I486" s="10" t="str">
        <f>CONCATENATE("WK_",WEEKNUM(events[[#This Row],[Start Date]]))</f>
        <v>WK_34</v>
      </c>
      <c r="J486" s="12">
        <v>45887.712592592594</v>
      </c>
      <c r="K486" s="10">
        <v>37</v>
      </c>
      <c r="L486" s="10" t="s">
        <v>25</v>
      </c>
      <c r="M486" s="10" t="s">
        <v>115</v>
      </c>
      <c r="N486" s="13">
        <f t="shared" si="7"/>
        <v>0.11666666666666667</v>
      </c>
      <c r="O486" s="14" t="s">
        <v>92</v>
      </c>
      <c r="P486" s="14" t="s">
        <v>92</v>
      </c>
      <c r="Q486" s="14"/>
      <c r="R486" s="14"/>
      <c r="S486" s="14" t="s">
        <v>1960</v>
      </c>
      <c r="T486" s="14" t="s">
        <v>1961</v>
      </c>
      <c r="U486" s="15">
        <v>0.1094</v>
      </c>
      <c r="V486" s="10">
        <v>1</v>
      </c>
    </row>
    <row r="487" spans="1:22" ht="18" customHeight="1" x14ac:dyDescent="0.35">
      <c r="A487" s="10" t="s">
        <v>123</v>
      </c>
      <c r="B487" s="10" t="s">
        <v>3297</v>
      </c>
      <c r="C487" s="11" t="s">
        <v>3083</v>
      </c>
      <c r="D487" s="11" t="s">
        <v>74</v>
      </c>
      <c r="E487" s="12">
        <v>45887.703252314815</v>
      </c>
      <c r="F487" s="10" t="str">
        <f>TEXT(events[[#This Row],[Start Date]],"DDD")</f>
        <v>Mon</v>
      </c>
      <c r="G487" s="10">
        <f>YEAR(events[[#This Row],[Start Date]])</f>
        <v>2025</v>
      </c>
      <c r="H487" s="10" t="str">
        <f>TEXT(events[[#This Row],[Start Date]],"mmm")</f>
        <v>Aug</v>
      </c>
      <c r="I487" s="10" t="str">
        <f>CONCATENATE("WK_",WEEKNUM(events[[#This Row],[Start Date]]))</f>
        <v>WK_34</v>
      </c>
      <c r="J487" s="12">
        <v>45887.703946759262</v>
      </c>
      <c r="K487" s="10">
        <v>100</v>
      </c>
      <c r="L487" s="10" t="s">
        <v>25</v>
      </c>
      <c r="M487" s="10" t="s">
        <v>538</v>
      </c>
      <c r="N487" s="13">
        <f t="shared" si="7"/>
        <v>0.98333333333333328</v>
      </c>
      <c r="O487" s="14"/>
      <c r="P487" s="14"/>
      <c r="Q487" s="14"/>
      <c r="R487" s="14"/>
      <c r="S487" s="14" t="s">
        <v>1999</v>
      </c>
      <c r="T487" s="14" t="s">
        <v>2000</v>
      </c>
      <c r="U487" s="15">
        <v>2</v>
      </c>
      <c r="V487" s="10">
        <v>1</v>
      </c>
    </row>
    <row r="488" spans="1:22" ht="18" customHeight="1" x14ac:dyDescent="0.35">
      <c r="A488" s="10" t="s">
        <v>86</v>
      </c>
      <c r="B488" s="10" t="s">
        <v>3299</v>
      </c>
      <c r="C488" s="11" t="s">
        <v>3085</v>
      </c>
      <c r="D488" s="11" t="s">
        <v>24</v>
      </c>
      <c r="E488" s="12">
        <v>45887.585219907407</v>
      </c>
      <c r="F488" s="10" t="str">
        <f>TEXT(events[[#This Row],[Start Date]],"DDD")</f>
        <v>Mon</v>
      </c>
      <c r="G488" s="10">
        <f>YEAR(events[[#This Row],[Start Date]])</f>
        <v>2025</v>
      </c>
      <c r="H488" s="10" t="str">
        <f>TEXT(events[[#This Row],[Start Date]],"mmm")</f>
        <v>Aug</v>
      </c>
      <c r="I488" s="10" t="str">
        <f>CONCATENATE("WK_",WEEKNUM(events[[#This Row],[Start Date]]))</f>
        <v>WK_34</v>
      </c>
      <c r="J488" s="12">
        <v>45887.585243055553</v>
      </c>
      <c r="K488" s="10">
        <v>35</v>
      </c>
      <c r="L488" s="10" t="s">
        <v>25</v>
      </c>
      <c r="M488" s="10" t="s">
        <v>31</v>
      </c>
      <c r="N488" s="13">
        <f t="shared" si="7"/>
        <v>3.3333333333333333E-2</v>
      </c>
      <c r="O488" s="14" t="s">
        <v>49</v>
      </c>
      <c r="P488" s="14" t="s">
        <v>49</v>
      </c>
      <c r="Q488" s="14"/>
      <c r="R488" s="14"/>
      <c r="S488" s="14" t="s">
        <v>1984</v>
      </c>
      <c r="T488" s="14" t="s">
        <v>1985</v>
      </c>
      <c r="U488" s="15">
        <v>0</v>
      </c>
      <c r="V488" s="10">
        <v>1</v>
      </c>
    </row>
    <row r="489" spans="1:22" ht="18" customHeight="1" x14ac:dyDescent="0.35">
      <c r="A489" s="10" t="s">
        <v>123</v>
      </c>
      <c r="B489" s="10" t="s">
        <v>3300</v>
      </c>
      <c r="C489" s="11" t="s">
        <v>3086</v>
      </c>
      <c r="D489" s="11" t="s">
        <v>74</v>
      </c>
      <c r="E489" s="12">
        <v>45887.565289351849</v>
      </c>
      <c r="F489" s="10" t="str">
        <f>TEXT(events[[#This Row],[Start Date]],"DDD")</f>
        <v>Mon</v>
      </c>
      <c r="G489" s="10">
        <f>YEAR(events[[#This Row],[Start Date]])</f>
        <v>2025</v>
      </c>
      <c r="H489" s="10" t="str">
        <f>TEXT(events[[#This Row],[Start Date]],"mmm")</f>
        <v>Aug</v>
      </c>
      <c r="I489" s="10" t="str">
        <f>CONCATENATE("WK_",WEEKNUM(events[[#This Row],[Start Date]]))</f>
        <v>WK_34</v>
      </c>
      <c r="J489" s="12">
        <v>45887.565706018519</v>
      </c>
      <c r="K489" s="10">
        <v>89</v>
      </c>
      <c r="L489" s="10" t="s">
        <v>25</v>
      </c>
      <c r="M489" s="10" t="s">
        <v>215</v>
      </c>
      <c r="N489" s="13">
        <f t="shared" si="7"/>
        <v>0.58333333333333337</v>
      </c>
      <c r="O489" s="14"/>
      <c r="P489" s="14"/>
      <c r="Q489" s="14"/>
      <c r="R489" s="14"/>
      <c r="S489" s="14" t="s">
        <v>1997</v>
      </c>
      <c r="T489" s="14" t="s">
        <v>1998</v>
      </c>
      <c r="U489" s="15">
        <v>1</v>
      </c>
      <c r="V489" s="10">
        <v>1</v>
      </c>
    </row>
    <row r="490" spans="1:22" ht="18" customHeight="1" x14ac:dyDescent="0.35">
      <c r="A490" s="10" t="s">
        <v>123</v>
      </c>
      <c r="B490" s="10" t="s">
        <v>3296</v>
      </c>
      <c r="C490" s="11" t="s">
        <v>3082</v>
      </c>
      <c r="D490" s="11" t="s">
        <v>74</v>
      </c>
      <c r="E490" s="12">
        <v>45887.399594907409</v>
      </c>
      <c r="F490" s="10" t="str">
        <f>TEXT(events[[#This Row],[Start Date]],"DDD")</f>
        <v>Mon</v>
      </c>
      <c r="G490" s="10">
        <f>YEAR(events[[#This Row],[Start Date]])</f>
        <v>2025</v>
      </c>
      <c r="H490" s="10" t="str">
        <f>TEXT(events[[#This Row],[Start Date]],"mmm")</f>
        <v>Aug</v>
      </c>
      <c r="I490" s="10" t="str">
        <f>CONCATENATE("WK_",WEEKNUM(events[[#This Row],[Start Date]]))</f>
        <v>WK_34</v>
      </c>
      <c r="J490" s="12">
        <v>45887.400289351855</v>
      </c>
      <c r="K490" s="10">
        <v>89</v>
      </c>
      <c r="L490" s="10" t="s">
        <v>25</v>
      </c>
      <c r="M490" s="10" t="s">
        <v>538</v>
      </c>
      <c r="N490" s="13">
        <f t="shared" si="7"/>
        <v>0.98333333333333328</v>
      </c>
      <c r="O490" s="14"/>
      <c r="P490" s="14"/>
      <c r="Q490" s="14"/>
      <c r="R490" s="14"/>
      <c r="S490" s="14" t="s">
        <v>2001</v>
      </c>
      <c r="T490" s="14" t="s">
        <v>2002</v>
      </c>
      <c r="U490" s="15">
        <v>2</v>
      </c>
      <c r="V490" s="10">
        <v>1</v>
      </c>
    </row>
    <row r="491" spans="1:22" ht="18" customHeight="1" x14ac:dyDescent="0.35">
      <c r="A491" s="10" t="s">
        <v>47</v>
      </c>
      <c r="B491" s="10" t="s">
        <v>3201</v>
      </c>
      <c r="C491" s="11" t="s">
        <v>2968</v>
      </c>
      <c r="D491" s="11" t="s">
        <v>24</v>
      </c>
      <c r="E491" s="12">
        <v>45886.770775462966</v>
      </c>
      <c r="F491" s="10" t="str">
        <f>TEXT(events[[#This Row],[Start Date]],"DDD")</f>
        <v>Sun</v>
      </c>
      <c r="G491" s="10">
        <f>YEAR(events[[#This Row],[Start Date]])</f>
        <v>2025</v>
      </c>
      <c r="H491" s="10" t="str">
        <f>TEXT(events[[#This Row],[Start Date]],"mmm")</f>
        <v>Aug</v>
      </c>
      <c r="I491" s="10" t="str">
        <f>CONCATENATE("WK_",WEEKNUM(events[[#This Row],[Start Date]]))</f>
        <v>WK_34</v>
      </c>
      <c r="J491" s="12">
        <v>45886.770925925928</v>
      </c>
      <c r="K491" s="10">
        <v>50</v>
      </c>
      <c r="L491" s="10" t="s">
        <v>25</v>
      </c>
      <c r="M491" s="10" t="s">
        <v>167</v>
      </c>
      <c r="N491" s="13">
        <f t="shared" si="7"/>
        <v>0.21666666666666667</v>
      </c>
      <c r="O491" s="14" t="s">
        <v>231</v>
      </c>
      <c r="P491" s="14" t="s">
        <v>231</v>
      </c>
      <c r="Q491" s="14"/>
      <c r="R491" s="14"/>
      <c r="S491" s="14" t="s">
        <v>1950</v>
      </c>
      <c r="T491" s="14" t="s">
        <v>1951</v>
      </c>
      <c r="U491" s="15">
        <v>0.1875</v>
      </c>
      <c r="V491" s="10">
        <v>1</v>
      </c>
    </row>
    <row r="492" spans="1:22" ht="18" customHeight="1" x14ac:dyDescent="0.35">
      <c r="A492" s="10" t="s">
        <v>86</v>
      </c>
      <c r="B492" s="10" t="s">
        <v>3169</v>
      </c>
      <c r="C492" s="11" t="s">
        <v>2935</v>
      </c>
      <c r="D492" s="11" t="s">
        <v>24</v>
      </c>
      <c r="E492" s="12">
        <v>45886.710312499999</v>
      </c>
      <c r="F492" s="10" t="str">
        <f>TEXT(events[[#This Row],[Start Date]],"DDD")</f>
        <v>Sun</v>
      </c>
      <c r="G492" s="10">
        <f>YEAR(events[[#This Row],[Start Date]])</f>
        <v>2025</v>
      </c>
      <c r="H492" s="10" t="str">
        <f>TEXT(events[[#This Row],[Start Date]],"mmm")</f>
        <v>Aug</v>
      </c>
      <c r="I492" s="10" t="str">
        <f>CONCATENATE("WK_",WEEKNUM(events[[#This Row],[Start Date]]))</f>
        <v>WK_34</v>
      </c>
      <c r="J492" s="12">
        <v>45886.710416666669</v>
      </c>
      <c r="K492" s="10">
        <v>38</v>
      </c>
      <c r="L492" s="10" t="s">
        <v>25</v>
      </c>
      <c r="M492" s="10" t="s">
        <v>414</v>
      </c>
      <c r="N492" s="13">
        <f t="shared" si="7"/>
        <v>0.15</v>
      </c>
      <c r="O492" s="14" t="s">
        <v>50</v>
      </c>
      <c r="P492" s="14" t="s">
        <v>50</v>
      </c>
      <c r="Q492" s="14"/>
      <c r="R492" s="14"/>
      <c r="S492" s="14" t="s">
        <v>1975</v>
      </c>
      <c r="T492" s="14" t="s">
        <v>1976</v>
      </c>
      <c r="U492" s="15">
        <v>0.1016</v>
      </c>
      <c r="V492" s="10">
        <v>1</v>
      </c>
    </row>
    <row r="493" spans="1:22" ht="18" customHeight="1" x14ac:dyDescent="0.35">
      <c r="A493" s="10" t="s">
        <v>123</v>
      </c>
      <c r="B493" s="10" t="s">
        <v>3281</v>
      </c>
      <c r="C493" s="11" t="s">
        <v>3064</v>
      </c>
      <c r="D493" s="11" t="s">
        <v>74</v>
      </c>
      <c r="E493" s="12">
        <v>45886.69127314815</v>
      </c>
      <c r="F493" s="10" t="str">
        <f>TEXT(events[[#This Row],[Start Date]],"DDD")</f>
        <v>Sun</v>
      </c>
      <c r="G493" s="10">
        <f>YEAR(events[[#This Row],[Start Date]])</f>
        <v>2025</v>
      </c>
      <c r="H493" s="10" t="str">
        <f>TEXT(events[[#This Row],[Start Date]],"mmm")</f>
        <v>Aug</v>
      </c>
      <c r="I493" s="10" t="str">
        <f>CONCATENATE("WK_",WEEKNUM(events[[#This Row],[Start Date]]))</f>
        <v>WK_34</v>
      </c>
      <c r="J493" s="12">
        <v>45886.693032407406</v>
      </c>
      <c r="K493" s="10">
        <v>95</v>
      </c>
      <c r="L493" s="10" t="s">
        <v>25</v>
      </c>
      <c r="M493" s="10" t="s">
        <v>2017</v>
      </c>
      <c r="N493" s="13">
        <f t="shared" si="7"/>
        <v>2.5333333333333332</v>
      </c>
      <c r="O493" s="14"/>
      <c r="P493" s="14"/>
      <c r="Q493" s="14"/>
      <c r="R493" s="14"/>
      <c r="S493" s="14" t="s">
        <v>2018</v>
      </c>
      <c r="T493" s="14" t="s">
        <v>2019</v>
      </c>
      <c r="U493" s="15">
        <v>4</v>
      </c>
      <c r="V493" s="10">
        <v>1</v>
      </c>
    </row>
    <row r="494" spans="1:22" ht="18" customHeight="1" x14ac:dyDescent="0.35">
      <c r="A494" s="10" t="s">
        <v>86</v>
      </c>
      <c r="B494" s="10" t="s">
        <v>3188</v>
      </c>
      <c r="C494" s="11" t="s">
        <v>3054</v>
      </c>
      <c r="D494" s="11" t="s">
        <v>24</v>
      </c>
      <c r="E494" s="12">
        <v>45886.557002314818</v>
      </c>
      <c r="F494" s="10" t="str">
        <f>TEXT(events[[#This Row],[Start Date]],"DDD")</f>
        <v>Sun</v>
      </c>
      <c r="G494" s="10">
        <f>YEAR(events[[#This Row],[Start Date]])</f>
        <v>2025</v>
      </c>
      <c r="H494" s="10" t="str">
        <f>TEXT(events[[#This Row],[Start Date]],"mmm")</f>
        <v>Aug</v>
      </c>
      <c r="I494" s="10" t="str">
        <f>CONCATENATE("WK_",WEEKNUM(events[[#This Row],[Start Date]]))</f>
        <v>WK_34</v>
      </c>
      <c r="J494" s="12">
        <v>45886.557129629633</v>
      </c>
      <c r="K494" s="10">
        <v>32</v>
      </c>
      <c r="L494" s="10" t="s">
        <v>25</v>
      </c>
      <c r="M494" s="10" t="s">
        <v>212</v>
      </c>
      <c r="N494" s="13">
        <f t="shared" si="7"/>
        <v>0.18333333333333332</v>
      </c>
      <c r="O494" s="14" t="s">
        <v>965</v>
      </c>
      <c r="P494" s="14" t="s">
        <v>965</v>
      </c>
      <c r="Q494" s="14"/>
      <c r="R494" s="14"/>
      <c r="S494" s="14" t="s">
        <v>1962</v>
      </c>
      <c r="T494" s="14" t="s">
        <v>1963</v>
      </c>
      <c r="U494" s="15">
        <v>0.1016</v>
      </c>
      <c r="V494" s="10">
        <v>1</v>
      </c>
    </row>
    <row r="495" spans="1:22" ht="18" customHeight="1" x14ac:dyDescent="0.35">
      <c r="A495" s="10" t="s">
        <v>47</v>
      </c>
      <c r="B495" s="10" t="s">
        <v>3301</v>
      </c>
      <c r="C495" s="11" t="s">
        <v>3087</v>
      </c>
      <c r="D495" s="11" t="s">
        <v>82</v>
      </c>
      <c r="E495" s="12">
        <v>45886.539351851854</v>
      </c>
      <c r="F495" s="10" t="str">
        <f>TEXT(events[[#This Row],[Start Date]],"DDD")</f>
        <v>Sun</v>
      </c>
      <c r="G495" s="10">
        <f>YEAR(events[[#This Row],[Start Date]])</f>
        <v>2025</v>
      </c>
      <c r="H495" s="10" t="str">
        <f>TEXT(events[[#This Row],[Start Date]],"mmm")</f>
        <v>Aug</v>
      </c>
      <c r="I495" s="10" t="str">
        <f>CONCATENATE("WK_",WEEKNUM(events[[#This Row],[Start Date]]))</f>
        <v>WK_34</v>
      </c>
      <c r="J495" s="12">
        <v>45886.539363425924</v>
      </c>
      <c r="K495" s="10">
        <v>28</v>
      </c>
      <c r="L495" s="10" t="s">
        <v>83</v>
      </c>
      <c r="M495" s="10" t="s">
        <v>26</v>
      </c>
      <c r="N495" s="13">
        <f t="shared" si="7"/>
        <v>1.6666666666666666E-2</v>
      </c>
      <c r="O495" s="14" t="s">
        <v>27</v>
      </c>
      <c r="P495" s="14"/>
      <c r="Q495" s="14"/>
      <c r="R495" s="14"/>
      <c r="S495" s="14" t="s">
        <v>1959</v>
      </c>
      <c r="T495" s="14"/>
      <c r="U495" s="15">
        <v>0</v>
      </c>
      <c r="V495" s="10">
        <v>1</v>
      </c>
    </row>
    <row r="496" spans="1:22" ht="18" customHeight="1" x14ac:dyDescent="0.35">
      <c r="A496" s="10" t="s">
        <v>123</v>
      </c>
      <c r="B496" s="10" t="s">
        <v>3302</v>
      </c>
      <c r="C496" s="11" t="s">
        <v>3088</v>
      </c>
      <c r="D496" s="11" t="s">
        <v>74</v>
      </c>
      <c r="E496" s="12">
        <v>45886.508831018517</v>
      </c>
      <c r="F496" s="10" t="str">
        <f>TEXT(events[[#This Row],[Start Date]],"DDD")</f>
        <v>Sun</v>
      </c>
      <c r="G496" s="10">
        <f>YEAR(events[[#This Row],[Start Date]])</f>
        <v>2025</v>
      </c>
      <c r="H496" s="10" t="str">
        <f>TEXT(events[[#This Row],[Start Date]],"mmm")</f>
        <v>Aug</v>
      </c>
      <c r="I496" s="10" t="str">
        <f>CONCATENATE("WK_",WEEKNUM(events[[#This Row],[Start Date]]))</f>
        <v>WK_34</v>
      </c>
      <c r="J496" s="12">
        <v>45886.51021990741</v>
      </c>
      <c r="K496" s="10">
        <v>94</v>
      </c>
      <c r="L496" s="10" t="s">
        <v>25</v>
      </c>
      <c r="M496" s="10" t="s">
        <v>794</v>
      </c>
      <c r="N496" s="13">
        <f t="shared" si="7"/>
        <v>1.9833333333333334</v>
      </c>
      <c r="O496" s="14"/>
      <c r="P496" s="14"/>
      <c r="Q496" s="14"/>
      <c r="R496" s="14"/>
      <c r="S496" s="14" t="s">
        <v>2012</v>
      </c>
      <c r="T496" s="14" t="s">
        <v>2013</v>
      </c>
      <c r="U496" s="15">
        <v>3</v>
      </c>
      <c r="V496" s="10">
        <v>1</v>
      </c>
    </row>
    <row r="497" spans="1:22" ht="18" customHeight="1" x14ac:dyDescent="0.35">
      <c r="A497" s="10" t="s">
        <v>123</v>
      </c>
      <c r="B497" s="10" t="s">
        <v>3247</v>
      </c>
      <c r="C497" s="11" t="s">
        <v>3016</v>
      </c>
      <c r="D497" s="11" t="s">
        <v>74</v>
      </c>
      <c r="E497" s="12">
        <v>45886.425138888888</v>
      </c>
      <c r="F497" s="10" t="str">
        <f>TEXT(events[[#This Row],[Start Date]],"DDD")</f>
        <v>Sun</v>
      </c>
      <c r="G497" s="10">
        <f>YEAR(events[[#This Row],[Start Date]])</f>
        <v>2025</v>
      </c>
      <c r="H497" s="10" t="str">
        <f>TEXT(events[[#This Row],[Start Date]],"mmm")</f>
        <v>Aug</v>
      </c>
      <c r="I497" s="10" t="str">
        <f>CONCATENATE("WK_",WEEKNUM(events[[#This Row],[Start Date]]))</f>
        <v>WK_34</v>
      </c>
      <c r="J497" s="12">
        <v>45886.425474537034</v>
      </c>
      <c r="K497" s="10">
        <v>102</v>
      </c>
      <c r="L497" s="10" t="s">
        <v>25</v>
      </c>
      <c r="M497" s="10" t="s">
        <v>1151</v>
      </c>
      <c r="N497" s="13">
        <f t="shared" si="7"/>
        <v>0.48333333333333334</v>
      </c>
      <c r="O497" s="14"/>
      <c r="P497" s="14"/>
      <c r="Q497" s="14"/>
      <c r="R497" s="14"/>
      <c r="S497" s="14" t="s">
        <v>2010</v>
      </c>
      <c r="T497" s="14" t="s">
        <v>2011</v>
      </c>
      <c r="U497" s="15">
        <v>1</v>
      </c>
      <c r="V497" s="10">
        <v>1</v>
      </c>
    </row>
    <row r="498" spans="1:22" ht="18" customHeight="1" x14ac:dyDescent="0.35">
      <c r="A498" s="10" t="s">
        <v>123</v>
      </c>
      <c r="B498" s="10" t="s">
        <v>3303</v>
      </c>
      <c r="C498" s="11" t="s">
        <v>3089</v>
      </c>
      <c r="D498" s="11" t="s">
        <v>74</v>
      </c>
      <c r="E498" s="12">
        <v>45886.353564814817</v>
      </c>
      <c r="F498" s="10" t="str">
        <f>TEXT(events[[#This Row],[Start Date]],"DDD")</f>
        <v>Sun</v>
      </c>
      <c r="G498" s="10">
        <f>YEAR(events[[#This Row],[Start Date]])</f>
        <v>2025</v>
      </c>
      <c r="H498" s="10" t="str">
        <f>TEXT(events[[#This Row],[Start Date]],"mmm")</f>
        <v>Aug</v>
      </c>
      <c r="I498" s="10" t="str">
        <f>CONCATENATE("WK_",WEEKNUM(events[[#This Row],[Start Date]]))</f>
        <v>WK_34</v>
      </c>
      <c r="J498" s="12">
        <v>45886.354108796295</v>
      </c>
      <c r="K498" s="10">
        <v>89</v>
      </c>
      <c r="L498" s="10" t="s">
        <v>25</v>
      </c>
      <c r="M498" s="10" t="s">
        <v>2007</v>
      </c>
      <c r="N498" s="13">
        <f t="shared" si="7"/>
        <v>0.76666666666666672</v>
      </c>
      <c r="O498" s="14"/>
      <c r="P498" s="14"/>
      <c r="Q498" s="14"/>
      <c r="R498" s="14"/>
      <c r="S498" s="14" t="s">
        <v>2008</v>
      </c>
      <c r="T498" s="14" t="s">
        <v>2009</v>
      </c>
      <c r="U498" s="15">
        <v>1</v>
      </c>
      <c r="V498" s="10">
        <v>1</v>
      </c>
    </row>
    <row r="499" spans="1:22" ht="18" customHeight="1" x14ac:dyDescent="0.35">
      <c r="A499" s="10" t="s">
        <v>23</v>
      </c>
      <c r="B499" s="10" t="s">
        <v>3211</v>
      </c>
      <c r="C499" s="11" t="s">
        <v>2980</v>
      </c>
      <c r="D499" s="11" t="s">
        <v>24</v>
      </c>
      <c r="E499" s="12">
        <v>45886.258773148147</v>
      </c>
      <c r="F499" s="10" t="str">
        <f>TEXT(events[[#This Row],[Start Date]],"DDD")</f>
        <v>Sun</v>
      </c>
      <c r="G499" s="10">
        <f>YEAR(events[[#This Row],[Start Date]])</f>
        <v>2025</v>
      </c>
      <c r="H499" s="10" t="str">
        <f>TEXT(events[[#This Row],[Start Date]],"mmm")</f>
        <v>Aug</v>
      </c>
      <c r="I499" s="10" t="str">
        <f>CONCATENATE("WK_",WEEKNUM(events[[#This Row],[Start Date]]))</f>
        <v>WK_34</v>
      </c>
      <c r="J499" s="12">
        <v>45886.258784722224</v>
      </c>
      <c r="K499" s="10">
        <v>33</v>
      </c>
      <c r="L499" s="10" t="s">
        <v>25</v>
      </c>
      <c r="M499" s="10" t="s">
        <v>26</v>
      </c>
      <c r="N499" s="13">
        <f t="shared" si="7"/>
        <v>1.6666666666666666E-2</v>
      </c>
      <c r="O499" s="14" t="s">
        <v>92</v>
      </c>
      <c r="P499" s="14" t="s">
        <v>92</v>
      </c>
      <c r="Q499" s="14"/>
      <c r="R499" s="14"/>
      <c r="S499" s="14" t="s">
        <v>1943</v>
      </c>
      <c r="T499" s="14" t="s">
        <v>1944</v>
      </c>
      <c r="U499" s="15">
        <v>0</v>
      </c>
      <c r="V499" s="10">
        <v>1</v>
      </c>
    </row>
    <row r="500" spans="1:22" ht="18" customHeight="1" x14ac:dyDescent="0.35">
      <c r="A500" s="10" t="s">
        <v>123</v>
      </c>
      <c r="B500" s="10" t="s">
        <v>3242</v>
      </c>
      <c r="C500" s="11" t="s">
        <v>3010</v>
      </c>
      <c r="D500" s="11" t="s">
        <v>74</v>
      </c>
      <c r="E500" s="12">
        <v>45886.02820601852</v>
      </c>
      <c r="F500" s="10" t="str">
        <f>TEXT(events[[#This Row],[Start Date]],"DDD")</f>
        <v>Sun</v>
      </c>
      <c r="G500" s="10">
        <f>YEAR(events[[#This Row],[Start Date]])</f>
        <v>2025</v>
      </c>
      <c r="H500" s="10" t="str">
        <f>TEXT(events[[#This Row],[Start Date]],"mmm")</f>
        <v>Aug</v>
      </c>
      <c r="I500" s="10" t="str">
        <f>CONCATENATE("WK_",WEEKNUM(events[[#This Row],[Start Date]]))</f>
        <v>WK_34</v>
      </c>
      <c r="J500" s="12">
        <v>45886.030335648145</v>
      </c>
      <c r="K500" s="10">
        <v>108</v>
      </c>
      <c r="L500" s="10" t="s">
        <v>25</v>
      </c>
      <c r="M500" s="10" t="s">
        <v>2014</v>
      </c>
      <c r="N500" s="13">
        <f t="shared" si="7"/>
        <v>3.05</v>
      </c>
      <c r="O500" s="14"/>
      <c r="P500" s="14"/>
      <c r="Q500" s="14"/>
      <c r="R500" s="14"/>
      <c r="S500" s="14" t="s">
        <v>2015</v>
      </c>
      <c r="T500" s="14" t="s">
        <v>2016</v>
      </c>
      <c r="U500" s="15">
        <v>5</v>
      </c>
      <c r="V500" s="10">
        <v>1</v>
      </c>
    </row>
    <row r="501" spans="1:22" ht="18" customHeight="1" x14ac:dyDescent="0.35">
      <c r="A501" s="10" t="s">
        <v>123</v>
      </c>
      <c r="B501" s="10" t="s">
        <v>3304</v>
      </c>
      <c r="C501" s="11" t="s">
        <v>3090</v>
      </c>
      <c r="D501" s="11" t="s">
        <v>74</v>
      </c>
      <c r="E501" s="12">
        <v>45885.722071759257</v>
      </c>
      <c r="F501" s="10" t="str">
        <f>TEXT(events[[#This Row],[Start Date]],"DDD")</f>
        <v>Sat</v>
      </c>
      <c r="G501" s="10">
        <f>YEAR(events[[#This Row],[Start Date]])</f>
        <v>2025</v>
      </c>
      <c r="H501" s="10" t="str">
        <f>TEXT(events[[#This Row],[Start Date]],"mmm")</f>
        <v>Aug</v>
      </c>
      <c r="I501" s="10" t="str">
        <f>CONCATENATE("WK_",WEEKNUM(events[[#This Row],[Start Date]]))</f>
        <v>WK_33</v>
      </c>
      <c r="J501" s="12">
        <v>45885.723506944443</v>
      </c>
      <c r="K501" s="10">
        <v>94</v>
      </c>
      <c r="L501" s="10" t="s">
        <v>25</v>
      </c>
      <c r="M501" s="10" t="s">
        <v>730</v>
      </c>
      <c r="N501" s="13">
        <f t="shared" si="7"/>
        <v>2.0666666666666669</v>
      </c>
      <c r="O501" s="14"/>
      <c r="P501" s="14"/>
      <c r="Q501" s="14"/>
      <c r="R501" s="14"/>
      <c r="S501" s="14" t="s">
        <v>2005</v>
      </c>
      <c r="T501" s="14" t="s">
        <v>2006</v>
      </c>
      <c r="U501" s="15">
        <v>3</v>
      </c>
      <c r="V501" s="10">
        <v>1</v>
      </c>
    </row>
    <row r="502" spans="1:22" ht="18" customHeight="1" x14ac:dyDescent="0.35">
      <c r="A502" s="10" t="s">
        <v>123</v>
      </c>
      <c r="B502" s="10" t="s">
        <v>3305</v>
      </c>
      <c r="C502" s="11" t="s">
        <v>3091</v>
      </c>
      <c r="D502" s="11" t="s">
        <v>74</v>
      </c>
      <c r="E502" s="12">
        <v>45885.643773148149</v>
      </c>
      <c r="F502" s="10" t="str">
        <f>TEXT(events[[#This Row],[Start Date]],"DDD")</f>
        <v>Sat</v>
      </c>
      <c r="G502" s="10">
        <f>YEAR(events[[#This Row],[Start Date]])</f>
        <v>2025</v>
      </c>
      <c r="H502" s="10" t="str">
        <f>TEXT(events[[#This Row],[Start Date]],"mmm")</f>
        <v>Aug</v>
      </c>
      <c r="I502" s="10" t="str">
        <f>CONCATENATE("WK_",WEEKNUM(events[[#This Row],[Start Date]]))</f>
        <v>WK_33</v>
      </c>
      <c r="J502" s="12">
        <v>45885.644363425927</v>
      </c>
      <c r="K502" s="10">
        <v>95</v>
      </c>
      <c r="L502" s="10" t="s">
        <v>25</v>
      </c>
      <c r="M502" s="10" t="s">
        <v>580</v>
      </c>
      <c r="N502" s="13">
        <f t="shared" si="7"/>
        <v>0.83333333333333337</v>
      </c>
      <c r="O502" s="14"/>
      <c r="P502" s="14"/>
      <c r="Q502" s="14"/>
      <c r="R502" s="14"/>
      <c r="S502" s="14" t="s">
        <v>2003</v>
      </c>
      <c r="T502" s="14" t="s">
        <v>2004</v>
      </c>
      <c r="U502" s="15">
        <v>1</v>
      </c>
      <c r="V502" s="10">
        <v>1</v>
      </c>
    </row>
    <row r="503" spans="1:22" ht="18" customHeight="1" x14ac:dyDescent="0.35">
      <c r="A503" s="10" t="s">
        <v>86</v>
      </c>
      <c r="B503" s="10" t="s">
        <v>3223</v>
      </c>
      <c r="C503" s="11" t="s">
        <v>2978</v>
      </c>
      <c r="D503" s="11" t="s">
        <v>74</v>
      </c>
      <c r="E503" s="12">
        <v>45885.635289351849</v>
      </c>
      <c r="F503" s="10" t="str">
        <f>TEXT(events[[#This Row],[Start Date]],"DDD")</f>
        <v>Sat</v>
      </c>
      <c r="G503" s="10">
        <f>YEAR(events[[#This Row],[Start Date]])</f>
        <v>2025</v>
      </c>
      <c r="H503" s="10" t="str">
        <f>TEXT(events[[#This Row],[Start Date]],"mmm")</f>
        <v>Aug</v>
      </c>
      <c r="I503" s="10" t="str">
        <f>CONCATENATE("WK_",WEEKNUM(events[[#This Row],[Start Date]]))</f>
        <v>WK_33</v>
      </c>
      <c r="J503" s="12">
        <v>45885.635300925926</v>
      </c>
      <c r="K503" s="10">
        <v>81</v>
      </c>
      <c r="L503" s="10" t="s">
        <v>25</v>
      </c>
      <c r="M503" s="10" t="s">
        <v>26</v>
      </c>
      <c r="N503" s="13">
        <f t="shared" si="7"/>
        <v>1.6666666666666666E-2</v>
      </c>
      <c r="O503" s="14" t="s">
        <v>50</v>
      </c>
      <c r="P503" s="14" t="s">
        <v>50</v>
      </c>
      <c r="Q503" s="14"/>
      <c r="R503" s="14"/>
      <c r="S503" s="14" t="s">
        <v>1967</v>
      </c>
      <c r="T503" s="14" t="s">
        <v>1968</v>
      </c>
      <c r="U503" s="15">
        <v>0</v>
      </c>
      <c r="V503" s="10">
        <v>1</v>
      </c>
    </row>
    <row r="504" spans="1:22" ht="18" customHeight="1" x14ac:dyDescent="0.35">
      <c r="A504" s="10" t="s">
        <v>86</v>
      </c>
      <c r="B504" s="10" t="s">
        <v>3306</v>
      </c>
      <c r="C504" s="11" t="s">
        <v>3092</v>
      </c>
      <c r="D504" s="11" t="s">
        <v>24</v>
      </c>
      <c r="E504" s="12">
        <v>45885.534745370373</v>
      </c>
      <c r="F504" s="10" t="str">
        <f>TEXT(events[[#This Row],[Start Date]],"DDD")</f>
        <v>Sat</v>
      </c>
      <c r="G504" s="10">
        <f>YEAR(events[[#This Row],[Start Date]])</f>
        <v>2025</v>
      </c>
      <c r="H504" s="10" t="str">
        <f>TEXT(events[[#This Row],[Start Date]],"mmm")</f>
        <v>Aug</v>
      </c>
      <c r="I504" s="10" t="str">
        <f>CONCATENATE("WK_",WEEKNUM(events[[#This Row],[Start Date]]))</f>
        <v>WK_33</v>
      </c>
      <c r="J504" s="12">
        <v>45885.534756944442</v>
      </c>
      <c r="K504" s="10">
        <v>68</v>
      </c>
      <c r="L504" s="10" t="s">
        <v>25</v>
      </c>
      <c r="M504" s="10" t="s">
        <v>26</v>
      </c>
      <c r="N504" s="13">
        <f t="shared" si="7"/>
        <v>1.6666666666666666E-2</v>
      </c>
      <c r="O504" s="14" t="s">
        <v>92</v>
      </c>
      <c r="P504" s="14" t="s">
        <v>92</v>
      </c>
      <c r="Q504" s="14"/>
      <c r="R504" s="14"/>
      <c r="S504" s="14" t="s">
        <v>1977</v>
      </c>
      <c r="T504" s="14" t="s">
        <v>1978</v>
      </c>
      <c r="U504" s="15">
        <v>0</v>
      </c>
      <c r="V504" s="10">
        <v>1</v>
      </c>
    </row>
    <row r="505" spans="1:22" ht="18" customHeight="1" x14ac:dyDescent="0.35">
      <c r="A505" s="10" t="s">
        <v>86</v>
      </c>
      <c r="B505" s="10" t="s">
        <v>3220</v>
      </c>
      <c r="C505" s="11" t="s">
        <v>3062</v>
      </c>
      <c r="D505" s="11" t="s">
        <v>74</v>
      </c>
      <c r="E505" s="12">
        <v>45885.275439814817</v>
      </c>
      <c r="F505" s="10" t="str">
        <f>TEXT(events[[#This Row],[Start Date]],"DDD")</f>
        <v>Sat</v>
      </c>
      <c r="G505" s="10">
        <f>YEAR(events[[#This Row],[Start Date]])</f>
        <v>2025</v>
      </c>
      <c r="H505" s="10" t="str">
        <f>TEXT(events[[#This Row],[Start Date]],"mmm")</f>
        <v>Aug</v>
      </c>
      <c r="I505" s="10" t="str">
        <f>CONCATENATE("WK_",WEEKNUM(events[[#This Row],[Start Date]]))</f>
        <v>WK_33</v>
      </c>
      <c r="J505" s="12">
        <v>45885.275567129633</v>
      </c>
      <c r="K505" s="10">
        <v>85</v>
      </c>
      <c r="L505" s="10" t="s">
        <v>25</v>
      </c>
      <c r="M505" s="10" t="s">
        <v>212</v>
      </c>
      <c r="N505" s="13">
        <f t="shared" si="7"/>
        <v>0.18333333333333332</v>
      </c>
      <c r="O505" s="14" t="s">
        <v>209</v>
      </c>
      <c r="P505" s="14" t="s">
        <v>209</v>
      </c>
      <c r="Q505" s="14"/>
      <c r="R505" s="14"/>
      <c r="S505" s="14" t="s">
        <v>1979</v>
      </c>
      <c r="T505" s="14" t="s">
        <v>1980</v>
      </c>
      <c r="U505" s="15">
        <v>0.3125</v>
      </c>
      <c r="V505" s="10">
        <v>1</v>
      </c>
    </row>
    <row r="506" spans="1:22" ht="18" customHeight="1" x14ac:dyDescent="0.35">
      <c r="A506" s="10" t="s">
        <v>47</v>
      </c>
      <c r="B506" s="10" t="s">
        <v>3191</v>
      </c>
      <c r="C506" s="11" t="s">
        <v>2958</v>
      </c>
      <c r="D506" s="11" t="s">
        <v>24</v>
      </c>
      <c r="E506" s="12">
        <v>45884.995393518519</v>
      </c>
      <c r="F506" s="10" t="str">
        <f>TEXT(events[[#This Row],[Start Date]],"DDD")</f>
        <v>Fri</v>
      </c>
      <c r="G506" s="10">
        <f>YEAR(events[[#This Row],[Start Date]])</f>
        <v>2025</v>
      </c>
      <c r="H506" s="10" t="str">
        <f>TEXT(events[[#This Row],[Start Date]],"mmm")</f>
        <v>Aug</v>
      </c>
      <c r="I506" s="10" t="str">
        <f>CONCATENATE("WK_",WEEKNUM(events[[#This Row],[Start Date]]))</f>
        <v>WK_33</v>
      </c>
      <c r="J506" s="12">
        <v>45884.996296296296</v>
      </c>
      <c r="K506" s="10">
        <v>56</v>
      </c>
      <c r="L506" s="10" t="s">
        <v>25</v>
      </c>
      <c r="M506" s="10" t="s">
        <v>454</v>
      </c>
      <c r="N506" s="13">
        <f t="shared" si="7"/>
        <v>1.3</v>
      </c>
      <c r="O506" s="14" t="s">
        <v>38</v>
      </c>
      <c r="P506" s="14" t="s">
        <v>38</v>
      </c>
      <c r="Q506" s="14"/>
      <c r="R506" s="14"/>
      <c r="S506" s="14" t="s">
        <v>1952</v>
      </c>
      <c r="T506" s="14" t="s">
        <v>1953</v>
      </c>
      <c r="U506" s="15">
        <v>1</v>
      </c>
      <c r="V506" s="10">
        <v>1</v>
      </c>
    </row>
    <row r="507" spans="1:22" ht="18" customHeight="1" x14ac:dyDescent="0.35">
      <c r="A507" s="10" t="s">
        <v>47</v>
      </c>
      <c r="B507" s="10" t="s">
        <v>3191</v>
      </c>
      <c r="C507" s="11" t="s">
        <v>2958</v>
      </c>
      <c r="D507" s="11" t="s">
        <v>82</v>
      </c>
      <c r="E507" s="12">
        <v>45884.869166666664</v>
      </c>
      <c r="F507" s="10" t="str">
        <f>TEXT(events[[#This Row],[Start Date]],"DDD")</f>
        <v>Fri</v>
      </c>
      <c r="G507" s="10">
        <f>YEAR(events[[#This Row],[Start Date]])</f>
        <v>2025</v>
      </c>
      <c r="H507" s="10" t="str">
        <f>TEXT(events[[#This Row],[Start Date]],"mmm")</f>
        <v>Aug</v>
      </c>
      <c r="I507" s="10" t="str">
        <f>CONCATENATE("WK_",WEEKNUM(events[[#This Row],[Start Date]]))</f>
        <v>WK_33</v>
      </c>
      <c r="J507" s="12">
        <v>45884.86917824074</v>
      </c>
      <c r="K507" s="10">
        <v>16</v>
      </c>
      <c r="L507" s="10" t="s">
        <v>83</v>
      </c>
      <c r="M507" s="10" t="s">
        <v>26</v>
      </c>
      <c r="N507" s="13">
        <f t="shared" si="7"/>
        <v>1.6666666666666666E-2</v>
      </c>
      <c r="O507" s="14" t="s">
        <v>321</v>
      </c>
      <c r="P507" s="14"/>
      <c r="Q507" s="14"/>
      <c r="R507" s="14"/>
      <c r="S507" s="14" t="s">
        <v>1954</v>
      </c>
      <c r="T507" s="14"/>
      <c r="U507" s="15">
        <v>0</v>
      </c>
      <c r="V507" s="10">
        <v>1</v>
      </c>
    </row>
    <row r="508" spans="1:22" ht="18" customHeight="1" x14ac:dyDescent="0.35">
      <c r="A508" s="10" t="s">
        <v>86</v>
      </c>
      <c r="B508" s="10" t="s">
        <v>3171</v>
      </c>
      <c r="C508" s="11" t="s">
        <v>2938</v>
      </c>
      <c r="D508" s="11" t="s">
        <v>24</v>
      </c>
      <c r="E508" s="12">
        <v>45884.671157407407</v>
      </c>
      <c r="F508" s="10" t="str">
        <f>TEXT(events[[#This Row],[Start Date]],"DDD")</f>
        <v>Fri</v>
      </c>
      <c r="G508" s="10">
        <f>YEAR(events[[#This Row],[Start Date]])</f>
        <v>2025</v>
      </c>
      <c r="H508" s="10" t="str">
        <f>TEXT(events[[#This Row],[Start Date]],"mmm")</f>
        <v>Aug</v>
      </c>
      <c r="I508" s="10" t="str">
        <f>CONCATENATE("WK_",WEEKNUM(events[[#This Row],[Start Date]]))</f>
        <v>WK_33</v>
      </c>
      <c r="J508" s="12">
        <v>45884.671157407407</v>
      </c>
      <c r="K508" s="10">
        <v>41</v>
      </c>
      <c r="L508" s="10" t="s">
        <v>25</v>
      </c>
      <c r="M508" s="10" t="s">
        <v>87</v>
      </c>
      <c r="N508" s="13">
        <f t="shared" si="7"/>
        <v>0</v>
      </c>
      <c r="O508" s="14" t="s">
        <v>50</v>
      </c>
      <c r="P508" s="14" t="s">
        <v>50</v>
      </c>
      <c r="Q508" s="14"/>
      <c r="R508" s="14"/>
      <c r="S508" s="14" t="s">
        <v>1969</v>
      </c>
      <c r="T508" s="14" t="s">
        <v>1969</v>
      </c>
      <c r="U508" s="15">
        <v>0</v>
      </c>
      <c r="V508" s="10">
        <v>1</v>
      </c>
    </row>
    <row r="509" spans="1:22" ht="18" customHeight="1" x14ac:dyDescent="0.35">
      <c r="A509" s="10" t="s">
        <v>23</v>
      </c>
      <c r="B509" s="10" t="s">
        <v>3209</v>
      </c>
      <c r="C509" s="11" t="s">
        <v>2977</v>
      </c>
      <c r="D509" s="11" t="s">
        <v>24</v>
      </c>
      <c r="E509" s="12">
        <v>45884.585856481484</v>
      </c>
      <c r="F509" s="10" t="str">
        <f>TEXT(events[[#This Row],[Start Date]],"DDD")</f>
        <v>Fri</v>
      </c>
      <c r="G509" s="10">
        <f>YEAR(events[[#This Row],[Start Date]])</f>
        <v>2025</v>
      </c>
      <c r="H509" s="10" t="str">
        <f>TEXT(events[[#This Row],[Start Date]],"mmm")</f>
        <v>Aug</v>
      </c>
      <c r="I509" s="10" t="str">
        <f>CONCATENATE("WK_",WEEKNUM(events[[#This Row],[Start Date]]))</f>
        <v>WK_33</v>
      </c>
      <c r="J509" s="12">
        <v>45884.585868055554</v>
      </c>
      <c r="K509" s="10">
        <v>32</v>
      </c>
      <c r="L509" s="10" t="s">
        <v>25</v>
      </c>
      <c r="M509" s="10" t="s">
        <v>26</v>
      </c>
      <c r="N509" s="13">
        <f t="shared" si="7"/>
        <v>1.6666666666666666E-2</v>
      </c>
      <c r="O509" s="14" t="s">
        <v>142</v>
      </c>
      <c r="P509" s="14" t="s">
        <v>142</v>
      </c>
      <c r="Q509" s="14"/>
      <c r="R509" s="14"/>
      <c r="S509" s="14" t="s">
        <v>1946</v>
      </c>
      <c r="T509" s="14" t="s">
        <v>1947</v>
      </c>
      <c r="U509" s="15">
        <v>0</v>
      </c>
      <c r="V509" s="10">
        <v>1</v>
      </c>
    </row>
    <row r="510" spans="1:22" ht="18" customHeight="1" x14ac:dyDescent="0.35">
      <c r="A510" s="10" t="s">
        <v>47</v>
      </c>
      <c r="B510" s="10" t="s">
        <v>3186</v>
      </c>
      <c r="C510" s="11" t="s">
        <v>3093</v>
      </c>
      <c r="D510" s="11" t="s">
        <v>24</v>
      </c>
      <c r="E510" s="12">
        <v>45884.491365740738</v>
      </c>
      <c r="F510" s="10" t="str">
        <f>TEXT(events[[#This Row],[Start Date]],"DDD")</f>
        <v>Fri</v>
      </c>
      <c r="G510" s="10">
        <f>YEAR(events[[#This Row],[Start Date]])</f>
        <v>2025</v>
      </c>
      <c r="H510" s="10" t="str">
        <f>TEXT(events[[#This Row],[Start Date]],"mmm")</f>
        <v>Aug</v>
      </c>
      <c r="I510" s="10" t="str">
        <f>CONCATENATE("WK_",WEEKNUM(events[[#This Row],[Start Date]]))</f>
        <v>WK_33</v>
      </c>
      <c r="J510" s="12">
        <v>45884.49145833333</v>
      </c>
      <c r="K510" s="10">
        <v>75</v>
      </c>
      <c r="L510" s="10" t="s">
        <v>25</v>
      </c>
      <c r="M510" s="10" t="s">
        <v>357</v>
      </c>
      <c r="N510" s="13">
        <f t="shared" si="7"/>
        <v>0.13333333333333333</v>
      </c>
      <c r="O510" s="14" t="s">
        <v>231</v>
      </c>
      <c r="P510" s="14" t="s">
        <v>231</v>
      </c>
      <c r="Q510" s="14"/>
      <c r="R510" s="14"/>
      <c r="S510" s="14" t="s">
        <v>1948</v>
      </c>
      <c r="T510" s="14" t="s">
        <v>1949</v>
      </c>
      <c r="U510" s="15">
        <v>0.1875</v>
      </c>
      <c r="V510" s="10">
        <v>1</v>
      </c>
    </row>
    <row r="511" spans="1:22" ht="18" customHeight="1" x14ac:dyDescent="0.35">
      <c r="A511" s="10" t="s">
        <v>123</v>
      </c>
      <c r="B511" s="10" t="s">
        <v>3302</v>
      </c>
      <c r="C511" s="11" t="s">
        <v>3088</v>
      </c>
      <c r="D511" s="11" t="s">
        <v>74</v>
      </c>
      <c r="E511" s="12">
        <v>45884.468113425923</v>
      </c>
      <c r="F511" s="10" t="str">
        <f>TEXT(events[[#This Row],[Start Date]],"DDD")</f>
        <v>Fri</v>
      </c>
      <c r="G511" s="10">
        <f>YEAR(events[[#This Row],[Start Date]])</f>
        <v>2025</v>
      </c>
      <c r="H511" s="10" t="str">
        <f>TEXT(events[[#This Row],[Start Date]],"mmm")</f>
        <v>Aug</v>
      </c>
      <c r="I511" s="10" t="str">
        <f>CONCATENATE("WK_",WEEKNUM(events[[#This Row],[Start Date]]))</f>
        <v>WK_33</v>
      </c>
      <c r="J511" s="12">
        <v>45884.468553240738</v>
      </c>
      <c r="K511" s="10">
        <v>90</v>
      </c>
      <c r="L511" s="10" t="s">
        <v>25</v>
      </c>
      <c r="M511" s="10" t="s">
        <v>647</v>
      </c>
      <c r="N511" s="13">
        <f t="shared" si="7"/>
        <v>0.6166666666666667</v>
      </c>
      <c r="O511" s="14"/>
      <c r="P511" s="14"/>
      <c r="Q511" s="14"/>
      <c r="R511" s="14"/>
      <c r="S511" s="14" t="s">
        <v>2022</v>
      </c>
      <c r="T511" s="14" t="s">
        <v>2023</v>
      </c>
      <c r="U511" s="15">
        <v>1</v>
      </c>
      <c r="V511" s="10">
        <v>1</v>
      </c>
    </row>
    <row r="512" spans="1:22" ht="18" customHeight="1" x14ac:dyDescent="0.35">
      <c r="A512" s="10" t="s">
        <v>123</v>
      </c>
      <c r="B512" s="10" t="s">
        <v>3307</v>
      </c>
      <c r="C512" s="11" t="s">
        <v>3094</v>
      </c>
      <c r="D512" s="11" t="s">
        <v>74</v>
      </c>
      <c r="E512" s="12">
        <v>45884.426944444444</v>
      </c>
      <c r="F512" s="10" t="str">
        <f>TEXT(events[[#This Row],[Start Date]],"DDD")</f>
        <v>Fri</v>
      </c>
      <c r="G512" s="10">
        <f>YEAR(events[[#This Row],[Start Date]])</f>
        <v>2025</v>
      </c>
      <c r="H512" s="10" t="str">
        <f>TEXT(events[[#This Row],[Start Date]],"mmm")</f>
        <v>Aug</v>
      </c>
      <c r="I512" s="10" t="str">
        <f>CONCATENATE("WK_",WEEKNUM(events[[#This Row],[Start Date]]))</f>
        <v>WK_33</v>
      </c>
      <c r="J512" s="12">
        <v>45884.427465277775</v>
      </c>
      <c r="K512" s="10">
        <v>93</v>
      </c>
      <c r="L512" s="10" t="s">
        <v>25</v>
      </c>
      <c r="M512" s="10" t="s">
        <v>403</v>
      </c>
      <c r="N512" s="13">
        <f t="shared" si="7"/>
        <v>0.73333333333333328</v>
      </c>
      <c r="O512" s="14"/>
      <c r="P512" s="14"/>
      <c r="Q512" s="14"/>
      <c r="R512" s="14"/>
      <c r="S512" s="14" t="s">
        <v>2020</v>
      </c>
      <c r="T512" s="14" t="s">
        <v>2021</v>
      </c>
      <c r="U512" s="15">
        <v>1</v>
      </c>
      <c r="V512" s="10">
        <v>1</v>
      </c>
    </row>
    <row r="513" spans="1:22" ht="18" customHeight="1" x14ac:dyDescent="0.35">
      <c r="A513" s="10" t="s">
        <v>47</v>
      </c>
      <c r="B513" s="10" t="s">
        <v>3231</v>
      </c>
      <c r="C513" s="11" t="s">
        <v>2998</v>
      </c>
      <c r="D513" s="11" t="s">
        <v>74</v>
      </c>
      <c r="E513" s="12">
        <v>45884.416458333333</v>
      </c>
      <c r="F513" s="10" t="str">
        <f>TEXT(events[[#This Row],[Start Date]],"DDD")</f>
        <v>Fri</v>
      </c>
      <c r="G513" s="10">
        <f>YEAR(events[[#This Row],[Start Date]])</f>
        <v>2025</v>
      </c>
      <c r="H513" s="10" t="str">
        <f>TEXT(events[[#This Row],[Start Date]],"mmm")</f>
        <v>Aug</v>
      </c>
      <c r="I513" s="10" t="str">
        <f>CONCATENATE("WK_",WEEKNUM(events[[#This Row],[Start Date]]))</f>
        <v>WK_33</v>
      </c>
      <c r="J513" s="12">
        <v>45884.416493055556</v>
      </c>
      <c r="K513" s="10">
        <v>81</v>
      </c>
      <c r="L513" s="10" t="s">
        <v>25</v>
      </c>
      <c r="M513" s="10" t="s">
        <v>75</v>
      </c>
      <c r="N513" s="13">
        <f t="shared" si="7"/>
        <v>0.05</v>
      </c>
      <c r="O513" s="14" t="s">
        <v>92</v>
      </c>
      <c r="P513" s="14" t="s">
        <v>92</v>
      </c>
      <c r="Q513" s="14"/>
      <c r="R513" s="14"/>
      <c r="S513" s="14" t="s">
        <v>1957</v>
      </c>
      <c r="T513" s="14" t="s">
        <v>1958</v>
      </c>
      <c r="U513" s="15">
        <v>0.125</v>
      </c>
      <c r="V513" s="10">
        <v>1</v>
      </c>
    </row>
    <row r="514" spans="1:22" ht="18" customHeight="1" x14ac:dyDescent="0.35">
      <c r="A514" s="10" t="s">
        <v>123</v>
      </c>
      <c r="B514" s="10" t="s">
        <v>3281</v>
      </c>
      <c r="C514" s="11" t="s">
        <v>3064</v>
      </c>
      <c r="D514" s="11" t="s">
        <v>74</v>
      </c>
      <c r="E514" s="12">
        <v>45884.373611111114</v>
      </c>
      <c r="F514" s="10" t="str">
        <f>TEXT(events[[#This Row],[Start Date]],"DDD")</f>
        <v>Fri</v>
      </c>
      <c r="G514" s="10">
        <f>YEAR(events[[#This Row],[Start Date]])</f>
        <v>2025</v>
      </c>
      <c r="H514" s="10" t="str">
        <f>TEXT(events[[#This Row],[Start Date]],"mmm")</f>
        <v>Aug</v>
      </c>
      <c r="I514" s="10" t="str">
        <f>CONCATENATE("WK_",WEEKNUM(events[[#This Row],[Start Date]]))</f>
        <v>WK_33</v>
      </c>
      <c r="J514" s="12">
        <v>45884.374305555553</v>
      </c>
      <c r="K514" s="10">
        <v>95</v>
      </c>
      <c r="L514" s="10" t="s">
        <v>25</v>
      </c>
      <c r="M514" s="10" t="s">
        <v>538</v>
      </c>
      <c r="N514" s="13">
        <f t="shared" ref="N514:N577" si="8">HOUR(M514)*60+MINUTE(M514)+SECOND(M514)/60</f>
        <v>0.98333333333333328</v>
      </c>
      <c r="O514" s="14"/>
      <c r="P514" s="14"/>
      <c r="Q514" s="14"/>
      <c r="R514" s="14"/>
      <c r="S514" s="14" t="s">
        <v>2024</v>
      </c>
      <c r="T514" s="14" t="s">
        <v>2025</v>
      </c>
      <c r="U514" s="15">
        <v>2</v>
      </c>
      <c r="V514" s="10">
        <v>1</v>
      </c>
    </row>
    <row r="515" spans="1:22" ht="18" customHeight="1" x14ac:dyDescent="0.35">
      <c r="A515" s="10" t="s">
        <v>23</v>
      </c>
      <c r="B515" s="10" t="s">
        <v>3295</v>
      </c>
      <c r="C515" s="11" t="s">
        <v>3081</v>
      </c>
      <c r="D515" s="11" t="s">
        <v>24</v>
      </c>
      <c r="E515" s="12">
        <v>45884.318495370368</v>
      </c>
      <c r="F515" s="10" t="str">
        <f>TEXT(events[[#This Row],[Start Date]],"DDD")</f>
        <v>Fri</v>
      </c>
      <c r="G515" s="10">
        <f>YEAR(events[[#This Row],[Start Date]])</f>
        <v>2025</v>
      </c>
      <c r="H515" s="10" t="str">
        <f>TEXT(events[[#This Row],[Start Date]],"mmm")</f>
        <v>Aug</v>
      </c>
      <c r="I515" s="10" t="str">
        <f>CONCATENATE("WK_",WEEKNUM(events[[#This Row],[Start Date]]))</f>
        <v>WK_33</v>
      </c>
      <c r="J515" s="12">
        <v>45884.319050925929</v>
      </c>
      <c r="K515" s="10">
        <v>72</v>
      </c>
      <c r="L515" s="10" t="s">
        <v>25</v>
      </c>
      <c r="M515" s="10" t="s">
        <v>1934</v>
      </c>
      <c r="N515" s="13">
        <f t="shared" si="8"/>
        <v>0.8</v>
      </c>
      <c r="O515" s="14" t="s">
        <v>92</v>
      </c>
      <c r="P515" s="14" t="s">
        <v>92</v>
      </c>
      <c r="Q515" s="14" t="s">
        <v>750</v>
      </c>
      <c r="R515" s="14"/>
      <c r="S515" s="14" t="s">
        <v>1935</v>
      </c>
      <c r="T515" s="14" t="s">
        <v>1936</v>
      </c>
      <c r="U515" s="15">
        <v>0.90620000000000001</v>
      </c>
      <c r="V515" s="10">
        <v>1</v>
      </c>
    </row>
    <row r="516" spans="1:22" ht="18" customHeight="1" x14ac:dyDescent="0.35">
      <c r="A516" s="10" t="s">
        <v>86</v>
      </c>
      <c r="B516" s="10" t="s">
        <v>3223</v>
      </c>
      <c r="C516" s="11" t="s">
        <v>2978</v>
      </c>
      <c r="D516" s="11" t="s">
        <v>74</v>
      </c>
      <c r="E516" s="12">
        <v>45884.314201388886</v>
      </c>
      <c r="F516" s="10" t="str">
        <f>TEXT(events[[#This Row],[Start Date]],"DDD")</f>
        <v>Fri</v>
      </c>
      <c r="G516" s="10">
        <f>YEAR(events[[#This Row],[Start Date]])</f>
        <v>2025</v>
      </c>
      <c r="H516" s="10" t="str">
        <f>TEXT(events[[#This Row],[Start Date]],"mmm")</f>
        <v>Aug</v>
      </c>
      <c r="I516" s="10" t="str">
        <f>CONCATENATE("WK_",WEEKNUM(events[[#This Row],[Start Date]]))</f>
        <v>WK_33</v>
      </c>
      <c r="J516" s="12">
        <v>45884.314247685186</v>
      </c>
      <c r="K516" s="10">
        <v>82</v>
      </c>
      <c r="L516" s="10" t="s">
        <v>25</v>
      </c>
      <c r="M516" s="10" t="s">
        <v>275</v>
      </c>
      <c r="N516" s="13">
        <f t="shared" si="8"/>
        <v>6.6666666666666666E-2</v>
      </c>
      <c r="O516" s="14" t="s">
        <v>49</v>
      </c>
      <c r="P516" s="14" t="s">
        <v>49</v>
      </c>
      <c r="Q516" s="14"/>
      <c r="R516" s="14"/>
      <c r="S516" s="14" t="s">
        <v>1965</v>
      </c>
      <c r="T516" s="14" t="s">
        <v>1966</v>
      </c>
      <c r="U516" s="15">
        <v>0.125</v>
      </c>
      <c r="V516" s="10">
        <v>1</v>
      </c>
    </row>
    <row r="517" spans="1:22" ht="18" customHeight="1" x14ac:dyDescent="0.35">
      <c r="A517" s="10" t="s">
        <v>123</v>
      </c>
      <c r="B517" s="10" t="s">
        <v>3238</v>
      </c>
      <c r="C517" s="11" t="s">
        <v>3005</v>
      </c>
      <c r="D517" s="11" t="s">
        <v>74</v>
      </c>
      <c r="E517" s="12">
        <v>45884.23636574074</v>
      </c>
      <c r="F517" s="10" t="str">
        <f>TEXT(events[[#This Row],[Start Date]],"DDD")</f>
        <v>Fri</v>
      </c>
      <c r="G517" s="10">
        <f>YEAR(events[[#This Row],[Start Date]])</f>
        <v>2025</v>
      </c>
      <c r="H517" s="10" t="str">
        <f>TEXT(events[[#This Row],[Start Date]],"mmm")</f>
        <v>Aug</v>
      </c>
      <c r="I517" s="10" t="str">
        <f>CONCATENATE("WK_",WEEKNUM(events[[#This Row],[Start Date]]))</f>
        <v>WK_33</v>
      </c>
      <c r="J517" s="12">
        <v>45884.236828703702</v>
      </c>
      <c r="K517" s="10">
        <v>107</v>
      </c>
      <c r="L517" s="10" t="s">
        <v>25</v>
      </c>
      <c r="M517" s="10" t="s">
        <v>219</v>
      </c>
      <c r="N517" s="13">
        <f t="shared" si="8"/>
        <v>0.66666666666666663</v>
      </c>
      <c r="O517" s="14"/>
      <c r="P517" s="14"/>
      <c r="Q517" s="14"/>
      <c r="R517" s="14"/>
      <c r="S517" s="14" t="s">
        <v>2026</v>
      </c>
      <c r="T517" s="14" t="s">
        <v>2027</v>
      </c>
      <c r="U517" s="15">
        <v>1</v>
      </c>
      <c r="V517" s="10">
        <v>1</v>
      </c>
    </row>
    <row r="518" spans="1:22" ht="18" customHeight="1" x14ac:dyDescent="0.35">
      <c r="A518" s="10" t="s">
        <v>86</v>
      </c>
      <c r="B518" s="10" t="s">
        <v>3236</v>
      </c>
      <c r="C518" s="11" t="s">
        <v>3059</v>
      </c>
      <c r="D518" s="11" t="s">
        <v>24</v>
      </c>
      <c r="E518" s="12">
        <v>45883.85</v>
      </c>
      <c r="F518" s="10" t="str">
        <f>TEXT(events[[#This Row],[Start Date]],"DDD")</f>
        <v>Thu</v>
      </c>
      <c r="G518" s="10">
        <f>YEAR(events[[#This Row],[Start Date]])</f>
        <v>2025</v>
      </c>
      <c r="H518" s="10" t="str">
        <f>TEXT(events[[#This Row],[Start Date]],"mmm")</f>
        <v>Aug</v>
      </c>
      <c r="I518" s="10" t="str">
        <f>CONCATENATE("WK_",WEEKNUM(events[[#This Row],[Start Date]]))</f>
        <v>WK_33</v>
      </c>
      <c r="J518" s="12">
        <v>45883.85</v>
      </c>
      <c r="K518" s="10">
        <v>39</v>
      </c>
      <c r="L518" s="10" t="s">
        <v>25</v>
      </c>
      <c r="M518" s="10" t="s">
        <v>87</v>
      </c>
      <c r="N518" s="13">
        <f t="shared" si="8"/>
        <v>0</v>
      </c>
      <c r="O518" s="14" t="s">
        <v>138</v>
      </c>
      <c r="P518" s="14" t="s">
        <v>138</v>
      </c>
      <c r="Q518" s="14"/>
      <c r="R518" s="14"/>
      <c r="S518" s="14" t="s">
        <v>1983</v>
      </c>
      <c r="T518" s="14" t="s">
        <v>1983</v>
      </c>
      <c r="U518" s="15">
        <v>0</v>
      </c>
      <c r="V518" s="10">
        <v>1</v>
      </c>
    </row>
    <row r="519" spans="1:22" ht="18" customHeight="1" x14ac:dyDescent="0.35">
      <c r="A519" s="10" t="s">
        <v>123</v>
      </c>
      <c r="B519" s="10" t="s">
        <v>3308</v>
      </c>
      <c r="C519" s="11" t="s">
        <v>3095</v>
      </c>
      <c r="D519" s="11" t="s">
        <v>74</v>
      </c>
      <c r="E519" s="12">
        <v>45883.744895833333</v>
      </c>
      <c r="F519" s="10" t="str">
        <f>TEXT(events[[#This Row],[Start Date]],"DDD")</f>
        <v>Thu</v>
      </c>
      <c r="G519" s="10">
        <f>YEAR(events[[#This Row],[Start Date]])</f>
        <v>2025</v>
      </c>
      <c r="H519" s="10" t="str">
        <f>TEXT(events[[#This Row],[Start Date]],"mmm")</f>
        <v>Aug</v>
      </c>
      <c r="I519" s="10" t="str">
        <f>CONCATENATE("WK_",WEEKNUM(events[[#This Row],[Start Date]]))</f>
        <v>WK_33</v>
      </c>
      <c r="J519" s="12">
        <v>45883.746377314812</v>
      </c>
      <c r="K519" s="10">
        <v>86</v>
      </c>
      <c r="L519" s="10" t="s">
        <v>25</v>
      </c>
      <c r="M519" s="10" t="s">
        <v>1989</v>
      </c>
      <c r="N519" s="13">
        <f t="shared" si="8"/>
        <v>2.1333333333333333</v>
      </c>
      <c r="O519" s="14"/>
      <c r="P519" s="14"/>
      <c r="Q519" s="14"/>
      <c r="R519" s="14"/>
      <c r="S519" s="14" t="s">
        <v>1990</v>
      </c>
      <c r="T519" s="14" t="s">
        <v>1991</v>
      </c>
      <c r="U519" s="15">
        <v>3</v>
      </c>
      <c r="V519" s="10">
        <v>1</v>
      </c>
    </row>
    <row r="520" spans="1:22" ht="18" customHeight="1" x14ac:dyDescent="0.35">
      <c r="A520" s="10" t="s">
        <v>123</v>
      </c>
      <c r="B520" s="10" t="s">
        <v>3309</v>
      </c>
      <c r="C520" s="11" t="s">
        <v>3096</v>
      </c>
      <c r="D520" s="11" t="s">
        <v>74</v>
      </c>
      <c r="E520" s="12">
        <v>45883.683078703703</v>
      </c>
      <c r="F520" s="10" t="str">
        <f>TEXT(events[[#This Row],[Start Date]],"DDD")</f>
        <v>Thu</v>
      </c>
      <c r="G520" s="10">
        <f>YEAR(events[[#This Row],[Start Date]])</f>
        <v>2025</v>
      </c>
      <c r="H520" s="10" t="str">
        <f>TEXT(events[[#This Row],[Start Date]],"mmm")</f>
        <v>Aug</v>
      </c>
      <c r="I520" s="10" t="str">
        <f>CONCATENATE("WK_",WEEKNUM(events[[#This Row],[Start Date]]))</f>
        <v>WK_33</v>
      </c>
      <c r="J520" s="12">
        <v>45883.683541666665</v>
      </c>
      <c r="K520" s="10">
        <v>101</v>
      </c>
      <c r="L520" s="10" t="s">
        <v>25</v>
      </c>
      <c r="M520" s="10" t="s">
        <v>219</v>
      </c>
      <c r="N520" s="13">
        <f t="shared" si="8"/>
        <v>0.66666666666666663</v>
      </c>
      <c r="O520" s="14"/>
      <c r="P520" s="14"/>
      <c r="Q520" s="14"/>
      <c r="R520" s="14"/>
      <c r="S520" s="14" t="s">
        <v>1993</v>
      </c>
      <c r="T520" s="14" t="s">
        <v>1994</v>
      </c>
      <c r="U520" s="15">
        <v>1</v>
      </c>
      <c r="V520" s="10">
        <v>1</v>
      </c>
    </row>
    <row r="521" spans="1:22" ht="18" customHeight="1" x14ac:dyDescent="0.35">
      <c r="A521" s="10" t="s">
        <v>47</v>
      </c>
      <c r="B521" s="10" t="s">
        <v>3237</v>
      </c>
      <c r="C521" s="11" t="s">
        <v>3004</v>
      </c>
      <c r="D521" s="11" t="s">
        <v>74</v>
      </c>
      <c r="E521" s="12">
        <v>45883.556192129632</v>
      </c>
      <c r="F521" s="10" t="str">
        <f>TEXT(events[[#This Row],[Start Date]],"DDD")</f>
        <v>Thu</v>
      </c>
      <c r="G521" s="10">
        <f>YEAR(events[[#This Row],[Start Date]])</f>
        <v>2025</v>
      </c>
      <c r="H521" s="10" t="str">
        <f>TEXT(events[[#This Row],[Start Date]],"mmm")</f>
        <v>Aug</v>
      </c>
      <c r="I521" s="10" t="str">
        <f>CONCATENATE("WK_",WEEKNUM(events[[#This Row],[Start Date]]))</f>
        <v>WK_33</v>
      </c>
      <c r="J521" s="12">
        <v>45883.556215277778</v>
      </c>
      <c r="K521" s="10">
        <v>83</v>
      </c>
      <c r="L521" s="10" t="s">
        <v>25</v>
      </c>
      <c r="M521" s="10" t="s">
        <v>31</v>
      </c>
      <c r="N521" s="13">
        <f t="shared" si="8"/>
        <v>3.3333333333333333E-2</v>
      </c>
      <c r="O521" s="14" t="s">
        <v>231</v>
      </c>
      <c r="P521" s="14" t="s">
        <v>231</v>
      </c>
      <c r="Q521" s="14"/>
      <c r="R521" s="14"/>
      <c r="S521" s="14" t="s">
        <v>1955</v>
      </c>
      <c r="T521" s="14" t="s">
        <v>1956</v>
      </c>
      <c r="U521" s="15">
        <v>0.125</v>
      </c>
      <c r="V521" s="10">
        <v>1</v>
      </c>
    </row>
    <row r="522" spans="1:22" ht="18" customHeight="1" x14ac:dyDescent="0.35">
      <c r="A522" s="10" t="s">
        <v>86</v>
      </c>
      <c r="B522" s="10" t="s">
        <v>3210</v>
      </c>
      <c r="C522" s="11" t="s">
        <v>3036</v>
      </c>
      <c r="D522" s="11" t="s">
        <v>35</v>
      </c>
      <c r="E522" s="12">
        <v>45882.958344907405</v>
      </c>
      <c r="F522" s="10" t="str">
        <f>TEXT(events[[#This Row],[Start Date]],"DDD")</f>
        <v>Wed</v>
      </c>
      <c r="G522" s="10">
        <f>YEAR(events[[#This Row],[Start Date]])</f>
        <v>2025</v>
      </c>
      <c r="H522" s="10" t="str">
        <f>TEXT(events[[#This Row],[Start Date]],"mmm")</f>
        <v>Aug</v>
      </c>
      <c r="I522" s="10" t="str">
        <f>CONCATENATE("WK_",WEEKNUM(events[[#This Row],[Start Date]]))</f>
        <v>WK_33</v>
      </c>
      <c r="J522" s="12">
        <v>45882.966365740744</v>
      </c>
      <c r="K522" s="10">
        <v>57</v>
      </c>
      <c r="L522" s="10" t="s">
        <v>36</v>
      </c>
      <c r="M522" s="10" t="s">
        <v>2075</v>
      </c>
      <c r="N522" s="13">
        <f t="shared" si="8"/>
        <v>11.55</v>
      </c>
      <c r="O522" s="14" t="s">
        <v>38</v>
      </c>
      <c r="P522" s="14" t="s">
        <v>38</v>
      </c>
      <c r="Q522" s="14"/>
      <c r="R522" s="14"/>
      <c r="S522" s="14" t="s">
        <v>2076</v>
      </c>
      <c r="T522" s="14" t="s">
        <v>2077</v>
      </c>
      <c r="U522" s="15">
        <v>6</v>
      </c>
      <c r="V522" s="10">
        <v>1</v>
      </c>
    </row>
    <row r="523" spans="1:22" ht="18" customHeight="1" x14ac:dyDescent="0.35">
      <c r="A523" s="10" t="s">
        <v>123</v>
      </c>
      <c r="B523" s="10" t="s">
        <v>3269</v>
      </c>
      <c r="C523" s="11" t="s">
        <v>3045</v>
      </c>
      <c r="D523" s="11" t="s">
        <v>74</v>
      </c>
      <c r="E523" s="12">
        <v>45882.851956018516</v>
      </c>
      <c r="F523" s="10" t="str">
        <f>TEXT(events[[#This Row],[Start Date]],"DDD")</f>
        <v>Wed</v>
      </c>
      <c r="G523" s="10">
        <f>YEAR(events[[#This Row],[Start Date]])</f>
        <v>2025</v>
      </c>
      <c r="H523" s="10" t="str">
        <f>TEXT(events[[#This Row],[Start Date]],"mmm")</f>
        <v>Aug</v>
      </c>
      <c r="I523" s="10" t="str">
        <f>CONCATENATE("WK_",WEEKNUM(events[[#This Row],[Start Date]]))</f>
        <v>WK_33</v>
      </c>
      <c r="J523" s="12">
        <v>45882.852303240739</v>
      </c>
      <c r="K523" s="10">
        <v>111</v>
      </c>
      <c r="L523" s="10" t="s">
        <v>25</v>
      </c>
      <c r="M523" s="10" t="s">
        <v>999</v>
      </c>
      <c r="N523" s="13">
        <f t="shared" si="8"/>
        <v>0.5</v>
      </c>
      <c r="O523" s="14"/>
      <c r="P523" s="14"/>
      <c r="Q523" s="14"/>
      <c r="R523" s="14"/>
      <c r="S523" s="14" t="s">
        <v>2154</v>
      </c>
      <c r="T523" s="14" t="s">
        <v>2155</v>
      </c>
      <c r="U523" s="15">
        <v>1</v>
      </c>
      <c r="V523" s="10">
        <v>1</v>
      </c>
    </row>
    <row r="524" spans="1:22" ht="18" customHeight="1" x14ac:dyDescent="0.35">
      <c r="A524" s="10" t="s">
        <v>86</v>
      </c>
      <c r="B524" s="10" t="s">
        <v>3220</v>
      </c>
      <c r="C524" s="11" t="s">
        <v>3062</v>
      </c>
      <c r="D524" s="11" t="s">
        <v>24</v>
      </c>
      <c r="E524" s="12">
        <v>45882.773657407408</v>
      </c>
      <c r="F524" s="10" t="str">
        <f>TEXT(events[[#This Row],[Start Date]],"DDD")</f>
        <v>Wed</v>
      </c>
      <c r="G524" s="10">
        <f>YEAR(events[[#This Row],[Start Date]])</f>
        <v>2025</v>
      </c>
      <c r="H524" s="10" t="str">
        <f>TEXT(events[[#This Row],[Start Date]],"mmm")</f>
        <v>Aug</v>
      </c>
      <c r="I524" s="10" t="str">
        <f>CONCATENATE("WK_",WEEKNUM(events[[#This Row],[Start Date]]))</f>
        <v>WK_33</v>
      </c>
      <c r="J524" s="12">
        <v>45882.773888888885</v>
      </c>
      <c r="K524" s="10">
        <v>59</v>
      </c>
      <c r="L524" s="10" t="s">
        <v>25</v>
      </c>
      <c r="M524" s="10" t="s">
        <v>301</v>
      </c>
      <c r="N524" s="13">
        <f t="shared" si="8"/>
        <v>0.33333333333333331</v>
      </c>
      <c r="O524" s="14" t="s">
        <v>965</v>
      </c>
      <c r="P524" s="14" t="s">
        <v>50</v>
      </c>
      <c r="Q524" s="14"/>
      <c r="R524" s="14"/>
      <c r="S524" s="14" t="s">
        <v>2113</v>
      </c>
      <c r="T524" s="14" t="s">
        <v>2114</v>
      </c>
      <c r="U524" s="15">
        <v>0.3125</v>
      </c>
      <c r="V524" s="10">
        <v>1</v>
      </c>
    </row>
    <row r="525" spans="1:22" ht="18" customHeight="1" x14ac:dyDescent="0.35">
      <c r="A525" s="10" t="s">
        <v>123</v>
      </c>
      <c r="B525" s="10" t="s">
        <v>3297</v>
      </c>
      <c r="C525" s="11" t="s">
        <v>3083</v>
      </c>
      <c r="D525" s="11" t="s">
        <v>74</v>
      </c>
      <c r="E525" s="12">
        <v>45882.756736111114</v>
      </c>
      <c r="F525" s="10" t="str">
        <f>TEXT(events[[#This Row],[Start Date]],"DDD")</f>
        <v>Wed</v>
      </c>
      <c r="G525" s="10">
        <f>YEAR(events[[#This Row],[Start Date]])</f>
        <v>2025</v>
      </c>
      <c r="H525" s="10" t="str">
        <f>TEXT(events[[#This Row],[Start Date]],"mmm")</f>
        <v>Aug</v>
      </c>
      <c r="I525" s="10" t="str">
        <f>CONCATENATE("WK_",WEEKNUM(events[[#This Row],[Start Date]]))</f>
        <v>WK_33</v>
      </c>
      <c r="J525" s="12">
        <v>45882.7575462963</v>
      </c>
      <c r="K525" s="10">
        <v>101</v>
      </c>
      <c r="L525" s="10" t="s">
        <v>25</v>
      </c>
      <c r="M525" s="10" t="s">
        <v>828</v>
      </c>
      <c r="N525" s="13">
        <f t="shared" si="8"/>
        <v>1.1666666666666667</v>
      </c>
      <c r="O525" s="14"/>
      <c r="P525" s="14"/>
      <c r="Q525" s="14"/>
      <c r="R525" s="14"/>
      <c r="S525" s="14" t="s">
        <v>2158</v>
      </c>
      <c r="T525" s="14" t="s">
        <v>2159</v>
      </c>
      <c r="U525" s="15">
        <v>2</v>
      </c>
      <c r="V525" s="10">
        <v>1</v>
      </c>
    </row>
    <row r="526" spans="1:22" ht="18" customHeight="1" x14ac:dyDescent="0.35">
      <c r="A526" s="10" t="s">
        <v>86</v>
      </c>
      <c r="B526" s="10" t="s">
        <v>3273</v>
      </c>
      <c r="C526" s="11" t="s">
        <v>3097</v>
      </c>
      <c r="D526" s="11" t="s">
        <v>24</v>
      </c>
      <c r="E526" s="12">
        <v>45882.754675925928</v>
      </c>
      <c r="F526" s="10" t="str">
        <f>TEXT(events[[#This Row],[Start Date]],"DDD")</f>
        <v>Wed</v>
      </c>
      <c r="G526" s="10">
        <f>YEAR(events[[#This Row],[Start Date]])</f>
        <v>2025</v>
      </c>
      <c r="H526" s="10" t="str">
        <f>TEXT(events[[#This Row],[Start Date]],"mmm")</f>
        <v>Aug</v>
      </c>
      <c r="I526" s="10" t="str">
        <f>CONCATENATE("WK_",WEEKNUM(events[[#This Row],[Start Date]]))</f>
        <v>WK_33</v>
      </c>
      <c r="J526" s="12">
        <v>45882.754699074074</v>
      </c>
      <c r="K526" s="10">
        <v>34</v>
      </c>
      <c r="L526" s="10" t="s">
        <v>25</v>
      </c>
      <c r="M526" s="10" t="s">
        <v>31</v>
      </c>
      <c r="N526" s="13">
        <f t="shared" si="8"/>
        <v>3.3333333333333333E-2</v>
      </c>
      <c r="O526" s="14" t="s">
        <v>341</v>
      </c>
      <c r="P526" s="14" t="s">
        <v>341</v>
      </c>
      <c r="Q526" s="14"/>
      <c r="R526" s="14"/>
      <c r="S526" s="14" t="s">
        <v>2099</v>
      </c>
      <c r="T526" s="14" t="s">
        <v>2100</v>
      </c>
      <c r="U526" s="15">
        <v>0</v>
      </c>
      <c r="V526" s="10">
        <v>1</v>
      </c>
    </row>
    <row r="527" spans="1:22" ht="18" customHeight="1" x14ac:dyDescent="0.35">
      <c r="A527" s="10" t="s">
        <v>23</v>
      </c>
      <c r="B527" s="10" t="s">
        <v>3310</v>
      </c>
      <c r="C527" s="11" t="s">
        <v>3098</v>
      </c>
      <c r="D527" s="11" t="s">
        <v>678</v>
      </c>
      <c r="E527" s="12">
        <v>45882.737627314818</v>
      </c>
      <c r="F527" s="10" t="str">
        <f>TEXT(events[[#This Row],[Start Date]],"DDD")</f>
        <v>Wed</v>
      </c>
      <c r="G527" s="10">
        <f>YEAR(events[[#This Row],[Start Date]])</f>
        <v>2025</v>
      </c>
      <c r="H527" s="10" t="str">
        <f>TEXT(events[[#This Row],[Start Date]],"mmm")</f>
        <v>Aug</v>
      </c>
      <c r="I527" s="10" t="str">
        <f>CONCATENATE("WK_",WEEKNUM(events[[#This Row],[Start Date]]))</f>
        <v>WK_33</v>
      </c>
      <c r="J527" s="12">
        <v>45882.737638888888</v>
      </c>
      <c r="K527" s="10">
        <v>12</v>
      </c>
      <c r="L527" s="10" t="s">
        <v>83</v>
      </c>
      <c r="M527" s="10" t="s">
        <v>26</v>
      </c>
      <c r="N527" s="13">
        <f t="shared" si="8"/>
        <v>1.6666666666666666E-2</v>
      </c>
      <c r="O527" s="14" t="s">
        <v>38</v>
      </c>
      <c r="P527" s="14"/>
      <c r="Q527" s="14"/>
      <c r="R527" s="14"/>
      <c r="S527" s="14" t="s">
        <v>2053</v>
      </c>
      <c r="T527" s="14"/>
      <c r="U527" s="15">
        <v>0</v>
      </c>
      <c r="V527" s="10">
        <v>1</v>
      </c>
    </row>
    <row r="528" spans="1:22" ht="18" customHeight="1" x14ac:dyDescent="0.35">
      <c r="A528" s="10" t="s">
        <v>86</v>
      </c>
      <c r="B528" s="10" t="s">
        <v>3220</v>
      </c>
      <c r="C528" s="11" t="s">
        <v>3062</v>
      </c>
      <c r="D528" s="11" t="s">
        <v>24</v>
      </c>
      <c r="E528" s="12">
        <v>45882.707418981481</v>
      </c>
      <c r="F528" s="10" t="str">
        <f>TEXT(events[[#This Row],[Start Date]],"DDD")</f>
        <v>Wed</v>
      </c>
      <c r="G528" s="10">
        <f>YEAR(events[[#This Row],[Start Date]])</f>
        <v>2025</v>
      </c>
      <c r="H528" s="10" t="str">
        <f>TEXT(events[[#This Row],[Start Date]],"mmm")</f>
        <v>Aug</v>
      </c>
      <c r="I528" s="10" t="str">
        <f>CONCATENATE("WK_",WEEKNUM(events[[#This Row],[Start Date]]))</f>
        <v>WK_33</v>
      </c>
      <c r="J528" s="12">
        <v>45882.707430555558</v>
      </c>
      <c r="K528" s="10">
        <v>67</v>
      </c>
      <c r="L528" s="10" t="s">
        <v>25</v>
      </c>
      <c r="M528" s="10" t="s">
        <v>26</v>
      </c>
      <c r="N528" s="13">
        <f t="shared" si="8"/>
        <v>1.6666666666666666E-2</v>
      </c>
      <c r="O528" s="14" t="s">
        <v>50</v>
      </c>
      <c r="P528" s="14" t="s">
        <v>50</v>
      </c>
      <c r="Q528" s="14"/>
      <c r="R528" s="14"/>
      <c r="S528" s="14" t="s">
        <v>2111</v>
      </c>
      <c r="T528" s="14" t="s">
        <v>2112</v>
      </c>
      <c r="U528" s="15">
        <v>6.25E-2</v>
      </c>
      <c r="V528" s="10">
        <v>1</v>
      </c>
    </row>
    <row r="529" spans="1:22" ht="18" customHeight="1" x14ac:dyDescent="0.35">
      <c r="A529" s="10" t="s">
        <v>23</v>
      </c>
      <c r="B529" s="10" t="s">
        <v>3310</v>
      </c>
      <c r="C529" s="11" t="s">
        <v>3098</v>
      </c>
      <c r="D529" s="11" t="s">
        <v>74</v>
      </c>
      <c r="E529" s="12">
        <v>45882.581041666665</v>
      </c>
      <c r="F529" s="10" t="str">
        <f>TEXT(events[[#This Row],[Start Date]],"DDD")</f>
        <v>Wed</v>
      </c>
      <c r="G529" s="10">
        <f>YEAR(events[[#This Row],[Start Date]])</f>
        <v>2025</v>
      </c>
      <c r="H529" s="10" t="str">
        <f>TEXT(events[[#This Row],[Start Date]],"mmm")</f>
        <v>Aug</v>
      </c>
      <c r="I529" s="10" t="str">
        <f>CONCATENATE("WK_",WEEKNUM(events[[#This Row],[Start Date]]))</f>
        <v>WK_33</v>
      </c>
      <c r="J529" s="12">
        <v>45882.581053240741</v>
      </c>
      <c r="K529" s="10">
        <v>87</v>
      </c>
      <c r="L529" s="10" t="s">
        <v>25</v>
      </c>
      <c r="M529" s="10" t="s">
        <v>26</v>
      </c>
      <c r="N529" s="13">
        <f t="shared" si="8"/>
        <v>1.6666666666666666E-2</v>
      </c>
      <c r="O529" s="14" t="s">
        <v>138</v>
      </c>
      <c r="P529" s="14" t="s">
        <v>138</v>
      </c>
      <c r="Q529" s="14"/>
      <c r="R529" s="14"/>
      <c r="S529" s="14" t="s">
        <v>2054</v>
      </c>
      <c r="T529" s="14" t="s">
        <v>2054</v>
      </c>
      <c r="U529" s="15">
        <v>0</v>
      </c>
      <c r="V529" s="10">
        <v>1</v>
      </c>
    </row>
    <row r="530" spans="1:22" ht="18" customHeight="1" x14ac:dyDescent="0.35">
      <c r="A530" s="10" t="s">
        <v>123</v>
      </c>
      <c r="B530" s="10" t="s">
        <v>3184</v>
      </c>
      <c r="C530" s="11" t="s">
        <v>2951</v>
      </c>
      <c r="D530" s="11" t="s">
        <v>74</v>
      </c>
      <c r="E530" s="12">
        <v>45882.537210648145</v>
      </c>
      <c r="F530" s="10" t="str">
        <f>TEXT(events[[#This Row],[Start Date]],"DDD")</f>
        <v>Wed</v>
      </c>
      <c r="G530" s="10">
        <f>YEAR(events[[#This Row],[Start Date]])</f>
        <v>2025</v>
      </c>
      <c r="H530" s="10" t="str">
        <f>TEXT(events[[#This Row],[Start Date]],"mmm")</f>
        <v>Aug</v>
      </c>
      <c r="I530" s="10" t="str">
        <f>CONCATENATE("WK_",WEEKNUM(events[[#This Row],[Start Date]]))</f>
        <v>WK_33</v>
      </c>
      <c r="J530" s="12">
        <v>45882.537870370368</v>
      </c>
      <c r="K530" s="10">
        <v>90</v>
      </c>
      <c r="L530" s="10" t="s">
        <v>25</v>
      </c>
      <c r="M530" s="10" t="s">
        <v>1290</v>
      </c>
      <c r="N530" s="13">
        <f t="shared" si="8"/>
        <v>0.95</v>
      </c>
      <c r="O530" s="14"/>
      <c r="P530" s="14"/>
      <c r="Q530" s="14"/>
      <c r="R530" s="14"/>
      <c r="S530" s="14" t="s">
        <v>2148</v>
      </c>
      <c r="T530" s="14" t="s">
        <v>2149</v>
      </c>
      <c r="U530" s="15">
        <v>1</v>
      </c>
      <c r="V530" s="10">
        <v>1</v>
      </c>
    </row>
    <row r="531" spans="1:22" ht="18" customHeight="1" x14ac:dyDescent="0.35">
      <c r="A531" s="10" t="s">
        <v>86</v>
      </c>
      <c r="B531" s="10" t="s">
        <v>3220</v>
      </c>
      <c r="C531" s="11" t="s">
        <v>3062</v>
      </c>
      <c r="D531" s="11" t="s">
        <v>24</v>
      </c>
      <c r="E531" s="12">
        <v>45882.512418981481</v>
      </c>
      <c r="F531" s="10" t="str">
        <f>TEXT(events[[#This Row],[Start Date]],"DDD")</f>
        <v>Wed</v>
      </c>
      <c r="G531" s="10">
        <f>YEAR(events[[#This Row],[Start Date]])</f>
        <v>2025</v>
      </c>
      <c r="H531" s="10" t="str">
        <f>TEXT(events[[#This Row],[Start Date]],"mmm")</f>
        <v>Aug</v>
      </c>
      <c r="I531" s="10" t="str">
        <f>CONCATENATE("WK_",WEEKNUM(events[[#This Row],[Start Date]]))</f>
        <v>WK_33</v>
      </c>
      <c r="J531" s="12">
        <v>45882.512418981481</v>
      </c>
      <c r="K531" s="10">
        <v>57</v>
      </c>
      <c r="L531" s="10" t="s">
        <v>25</v>
      </c>
      <c r="M531" s="10" t="s">
        <v>87</v>
      </c>
      <c r="N531" s="13">
        <f t="shared" si="8"/>
        <v>0</v>
      </c>
      <c r="O531" s="14" t="s">
        <v>49</v>
      </c>
      <c r="P531" s="14" t="s">
        <v>49</v>
      </c>
      <c r="Q531" s="14"/>
      <c r="R531" s="14"/>
      <c r="S531" s="14" t="s">
        <v>2110</v>
      </c>
      <c r="T531" s="14" t="s">
        <v>2110</v>
      </c>
      <c r="U531" s="15">
        <v>0</v>
      </c>
      <c r="V531" s="10">
        <v>1</v>
      </c>
    </row>
    <row r="532" spans="1:22" ht="18" customHeight="1" x14ac:dyDescent="0.35">
      <c r="A532" s="10" t="s">
        <v>123</v>
      </c>
      <c r="B532" s="10" t="s">
        <v>3238</v>
      </c>
      <c r="C532" s="11" t="s">
        <v>3005</v>
      </c>
      <c r="D532" s="11" t="s">
        <v>74</v>
      </c>
      <c r="E532" s="12">
        <v>45882.364594907405</v>
      </c>
      <c r="F532" s="10" t="str">
        <f>TEXT(events[[#This Row],[Start Date]],"DDD")</f>
        <v>Wed</v>
      </c>
      <c r="G532" s="10">
        <f>YEAR(events[[#This Row],[Start Date]])</f>
        <v>2025</v>
      </c>
      <c r="H532" s="10" t="str">
        <f>TEXT(events[[#This Row],[Start Date]],"mmm")</f>
        <v>Aug</v>
      </c>
      <c r="I532" s="10" t="str">
        <f>CONCATENATE("WK_",WEEKNUM(events[[#This Row],[Start Date]]))</f>
        <v>WK_33</v>
      </c>
      <c r="J532" s="12">
        <v>45882.365983796299</v>
      </c>
      <c r="K532" s="10">
        <v>101</v>
      </c>
      <c r="L532" s="10" t="s">
        <v>25</v>
      </c>
      <c r="M532" s="10" t="s">
        <v>794</v>
      </c>
      <c r="N532" s="13">
        <f t="shared" si="8"/>
        <v>1.9833333333333334</v>
      </c>
      <c r="O532" s="14"/>
      <c r="P532" s="14"/>
      <c r="Q532" s="14"/>
      <c r="R532" s="14"/>
      <c r="S532" s="14" t="s">
        <v>2152</v>
      </c>
      <c r="T532" s="14" t="s">
        <v>2153</v>
      </c>
      <c r="U532" s="15">
        <v>3</v>
      </c>
      <c r="V532" s="10">
        <v>1</v>
      </c>
    </row>
    <row r="533" spans="1:22" ht="18" customHeight="1" x14ac:dyDescent="0.35">
      <c r="A533" s="10" t="s">
        <v>123</v>
      </c>
      <c r="B533" s="10" t="s">
        <v>3311</v>
      </c>
      <c r="C533" s="11" t="s">
        <v>3099</v>
      </c>
      <c r="D533" s="11" t="s">
        <v>74</v>
      </c>
      <c r="E533" s="12">
        <v>45882.340833333335</v>
      </c>
      <c r="F533" s="10" t="str">
        <f>TEXT(events[[#This Row],[Start Date]],"DDD")</f>
        <v>Wed</v>
      </c>
      <c r="G533" s="10">
        <f>YEAR(events[[#This Row],[Start Date]])</f>
        <v>2025</v>
      </c>
      <c r="H533" s="10" t="str">
        <f>TEXT(events[[#This Row],[Start Date]],"mmm")</f>
        <v>Aug</v>
      </c>
      <c r="I533" s="10" t="str">
        <f>CONCATENATE("WK_",WEEKNUM(events[[#This Row],[Start Date]]))</f>
        <v>WK_33</v>
      </c>
      <c r="J533" s="12">
        <v>45882.341874999998</v>
      </c>
      <c r="K533" s="10">
        <v>89</v>
      </c>
      <c r="L533" s="10" t="s">
        <v>25</v>
      </c>
      <c r="M533" s="10" t="s">
        <v>365</v>
      </c>
      <c r="N533" s="13">
        <f t="shared" si="8"/>
        <v>1.5</v>
      </c>
      <c r="O533" s="14"/>
      <c r="P533" s="14"/>
      <c r="Q533" s="14"/>
      <c r="R533" s="14"/>
      <c r="S533" s="14" t="s">
        <v>2156</v>
      </c>
      <c r="T533" s="14" t="s">
        <v>2157</v>
      </c>
      <c r="U533" s="15">
        <v>2</v>
      </c>
      <c r="V533" s="10">
        <v>1</v>
      </c>
    </row>
    <row r="534" spans="1:22" ht="18" customHeight="1" x14ac:dyDescent="0.35">
      <c r="A534" s="10" t="s">
        <v>123</v>
      </c>
      <c r="B534" s="10" t="s">
        <v>3206</v>
      </c>
      <c r="C534" s="11" t="s">
        <v>2974</v>
      </c>
      <c r="D534" s="11" t="s">
        <v>74</v>
      </c>
      <c r="E534" s="12">
        <v>45882.203263888892</v>
      </c>
      <c r="F534" s="10" t="str">
        <f>TEXT(events[[#This Row],[Start Date]],"DDD")</f>
        <v>Wed</v>
      </c>
      <c r="G534" s="10">
        <f>YEAR(events[[#This Row],[Start Date]])</f>
        <v>2025</v>
      </c>
      <c r="H534" s="10" t="str">
        <f>TEXT(events[[#This Row],[Start Date]],"mmm")</f>
        <v>Aug</v>
      </c>
      <c r="I534" s="10" t="str">
        <f>CONCATENATE("WK_",WEEKNUM(events[[#This Row],[Start Date]]))</f>
        <v>WK_33</v>
      </c>
      <c r="J534" s="12">
        <v>45882.204421296294</v>
      </c>
      <c r="K534" s="10">
        <v>91</v>
      </c>
      <c r="L534" s="10" t="s">
        <v>25</v>
      </c>
      <c r="M534" s="10" t="s">
        <v>1268</v>
      </c>
      <c r="N534" s="13">
        <f t="shared" si="8"/>
        <v>1.65</v>
      </c>
      <c r="O534" s="14"/>
      <c r="P534" s="14"/>
      <c r="Q534" s="14"/>
      <c r="R534" s="14"/>
      <c r="S534" s="14" t="s">
        <v>2150</v>
      </c>
      <c r="T534" s="14" t="s">
        <v>2151</v>
      </c>
      <c r="U534" s="15">
        <v>2</v>
      </c>
      <c r="V534" s="10">
        <v>1</v>
      </c>
    </row>
    <row r="535" spans="1:22" ht="18" customHeight="1" x14ac:dyDescent="0.35">
      <c r="A535" s="10" t="s">
        <v>86</v>
      </c>
      <c r="B535" s="10" t="s">
        <v>3182</v>
      </c>
      <c r="C535" s="11" t="s">
        <v>3100</v>
      </c>
      <c r="D535" s="11" t="s">
        <v>35</v>
      </c>
      <c r="E535" s="12">
        <v>45882.006064814814</v>
      </c>
      <c r="F535" s="10" t="str">
        <f>TEXT(events[[#This Row],[Start Date]],"DDD")</f>
        <v>Wed</v>
      </c>
      <c r="G535" s="10">
        <f>YEAR(events[[#This Row],[Start Date]])</f>
        <v>2025</v>
      </c>
      <c r="H535" s="10" t="str">
        <f>TEXT(events[[#This Row],[Start Date]],"mmm")</f>
        <v>Aug</v>
      </c>
      <c r="I535" s="10" t="str">
        <f>CONCATENATE("WK_",WEEKNUM(events[[#This Row],[Start Date]]))</f>
        <v>WK_33</v>
      </c>
      <c r="J535" s="12">
        <v>45882.015844907408</v>
      </c>
      <c r="K535" s="10">
        <v>3</v>
      </c>
      <c r="L535" s="10" t="s">
        <v>36</v>
      </c>
      <c r="M535" s="10" t="s">
        <v>2093</v>
      </c>
      <c r="N535" s="13">
        <f t="shared" si="8"/>
        <v>14.083333333333334</v>
      </c>
      <c r="O535" s="14" t="s">
        <v>38</v>
      </c>
      <c r="P535" s="14" t="s">
        <v>38</v>
      </c>
      <c r="Q535" s="14"/>
      <c r="R535" s="14"/>
      <c r="S535" s="14" t="s">
        <v>2094</v>
      </c>
      <c r="T535" s="14" t="s">
        <v>2095</v>
      </c>
      <c r="U535" s="15">
        <v>3</v>
      </c>
      <c r="V535" s="10">
        <v>1</v>
      </c>
    </row>
    <row r="536" spans="1:22" ht="18" customHeight="1" x14ac:dyDescent="0.35">
      <c r="A536" s="10" t="s">
        <v>23</v>
      </c>
      <c r="B536" s="10" t="s">
        <v>3256</v>
      </c>
      <c r="C536" s="11" t="s">
        <v>3026</v>
      </c>
      <c r="D536" s="11" t="s">
        <v>35</v>
      </c>
      <c r="E536" s="12">
        <v>45881.993333333332</v>
      </c>
      <c r="F536" s="10" t="str">
        <f>TEXT(events[[#This Row],[Start Date]],"DDD")</f>
        <v>Tue</v>
      </c>
      <c r="G536" s="10">
        <f>YEAR(events[[#This Row],[Start Date]])</f>
        <v>2025</v>
      </c>
      <c r="H536" s="10" t="str">
        <f>TEXT(events[[#This Row],[Start Date]],"mmm")</f>
        <v>Aug</v>
      </c>
      <c r="I536" s="10" t="str">
        <f>CONCATENATE("WK_",WEEKNUM(events[[#This Row],[Start Date]]))</f>
        <v>WK_33</v>
      </c>
      <c r="J536" s="12">
        <v>45882.036041666666</v>
      </c>
      <c r="K536" s="10">
        <v>19</v>
      </c>
      <c r="L536" s="10" t="s">
        <v>36</v>
      </c>
      <c r="M536" s="10" t="s">
        <v>2058</v>
      </c>
      <c r="N536" s="13">
        <f t="shared" si="8"/>
        <v>61.5</v>
      </c>
      <c r="O536" s="14" t="s">
        <v>38</v>
      </c>
      <c r="P536" s="14" t="s">
        <v>38</v>
      </c>
      <c r="Q536" s="14"/>
      <c r="R536" s="14"/>
      <c r="S536" s="14" t="s">
        <v>2059</v>
      </c>
      <c r="T536" s="14" t="s">
        <v>2060</v>
      </c>
      <c r="U536" s="15">
        <v>19</v>
      </c>
      <c r="V536" s="10">
        <v>1</v>
      </c>
    </row>
    <row r="537" spans="1:22" ht="18" customHeight="1" x14ac:dyDescent="0.35">
      <c r="A537" s="10" t="s">
        <v>86</v>
      </c>
      <c r="B537" s="10" t="s">
        <v>3182</v>
      </c>
      <c r="C537" s="11" t="s">
        <v>3100</v>
      </c>
      <c r="D537" s="11" t="s">
        <v>35</v>
      </c>
      <c r="E537" s="12">
        <v>45881.988726851851</v>
      </c>
      <c r="F537" s="10" t="str">
        <f>TEXT(events[[#This Row],[Start Date]],"DDD")</f>
        <v>Tue</v>
      </c>
      <c r="G537" s="10">
        <f>YEAR(events[[#This Row],[Start Date]])</f>
        <v>2025</v>
      </c>
      <c r="H537" s="10" t="str">
        <f>TEXT(events[[#This Row],[Start Date]],"mmm")</f>
        <v>Aug</v>
      </c>
      <c r="I537" s="10" t="str">
        <f>CONCATENATE("WK_",WEEKNUM(events[[#This Row],[Start Date]]))</f>
        <v>WK_33</v>
      </c>
      <c r="J537" s="12">
        <v>45882.005381944444</v>
      </c>
      <c r="K537" s="10">
        <v>12</v>
      </c>
      <c r="L537" s="10" t="s">
        <v>36</v>
      </c>
      <c r="M537" s="10" t="s">
        <v>2090</v>
      </c>
      <c r="N537" s="13">
        <f t="shared" si="8"/>
        <v>23.983333333333334</v>
      </c>
      <c r="O537" s="14" t="s">
        <v>38</v>
      </c>
      <c r="P537" s="14" t="s">
        <v>38</v>
      </c>
      <c r="Q537" s="14"/>
      <c r="R537" s="14"/>
      <c r="S537" s="14" t="s">
        <v>2091</v>
      </c>
      <c r="T537" s="14" t="s">
        <v>2092</v>
      </c>
      <c r="U537" s="15">
        <v>12</v>
      </c>
      <c r="V537" s="10">
        <v>1</v>
      </c>
    </row>
    <row r="538" spans="1:22" ht="18" customHeight="1" x14ac:dyDescent="0.35">
      <c r="A538" s="10" t="s">
        <v>23</v>
      </c>
      <c r="B538" s="10" t="s">
        <v>3172</v>
      </c>
      <c r="C538" s="11" t="s">
        <v>2939</v>
      </c>
      <c r="D538" s="11" t="s">
        <v>35</v>
      </c>
      <c r="E538" s="12">
        <v>45881.982256944444</v>
      </c>
      <c r="F538" s="10" t="str">
        <f>TEXT(events[[#This Row],[Start Date]],"DDD")</f>
        <v>Tue</v>
      </c>
      <c r="G538" s="10">
        <f>YEAR(events[[#This Row],[Start Date]])</f>
        <v>2025</v>
      </c>
      <c r="H538" s="10" t="str">
        <f>TEXT(events[[#This Row],[Start Date]],"mmm")</f>
        <v>Aug</v>
      </c>
      <c r="I538" s="10" t="str">
        <f>CONCATENATE("WK_",WEEKNUM(events[[#This Row],[Start Date]]))</f>
        <v>WK_33</v>
      </c>
      <c r="J538" s="12">
        <v>45881.986226851855</v>
      </c>
      <c r="K538" s="10">
        <v>2</v>
      </c>
      <c r="L538" s="10" t="s">
        <v>36</v>
      </c>
      <c r="M538" s="10" t="s">
        <v>2040</v>
      </c>
      <c r="N538" s="13">
        <f t="shared" si="8"/>
        <v>5.7166666666666668</v>
      </c>
      <c r="O538" s="14" t="s">
        <v>38</v>
      </c>
      <c r="P538" s="14" t="s">
        <v>38</v>
      </c>
      <c r="Q538" s="14"/>
      <c r="R538" s="14"/>
      <c r="S538" s="14" t="s">
        <v>2041</v>
      </c>
      <c r="T538" s="14" t="s">
        <v>2042</v>
      </c>
      <c r="U538" s="15">
        <v>2</v>
      </c>
      <c r="V538" s="10">
        <v>1</v>
      </c>
    </row>
    <row r="539" spans="1:22" ht="18" customHeight="1" x14ac:dyDescent="0.35">
      <c r="A539" s="10" t="s">
        <v>86</v>
      </c>
      <c r="B539" s="10" t="s">
        <v>3183</v>
      </c>
      <c r="C539" s="11" t="s">
        <v>3008</v>
      </c>
      <c r="D539" s="11" t="s">
        <v>35</v>
      </c>
      <c r="E539" s="12">
        <v>45881.974756944444</v>
      </c>
      <c r="F539" s="10" t="str">
        <f>TEXT(events[[#This Row],[Start Date]],"DDD")</f>
        <v>Tue</v>
      </c>
      <c r="G539" s="10">
        <f>YEAR(events[[#This Row],[Start Date]])</f>
        <v>2025</v>
      </c>
      <c r="H539" s="10" t="str">
        <f>TEXT(events[[#This Row],[Start Date]],"mmm")</f>
        <v>Aug</v>
      </c>
      <c r="I539" s="10" t="str">
        <f>CONCATENATE("WK_",WEEKNUM(events[[#This Row],[Start Date]]))</f>
        <v>WK_33</v>
      </c>
      <c r="J539" s="12">
        <v>45882.018738425926</v>
      </c>
      <c r="K539" s="10">
        <v>26</v>
      </c>
      <c r="L539" s="10" t="s">
        <v>36</v>
      </c>
      <c r="M539" s="10" t="s">
        <v>2116</v>
      </c>
      <c r="N539" s="13">
        <f t="shared" si="8"/>
        <v>63.333333333333336</v>
      </c>
      <c r="O539" s="14" t="s">
        <v>38</v>
      </c>
      <c r="P539" s="14" t="s">
        <v>38</v>
      </c>
      <c r="Q539" s="14"/>
      <c r="R539" s="14"/>
      <c r="S539" s="14" t="s">
        <v>2117</v>
      </c>
      <c r="T539" s="14" t="s">
        <v>2118</v>
      </c>
      <c r="U539" s="15">
        <v>26</v>
      </c>
      <c r="V539" s="10">
        <v>1</v>
      </c>
    </row>
    <row r="540" spans="1:22" ht="18" customHeight="1" x14ac:dyDescent="0.35">
      <c r="A540" s="10" t="s">
        <v>123</v>
      </c>
      <c r="B540" s="10" t="s">
        <v>3269</v>
      </c>
      <c r="C540" s="11" t="s">
        <v>3045</v>
      </c>
      <c r="D540" s="11" t="s">
        <v>74</v>
      </c>
      <c r="E540" s="12">
        <v>45881.967129629629</v>
      </c>
      <c r="F540" s="10" t="str">
        <f>TEXT(events[[#This Row],[Start Date]],"DDD")</f>
        <v>Tue</v>
      </c>
      <c r="G540" s="10">
        <f>YEAR(events[[#This Row],[Start Date]])</f>
        <v>2025</v>
      </c>
      <c r="H540" s="10" t="str">
        <f>TEXT(events[[#This Row],[Start Date]],"mmm")</f>
        <v>Aug</v>
      </c>
      <c r="I540" s="10" t="str">
        <f>CONCATENATE("WK_",WEEKNUM(events[[#This Row],[Start Date]]))</f>
        <v>WK_33</v>
      </c>
      <c r="J540" s="12">
        <v>45881.967395833337</v>
      </c>
      <c r="K540" s="10">
        <v>108</v>
      </c>
      <c r="L540" s="10" t="s">
        <v>25</v>
      </c>
      <c r="M540" s="10" t="s">
        <v>1079</v>
      </c>
      <c r="N540" s="13">
        <f t="shared" si="8"/>
        <v>0.36666666666666664</v>
      </c>
      <c r="O540" s="14"/>
      <c r="P540" s="14"/>
      <c r="Q540" s="14"/>
      <c r="R540" s="14"/>
      <c r="S540" s="14" t="s">
        <v>2126</v>
      </c>
      <c r="T540" s="14" t="s">
        <v>2127</v>
      </c>
      <c r="U540" s="15">
        <v>1</v>
      </c>
      <c r="V540" s="10">
        <v>1</v>
      </c>
    </row>
    <row r="541" spans="1:22" ht="18" customHeight="1" x14ac:dyDescent="0.35">
      <c r="A541" s="10" t="s">
        <v>86</v>
      </c>
      <c r="B541" s="10" t="s">
        <v>3182</v>
      </c>
      <c r="C541" s="11" t="s">
        <v>3100</v>
      </c>
      <c r="D541" s="11" t="s">
        <v>35</v>
      </c>
      <c r="E541" s="12">
        <v>45881.962256944447</v>
      </c>
      <c r="F541" s="10" t="str">
        <f>TEXT(events[[#This Row],[Start Date]],"DDD")</f>
        <v>Tue</v>
      </c>
      <c r="G541" s="10">
        <f>YEAR(events[[#This Row],[Start Date]])</f>
        <v>2025</v>
      </c>
      <c r="H541" s="10" t="str">
        <f>TEXT(events[[#This Row],[Start Date]],"mmm")</f>
        <v>Aug</v>
      </c>
      <c r="I541" s="10" t="str">
        <f>CONCATENATE("WK_",WEEKNUM(events[[#This Row],[Start Date]]))</f>
        <v>WK_33</v>
      </c>
      <c r="J541" s="12">
        <v>45881.988009259258</v>
      </c>
      <c r="K541" s="10">
        <v>14</v>
      </c>
      <c r="L541" s="10" t="s">
        <v>36</v>
      </c>
      <c r="M541" s="10" t="s">
        <v>2087</v>
      </c>
      <c r="N541" s="13">
        <f t="shared" si="8"/>
        <v>37.083333333333336</v>
      </c>
      <c r="O541" s="14" t="s">
        <v>38</v>
      </c>
      <c r="P541" s="14" t="s">
        <v>38</v>
      </c>
      <c r="Q541" s="14"/>
      <c r="R541" s="14"/>
      <c r="S541" s="14" t="s">
        <v>2088</v>
      </c>
      <c r="T541" s="14" t="s">
        <v>2089</v>
      </c>
      <c r="U541" s="15">
        <v>14</v>
      </c>
      <c r="V541" s="10">
        <v>1</v>
      </c>
    </row>
    <row r="542" spans="1:22" ht="18" customHeight="1" x14ac:dyDescent="0.35">
      <c r="A542" s="10" t="s">
        <v>23</v>
      </c>
      <c r="B542" s="10" t="s">
        <v>3211</v>
      </c>
      <c r="C542" s="11" t="s">
        <v>2980</v>
      </c>
      <c r="D542" s="11" t="s">
        <v>35</v>
      </c>
      <c r="E542" s="12">
        <v>45881.959710648145</v>
      </c>
      <c r="F542" s="10" t="str">
        <f>TEXT(events[[#This Row],[Start Date]],"DDD")</f>
        <v>Tue</v>
      </c>
      <c r="G542" s="10">
        <f>YEAR(events[[#This Row],[Start Date]])</f>
        <v>2025</v>
      </c>
      <c r="H542" s="10" t="str">
        <f>TEXT(events[[#This Row],[Start Date]],"mmm")</f>
        <v>Aug</v>
      </c>
      <c r="I542" s="10" t="str">
        <f>CONCATENATE("WK_",WEEKNUM(events[[#This Row],[Start Date]]))</f>
        <v>WK_33</v>
      </c>
      <c r="J542" s="12">
        <v>45881.998472222222</v>
      </c>
      <c r="K542" s="10">
        <v>6</v>
      </c>
      <c r="L542" s="10" t="s">
        <v>36</v>
      </c>
      <c r="M542" s="10" t="s">
        <v>2047</v>
      </c>
      <c r="N542" s="13">
        <f t="shared" si="8"/>
        <v>55.81666666666667</v>
      </c>
      <c r="O542" s="14" t="s">
        <v>38</v>
      </c>
      <c r="P542" s="14" t="s">
        <v>38</v>
      </c>
      <c r="Q542" s="14"/>
      <c r="R542" s="14"/>
      <c r="S542" s="14" t="s">
        <v>2048</v>
      </c>
      <c r="T542" s="14" t="s">
        <v>2049</v>
      </c>
      <c r="U542" s="15">
        <v>6</v>
      </c>
      <c r="V542" s="10">
        <v>1</v>
      </c>
    </row>
    <row r="543" spans="1:22" ht="18" customHeight="1" x14ac:dyDescent="0.35">
      <c r="A543" s="10" t="s">
        <v>23</v>
      </c>
      <c r="B543" s="10" t="s">
        <v>3295</v>
      </c>
      <c r="C543" s="11" t="s">
        <v>3081</v>
      </c>
      <c r="D543" s="11" t="s">
        <v>24</v>
      </c>
      <c r="E543" s="12">
        <v>45881.95853009259</v>
      </c>
      <c r="F543" s="10" t="str">
        <f>TEXT(events[[#This Row],[Start Date]],"DDD")</f>
        <v>Tue</v>
      </c>
      <c r="G543" s="10">
        <f>YEAR(events[[#This Row],[Start Date]])</f>
        <v>2025</v>
      </c>
      <c r="H543" s="10" t="str">
        <f>TEXT(events[[#This Row],[Start Date]],"mmm")</f>
        <v>Aug</v>
      </c>
      <c r="I543" s="10" t="str">
        <f>CONCATENATE("WK_",WEEKNUM(events[[#This Row],[Start Date]]))</f>
        <v>WK_33</v>
      </c>
      <c r="J543" s="12">
        <v>45881.958541666667</v>
      </c>
      <c r="K543" s="10">
        <v>33</v>
      </c>
      <c r="L543" s="10" t="s">
        <v>25</v>
      </c>
      <c r="M543" s="10" t="s">
        <v>26</v>
      </c>
      <c r="N543" s="13">
        <f t="shared" si="8"/>
        <v>1.6666666666666666E-2</v>
      </c>
      <c r="O543" s="14" t="s">
        <v>38</v>
      </c>
      <c r="P543" s="14" t="s">
        <v>38</v>
      </c>
      <c r="Q543" s="14"/>
      <c r="R543" s="14"/>
      <c r="S543" s="14" t="s">
        <v>2030</v>
      </c>
      <c r="T543" s="14" t="s">
        <v>2031</v>
      </c>
      <c r="U543" s="15">
        <v>9.3799999999999994E-2</v>
      </c>
      <c r="V543" s="10">
        <v>1</v>
      </c>
    </row>
    <row r="544" spans="1:22" ht="18" customHeight="1" x14ac:dyDescent="0.35">
      <c r="A544" s="10" t="s">
        <v>23</v>
      </c>
      <c r="B544" s="10" t="s">
        <v>3172</v>
      </c>
      <c r="C544" s="11" t="s">
        <v>2939</v>
      </c>
      <c r="D544" s="11" t="s">
        <v>35</v>
      </c>
      <c r="E544" s="12">
        <v>45881.958333333336</v>
      </c>
      <c r="F544" s="10" t="str">
        <f>TEXT(events[[#This Row],[Start Date]],"DDD")</f>
        <v>Tue</v>
      </c>
      <c r="G544" s="10">
        <f>YEAR(events[[#This Row],[Start Date]])</f>
        <v>2025</v>
      </c>
      <c r="H544" s="10" t="str">
        <f>TEXT(events[[#This Row],[Start Date]],"mmm")</f>
        <v>Aug</v>
      </c>
      <c r="I544" s="10" t="str">
        <f>CONCATENATE("WK_",WEEKNUM(events[[#This Row],[Start Date]]))</f>
        <v>WK_33</v>
      </c>
      <c r="J544" s="12">
        <v>45881.980543981481</v>
      </c>
      <c r="K544" s="10">
        <v>5</v>
      </c>
      <c r="L544" s="10" t="s">
        <v>36</v>
      </c>
      <c r="M544" s="10" t="s">
        <v>2037</v>
      </c>
      <c r="N544" s="13">
        <f t="shared" si="8"/>
        <v>31.983333333333334</v>
      </c>
      <c r="O544" s="14" t="s">
        <v>38</v>
      </c>
      <c r="P544" s="14" t="s">
        <v>38</v>
      </c>
      <c r="Q544" s="14"/>
      <c r="R544" s="14"/>
      <c r="S544" s="14" t="s">
        <v>2038</v>
      </c>
      <c r="T544" s="14" t="s">
        <v>2039</v>
      </c>
      <c r="U544" s="15">
        <v>3</v>
      </c>
      <c r="V544" s="10">
        <v>1</v>
      </c>
    </row>
    <row r="545" spans="1:22" ht="18" customHeight="1" x14ac:dyDescent="0.35">
      <c r="A545" s="10" t="s">
        <v>23</v>
      </c>
      <c r="B545" s="10" t="s">
        <v>3256</v>
      </c>
      <c r="C545" s="11" t="s">
        <v>3026</v>
      </c>
      <c r="D545" s="11" t="s">
        <v>35</v>
      </c>
      <c r="E545" s="12">
        <v>45881.958333333336</v>
      </c>
      <c r="F545" s="10" t="str">
        <f>TEXT(events[[#This Row],[Start Date]],"DDD")</f>
        <v>Tue</v>
      </c>
      <c r="G545" s="10">
        <f>YEAR(events[[#This Row],[Start Date]])</f>
        <v>2025</v>
      </c>
      <c r="H545" s="10" t="str">
        <f>TEXT(events[[#This Row],[Start Date]],"mmm")</f>
        <v>Aug</v>
      </c>
      <c r="I545" s="10" t="str">
        <f>CONCATENATE("WK_",WEEKNUM(events[[#This Row],[Start Date]]))</f>
        <v>WK_33</v>
      </c>
      <c r="J545" s="12">
        <v>45881.975254629629</v>
      </c>
      <c r="K545" s="10">
        <v>137</v>
      </c>
      <c r="L545" s="10" t="s">
        <v>36</v>
      </c>
      <c r="M545" s="10" t="s">
        <v>2055</v>
      </c>
      <c r="N545" s="13">
        <f t="shared" si="8"/>
        <v>24.366666666666667</v>
      </c>
      <c r="O545" s="14" t="s">
        <v>38</v>
      </c>
      <c r="P545" s="14" t="s">
        <v>38</v>
      </c>
      <c r="Q545" s="14"/>
      <c r="R545" s="14"/>
      <c r="S545" s="14" t="s">
        <v>2056</v>
      </c>
      <c r="T545" s="14" t="s">
        <v>2057</v>
      </c>
      <c r="U545" s="15">
        <v>10</v>
      </c>
      <c r="V545" s="10">
        <v>1</v>
      </c>
    </row>
    <row r="546" spans="1:22" ht="18" customHeight="1" x14ac:dyDescent="0.35">
      <c r="A546" s="10" t="s">
        <v>23</v>
      </c>
      <c r="B546" s="10" t="s">
        <v>3211</v>
      </c>
      <c r="C546" s="11" t="s">
        <v>2980</v>
      </c>
      <c r="D546" s="11" t="s">
        <v>24</v>
      </c>
      <c r="E546" s="12">
        <v>45881.871921296297</v>
      </c>
      <c r="F546" s="10" t="str">
        <f>TEXT(events[[#This Row],[Start Date]],"DDD")</f>
        <v>Tue</v>
      </c>
      <c r="G546" s="10">
        <f>YEAR(events[[#This Row],[Start Date]])</f>
        <v>2025</v>
      </c>
      <c r="H546" s="10" t="str">
        <f>TEXT(events[[#This Row],[Start Date]],"mmm")</f>
        <v>Aug</v>
      </c>
      <c r="I546" s="10" t="str">
        <f>CONCATENATE("WK_",WEEKNUM(events[[#This Row],[Start Date]]))</f>
        <v>WK_33</v>
      </c>
      <c r="J546" s="12">
        <v>45881.871944444443</v>
      </c>
      <c r="K546" s="10">
        <v>32</v>
      </c>
      <c r="L546" s="10" t="s">
        <v>25</v>
      </c>
      <c r="M546" s="10" t="s">
        <v>31</v>
      </c>
      <c r="N546" s="13">
        <f t="shared" si="8"/>
        <v>3.3333333333333333E-2</v>
      </c>
      <c r="O546" s="14" t="s">
        <v>38</v>
      </c>
      <c r="P546" s="14" t="s">
        <v>38</v>
      </c>
      <c r="Q546" s="14"/>
      <c r="R546" s="14"/>
      <c r="S546" s="14" t="s">
        <v>2045</v>
      </c>
      <c r="T546" s="14" t="s">
        <v>2046</v>
      </c>
      <c r="U546" s="15">
        <v>0</v>
      </c>
      <c r="V546" s="10">
        <v>1</v>
      </c>
    </row>
    <row r="547" spans="1:22" ht="18" customHeight="1" x14ac:dyDescent="0.35">
      <c r="A547" s="10" t="s">
        <v>47</v>
      </c>
      <c r="B547" s="10" t="s">
        <v>3186</v>
      </c>
      <c r="C547" s="11" t="s">
        <v>3093</v>
      </c>
      <c r="D547" s="11" t="s">
        <v>74</v>
      </c>
      <c r="E547" s="12">
        <v>45881.684675925928</v>
      </c>
      <c r="F547" s="10" t="str">
        <f>TEXT(events[[#This Row],[Start Date]],"DDD")</f>
        <v>Tue</v>
      </c>
      <c r="G547" s="10">
        <f>YEAR(events[[#This Row],[Start Date]])</f>
        <v>2025</v>
      </c>
      <c r="H547" s="10" t="str">
        <f>TEXT(events[[#This Row],[Start Date]],"mmm")</f>
        <v>Aug</v>
      </c>
      <c r="I547" s="10" t="str">
        <f>CONCATENATE("WK_",WEEKNUM(events[[#This Row],[Start Date]]))</f>
        <v>WK_33</v>
      </c>
      <c r="J547" s="12">
        <v>45881.68478009259</v>
      </c>
      <c r="K547" s="10">
        <v>86</v>
      </c>
      <c r="L547" s="10" t="s">
        <v>25</v>
      </c>
      <c r="M547" s="10" t="s">
        <v>414</v>
      </c>
      <c r="N547" s="13">
        <f t="shared" si="8"/>
        <v>0.15</v>
      </c>
      <c r="O547" s="14" t="s">
        <v>65</v>
      </c>
      <c r="P547" s="14" t="s">
        <v>27</v>
      </c>
      <c r="Q547" s="14"/>
      <c r="R547" s="14"/>
      <c r="S547" s="14" t="s">
        <v>2066</v>
      </c>
      <c r="T547" s="14" t="s">
        <v>2067</v>
      </c>
      <c r="U547" s="15">
        <v>0.3125</v>
      </c>
      <c r="V547" s="10">
        <v>1</v>
      </c>
    </row>
    <row r="548" spans="1:22" ht="18" customHeight="1" x14ac:dyDescent="0.35">
      <c r="A548" s="10" t="s">
        <v>47</v>
      </c>
      <c r="B548" s="10" t="s">
        <v>3186</v>
      </c>
      <c r="C548" s="11" t="s">
        <v>3093</v>
      </c>
      <c r="D548" s="11" t="s">
        <v>74</v>
      </c>
      <c r="E548" s="12">
        <v>45881.678460648145</v>
      </c>
      <c r="F548" s="10" t="str">
        <f>TEXT(events[[#This Row],[Start Date]],"DDD")</f>
        <v>Tue</v>
      </c>
      <c r="G548" s="10">
        <f>YEAR(events[[#This Row],[Start Date]])</f>
        <v>2025</v>
      </c>
      <c r="H548" s="10" t="str">
        <f>TEXT(events[[#This Row],[Start Date]],"mmm")</f>
        <v>Aug</v>
      </c>
      <c r="I548" s="10" t="str">
        <f>CONCATENATE("WK_",WEEKNUM(events[[#This Row],[Start Date]]))</f>
        <v>WK_33</v>
      </c>
      <c r="J548" s="12">
        <v>45881.678472222222</v>
      </c>
      <c r="K548" s="10">
        <v>81</v>
      </c>
      <c r="L548" s="10" t="s">
        <v>25</v>
      </c>
      <c r="M548" s="10" t="s">
        <v>26</v>
      </c>
      <c r="N548" s="13">
        <f t="shared" si="8"/>
        <v>1.6666666666666666E-2</v>
      </c>
      <c r="O548" s="14" t="s">
        <v>65</v>
      </c>
      <c r="P548" s="14" t="s">
        <v>65</v>
      </c>
      <c r="Q548" s="14"/>
      <c r="R548" s="14"/>
      <c r="S548" s="14" t="s">
        <v>2064</v>
      </c>
      <c r="T548" s="14" t="s">
        <v>2065</v>
      </c>
      <c r="U548" s="15">
        <v>0</v>
      </c>
      <c r="V548" s="10">
        <v>1</v>
      </c>
    </row>
    <row r="549" spans="1:22" ht="18" customHeight="1" x14ac:dyDescent="0.35">
      <c r="A549" s="10" t="s">
        <v>123</v>
      </c>
      <c r="B549" s="10" t="s">
        <v>3297</v>
      </c>
      <c r="C549" s="11" t="s">
        <v>3083</v>
      </c>
      <c r="D549" s="11" t="s">
        <v>74</v>
      </c>
      <c r="E549" s="12">
        <v>45881.552858796298</v>
      </c>
      <c r="F549" s="10" t="str">
        <f>TEXT(events[[#This Row],[Start Date]],"DDD")</f>
        <v>Tue</v>
      </c>
      <c r="G549" s="10">
        <f>YEAR(events[[#This Row],[Start Date]])</f>
        <v>2025</v>
      </c>
      <c r="H549" s="10" t="str">
        <f>TEXT(events[[#This Row],[Start Date]],"mmm")</f>
        <v>Aug</v>
      </c>
      <c r="I549" s="10" t="str">
        <f>CONCATENATE("WK_",WEEKNUM(events[[#This Row],[Start Date]]))</f>
        <v>WK_33</v>
      </c>
      <c r="J549" s="12">
        <v>45881.55332175926</v>
      </c>
      <c r="K549" s="10">
        <v>104</v>
      </c>
      <c r="L549" s="10" t="s">
        <v>25</v>
      </c>
      <c r="M549" s="10" t="s">
        <v>823</v>
      </c>
      <c r="N549" s="13">
        <f t="shared" si="8"/>
        <v>0.65</v>
      </c>
      <c r="O549" s="14"/>
      <c r="P549" s="14"/>
      <c r="Q549" s="14"/>
      <c r="R549" s="14"/>
      <c r="S549" s="14" t="s">
        <v>2124</v>
      </c>
      <c r="T549" s="14" t="s">
        <v>2125</v>
      </c>
      <c r="U549" s="15">
        <v>1</v>
      </c>
      <c r="V549" s="10">
        <v>1</v>
      </c>
    </row>
    <row r="550" spans="1:22" ht="18" customHeight="1" x14ac:dyDescent="0.35">
      <c r="A550" s="10" t="s">
        <v>86</v>
      </c>
      <c r="B550" s="10" t="s">
        <v>3176</v>
      </c>
      <c r="C550" s="11" t="s">
        <v>3017</v>
      </c>
      <c r="D550" s="11" t="s">
        <v>24</v>
      </c>
      <c r="E550" s="12">
        <v>45881.483055555553</v>
      </c>
      <c r="F550" s="10" t="str">
        <f>TEXT(events[[#This Row],[Start Date]],"DDD")</f>
        <v>Tue</v>
      </c>
      <c r="G550" s="10">
        <f>YEAR(events[[#This Row],[Start Date]])</f>
        <v>2025</v>
      </c>
      <c r="H550" s="10" t="str">
        <f>TEXT(events[[#This Row],[Start Date]],"mmm")</f>
        <v>Aug</v>
      </c>
      <c r="I550" s="10" t="str">
        <f>CONCATENATE("WK_",WEEKNUM(events[[#This Row],[Start Date]]))</f>
        <v>WK_33</v>
      </c>
      <c r="J550" s="12">
        <v>45881.483078703706</v>
      </c>
      <c r="K550" s="10">
        <v>33</v>
      </c>
      <c r="L550" s="10" t="s">
        <v>25</v>
      </c>
      <c r="M550" s="10" t="s">
        <v>31</v>
      </c>
      <c r="N550" s="13">
        <f t="shared" si="8"/>
        <v>3.3333333333333333E-2</v>
      </c>
      <c r="O550" s="14" t="s">
        <v>50</v>
      </c>
      <c r="P550" s="14" t="s">
        <v>50</v>
      </c>
      <c r="Q550" s="14"/>
      <c r="R550" s="14"/>
      <c r="S550" s="14" t="s">
        <v>2080</v>
      </c>
      <c r="T550" s="14" t="s">
        <v>2081</v>
      </c>
      <c r="U550" s="15">
        <v>0</v>
      </c>
      <c r="V550" s="10">
        <v>1</v>
      </c>
    </row>
    <row r="551" spans="1:22" ht="18" customHeight="1" x14ac:dyDescent="0.35">
      <c r="A551" s="10" t="s">
        <v>86</v>
      </c>
      <c r="B551" s="10" t="s">
        <v>3220</v>
      </c>
      <c r="C551" s="11" t="s">
        <v>3062</v>
      </c>
      <c r="D551" s="11" t="s">
        <v>24</v>
      </c>
      <c r="E551" s="12">
        <v>45881.329432870371</v>
      </c>
      <c r="F551" s="10" t="str">
        <f>TEXT(events[[#This Row],[Start Date]],"DDD")</f>
        <v>Tue</v>
      </c>
      <c r="G551" s="10">
        <f>YEAR(events[[#This Row],[Start Date]])</f>
        <v>2025</v>
      </c>
      <c r="H551" s="10" t="str">
        <f>TEXT(events[[#This Row],[Start Date]],"mmm")</f>
        <v>Aug</v>
      </c>
      <c r="I551" s="10" t="str">
        <f>CONCATENATE("WK_",WEEKNUM(events[[#This Row],[Start Date]]))</f>
        <v>WK_33</v>
      </c>
      <c r="J551" s="12">
        <v>45881.329548611109</v>
      </c>
      <c r="K551" s="10">
        <v>67</v>
      </c>
      <c r="L551" s="10" t="s">
        <v>25</v>
      </c>
      <c r="M551" s="10" t="s">
        <v>250</v>
      </c>
      <c r="N551" s="13">
        <f t="shared" si="8"/>
        <v>0.16666666666666666</v>
      </c>
      <c r="O551" s="14" t="s">
        <v>205</v>
      </c>
      <c r="P551" s="14" t="s">
        <v>205</v>
      </c>
      <c r="Q551" s="14"/>
      <c r="R551" s="14"/>
      <c r="S551" s="14" t="s">
        <v>2108</v>
      </c>
      <c r="T551" s="14" t="s">
        <v>2109</v>
      </c>
      <c r="U551" s="15">
        <v>6.25E-2</v>
      </c>
      <c r="V551" s="10">
        <v>1</v>
      </c>
    </row>
    <row r="552" spans="1:22" ht="18" customHeight="1" x14ac:dyDescent="0.35">
      <c r="A552" s="10" t="s">
        <v>86</v>
      </c>
      <c r="B552" s="10" t="s">
        <v>3236</v>
      </c>
      <c r="C552" s="11" t="s">
        <v>2964</v>
      </c>
      <c r="D552" s="11" t="s">
        <v>24</v>
      </c>
      <c r="E552" s="12">
        <v>45881.290752314817</v>
      </c>
      <c r="F552" s="10" t="str">
        <f>TEXT(events[[#This Row],[Start Date]],"DDD")</f>
        <v>Tue</v>
      </c>
      <c r="G552" s="10">
        <f>YEAR(events[[#This Row],[Start Date]])</f>
        <v>2025</v>
      </c>
      <c r="H552" s="10" t="str">
        <f>TEXT(events[[#This Row],[Start Date]],"mmm")</f>
        <v>Aug</v>
      </c>
      <c r="I552" s="10" t="str">
        <f>CONCATENATE("WK_",WEEKNUM(events[[#This Row],[Start Date]]))</f>
        <v>WK_33</v>
      </c>
      <c r="J552" s="12">
        <v>45881.290763888886</v>
      </c>
      <c r="K552" s="10">
        <v>40</v>
      </c>
      <c r="L552" s="10" t="s">
        <v>25</v>
      </c>
      <c r="M552" s="10" t="s">
        <v>26</v>
      </c>
      <c r="N552" s="13">
        <f t="shared" si="8"/>
        <v>1.6666666666666666E-2</v>
      </c>
      <c r="O552" s="14" t="s">
        <v>1423</v>
      </c>
      <c r="P552" s="14" t="s">
        <v>1423</v>
      </c>
      <c r="Q552" s="14"/>
      <c r="R552" s="14"/>
      <c r="S552" s="14" t="s">
        <v>2120</v>
      </c>
      <c r="T552" s="14" t="s">
        <v>2121</v>
      </c>
      <c r="U552" s="15">
        <v>0</v>
      </c>
      <c r="V552" s="10">
        <v>1</v>
      </c>
    </row>
    <row r="553" spans="1:22" ht="18" customHeight="1" x14ac:dyDescent="0.35">
      <c r="A553" s="10" t="s">
        <v>86</v>
      </c>
      <c r="B553" s="10" t="s">
        <v>3236</v>
      </c>
      <c r="C553" s="11" t="s">
        <v>2964</v>
      </c>
      <c r="D553" s="11" t="s">
        <v>24</v>
      </c>
      <c r="E553" s="12">
        <v>45880.864062499997</v>
      </c>
      <c r="F553" s="10" t="str">
        <f>TEXT(events[[#This Row],[Start Date]],"DDD")</f>
        <v>Mon</v>
      </c>
      <c r="G553" s="10">
        <f>YEAR(events[[#This Row],[Start Date]])</f>
        <v>2025</v>
      </c>
      <c r="H553" s="10" t="str">
        <f>TEXT(events[[#This Row],[Start Date]],"mmm")</f>
        <v>Aug</v>
      </c>
      <c r="I553" s="10" t="str">
        <f>CONCATENATE("WK_",WEEKNUM(events[[#This Row],[Start Date]]))</f>
        <v>WK_33</v>
      </c>
      <c r="J553" s="12">
        <v>45880.864062499997</v>
      </c>
      <c r="K553" s="10">
        <v>38</v>
      </c>
      <c r="L553" s="10" t="s">
        <v>25</v>
      </c>
      <c r="M553" s="10" t="s">
        <v>87</v>
      </c>
      <c r="N553" s="13">
        <f t="shared" si="8"/>
        <v>0</v>
      </c>
      <c r="O553" s="14" t="s">
        <v>1828</v>
      </c>
      <c r="P553" s="14" t="s">
        <v>1828</v>
      </c>
      <c r="Q553" s="14"/>
      <c r="R553" s="14"/>
      <c r="S553" s="14" t="s">
        <v>2119</v>
      </c>
      <c r="T553" s="14" t="s">
        <v>2119</v>
      </c>
      <c r="U553" s="15">
        <v>0</v>
      </c>
      <c r="V553" s="10">
        <v>1</v>
      </c>
    </row>
    <row r="554" spans="1:22" ht="18" customHeight="1" x14ac:dyDescent="0.35">
      <c r="A554" s="10" t="s">
        <v>86</v>
      </c>
      <c r="B554" s="10" t="s">
        <v>3183</v>
      </c>
      <c r="C554" s="11" t="s">
        <v>2952</v>
      </c>
      <c r="D554" s="11" t="s">
        <v>678</v>
      </c>
      <c r="E554" s="12">
        <v>45880.848946759259</v>
      </c>
      <c r="F554" s="10" t="str">
        <f>TEXT(events[[#This Row],[Start Date]],"DDD")</f>
        <v>Mon</v>
      </c>
      <c r="G554" s="10">
        <f>YEAR(events[[#This Row],[Start Date]])</f>
        <v>2025</v>
      </c>
      <c r="H554" s="10" t="str">
        <f>TEXT(events[[#This Row],[Start Date]],"mmm")</f>
        <v>Aug</v>
      </c>
      <c r="I554" s="10" t="str">
        <f>CONCATENATE("WK_",WEEKNUM(events[[#This Row],[Start Date]]))</f>
        <v>WK_33</v>
      </c>
      <c r="J554" s="12">
        <v>45880.848946759259</v>
      </c>
      <c r="K554" s="10">
        <v>13</v>
      </c>
      <c r="L554" s="10" t="s">
        <v>83</v>
      </c>
      <c r="M554" s="10" t="s">
        <v>87</v>
      </c>
      <c r="N554" s="13">
        <f t="shared" si="8"/>
        <v>0</v>
      </c>
      <c r="O554" s="14" t="s">
        <v>92</v>
      </c>
      <c r="P554" s="14" t="s">
        <v>92</v>
      </c>
      <c r="Q554" s="14"/>
      <c r="R554" s="14"/>
      <c r="S554" s="14" t="s">
        <v>2115</v>
      </c>
      <c r="T554" s="14" t="s">
        <v>2115</v>
      </c>
      <c r="U554" s="15">
        <v>0</v>
      </c>
      <c r="V554" s="10">
        <v>1</v>
      </c>
    </row>
    <row r="555" spans="1:22" ht="18" customHeight="1" x14ac:dyDescent="0.35">
      <c r="A555" s="10" t="s">
        <v>86</v>
      </c>
      <c r="B555" s="10" t="s">
        <v>3164</v>
      </c>
      <c r="C555" s="11" t="s">
        <v>3101</v>
      </c>
      <c r="D555" s="11" t="s">
        <v>24</v>
      </c>
      <c r="E555" s="12">
        <v>45880.784375000003</v>
      </c>
      <c r="F555" s="10" t="str">
        <f>TEXT(events[[#This Row],[Start Date]],"DDD")</f>
        <v>Mon</v>
      </c>
      <c r="G555" s="10">
        <f>YEAR(events[[#This Row],[Start Date]])</f>
        <v>2025</v>
      </c>
      <c r="H555" s="10" t="str">
        <f>TEXT(events[[#This Row],[Start Date]],"mmm")</f>
        <v>Aug</v>
      </c>
      <c r="I555" s="10" t="str">
        <f>CONCATENATE("WK_",WEEKNUM(events[[#This Row],[Start Date]]))</f>
        <v>WK_33</v>
      </c>
      <c r="J555" s="12">
        <v>45880.784398148149</v>
      </c>
      <c r="K555" s="10">
        <v>37</v>
      </c>
      <c r="L555" s="10" t="s">
        <v>25</v>
      </c>
      <c r="M555" s="10" t="s">
        <v>31</v>
      </c>
      <c r="N555" s="13">
        <f t="shared" si="8"/>
        <v>3.3333333333333333E-2</v>
      </c>
      <c r="O555" s="14" t="s">
        <v>27</v>
      </c>
      <c r="P555" s="14" t="s">
        <v>27</v>
      </c>
      <c r="Q555" s="14"/>
      <c r="R555" s="14"/>
      <c r="S555" s="14" t="s">
        <v>2073</v>
      </c>
      <c r="T555" s="14" t="s">
        <v>2074</v>
      </c>
      <c r="U555" s="15">
        <v>0</v>
      </c>
      <c r="V555" s="10">
        <v>1</v>
      </c>
    </row>
    <row r="556" spans="1:22" ht="18" customHeight="1" x14ac:dyDescent="0.35">
      <c r="A556" s="10" t="s">
        <v>86</v>
      </c>
      <c r="B556" s="10" t="s">
        <v>3182</v>
      </c>
      <c r="C556" s="11" t="s">
        <v>3085</v>
      </c>
      <c r="D556" s="11" t="s">
        <v>24</v>
      </c>
      <c r="E556" s="12">
        <v>45880.747013888889</v>
      </c>
      <c r="F556" s="10" t="str">
        <f>TEXT(events[[#This Row],[Start Date]],"DDD")</f>
        <v>Mon</v>
      </c>
      <c r="G556" s="10">
        <f>YEAR(events[[#This Row],[Start Date]])</f>
        <v>2025</v>
      </c>
      <c r="H556" s="10" t="str">
        <f>TEXT(events[[#This Row],[Start Date]],"mmm")</f>
        <v>Aug</v>
      </c>
      <c r="I556" s="10" t="str">
        <f>CONCATENATE("WK_",WEEKNUM(events[[#This Row],[Start Date]]))</f>
        <v>WK_33</v>
      </c>
      <c r="J556" s="12">
        <v>45880.747037037036</v>
      </c>
      <c r="K556" s="10">
        <v>38</v>
      </c>
      <c r="L556" s="10" t="s">
        <v>25</v>
      </c>
      <c r="M556" s="10" t="s">
        <v>31</v>
      </c>
      <c r="N556" s="13">
        <f t="shared" si="8"/>
        <v>3.3333333333333333E-2</v>
      </c>
      <c r="O556" s="14" t="s">
        <v>138</v>
      </c>
      <c r="P556" s="14" t="s">
        <v>138</v>
      </c>
      <c r="Q556" s="14"/>
      <c r="R556" s="14"/>
      <c r="S556" s="14" t="s">
        <v>2085</v>
      </c>
      <c r="T556" s="14" t="s">
        <v>2086</v>
      </c>
      <c r="U556" s="15">
        <v>0</v>
      </c>
      <c r="V556" s="10">
        <v>1</v>
      </c>
    </row>
    <row r="557" spans="1:22" ht="18" customHeight="1" x14ac:dyDescent="0.35">
      <c r="A557" s="10" t="s">
        <v>23</v>
      </c>
      <c r="B557" s="10" t="s">
        <v>3295</v>
      </c>
      <c r="C557" s="11" t="s">
        <v>3081</v>
      </c>
      <c r="D557" s="11" t="s">
        <v>74</v>
      </c>
      <c r="E557" s="12">
        <v>45880.714270833334</v>
      </c>
      <c r="F557" s="10" t="str">
        <f>TEXT(events[[#This Row],[Start Date]],"DDD")</f>
        <v>Mon</v>
      </c>
      <c r="G557" s="10">
        <f>YEAR(events[[#This Row],[Start Date]])</f>
        <v>2025</v>
      </c>
      <c r="H557" s="10" t="str">
        <f>TEXT(events[[#This Row],[Start Date]],"mmm")</f>
        <v>Aug</v>
      </c>
      <c r="I557" s="10" t="str">
        <f>CONCATENATE("WK_",WEEKNUM(events[[#This Row],[Start Date]]))</f>
        <v>WK_33</v>
      </c>
      <c r="J557" s="12">
        <v>45880.714328703703</v>
      </c>
      <c r="K557" s="10">
        <v>85</v>
      </c>
      <c r="L557" s="10" t="s">
        <v>25</v>
      </c>
      <c r="M557" s="10" t="s">
        <v>431</v>
      </c>
      <c r="N557" s="13">
        <f t="shared" si="8"/>
        <v>8.3333333333333329E-2</v>
      </c>
      <c r="O557" s="14" t="s">
        <v>38</v>
      </c>
      <c r="P557" s="14" t="s">
        <v>38</v>
      </c>
      <c r="Q557" s="14"/>
      <c r="R557" s="14"/>
      <c r="S557" s="14" t="s">
        <v>2032</v>
      </c>
      <c r="T557" s="14" t="s">
        <v>2033</v>
      </c>
      <c r="U557" s="15">
        <v>0.1875</v>
      </c>
      <c r="V557" s="10">
        <v>1</v>
      </c>
    </row>
    <row r="558" spans="1:22" ht="18" customHeight="1" x14ac:dyDescent="0.35">
      <c r="A558" s="10" t="s">
        <v>123</v>
      </c>
      <c r="B558" s="10" t="s">
        <v>3281</v>
      </c>
      <c r="C558" s="11" t="s">
        <v>3064</v>
      </c>
      <c r="D558" s="11" t="s">
        <v>74</v>
      </c>
      <c r="E558" s="12">
        <v>45880.602986111109</v>
      </c>
      <c r="F558" s="10" t="str">
        <f>TEXT(events[[#This Row],[Start Date]],"DDD")</f>
        <v>Mon</v>
      </c>
      <c r="G558" s="10">
        <f>YEAR(events[[#This Row],[Start Date]])</f>
        <v>2025</v>
      </c>
      <c r="H558" s="10" t="str">
        <f>TEXT(events[[#This Row],[Start Date]],"mmm")</f>
        <v>Aug</v>
      </c>
      <c r="I558" s="10" t="str">
        <f>CONCATENATE("WK_",WEEKNUM(events[[#This Row],[Start Date]]))</f>
        <v>WK_33</v>
      </c>
      <c r="J558" s="12">
        <v>45880.60355324074</v>
      </c>
      <c r="K558" s="10">
        <v>95</v>
      </c>
      <c r="L558" s="10" t="s">
        <v>25</v>
      </c>
      <c r="M558" s="10" t="s">
        <v>489</v>
      </c>
      <c r="N558" s="13">
        <f t="shared" si="8"/>
        <v>0.81666666666666665</v>
      </c>
      <c r="O558" s="14"/>
      <c r="P558" s="14"/>
      <c r="Q558" s="14"/>
      <c r="R558" s="14"/>
      <c r="S558" s="14" t="s">
        <v>2128</v>
      </c>
      <c r="T558" s="14" t="s">
        <v>2129</v>
      </c>
      <c r="U558" s="15">
        <v>1</v>
      </c>
      <c r="V558" s="10">
        <v>1</v>
      </c>
    </row>
    <row r="559" spans="1:22" ht="18" customHeight="1" x14ac:dyDescent="0.35">
      <c r="A559" s="10" t="s">
        <v>86</v>
      </c>
      <c r="B559" s="10" t="s">
        <v>3182</v>
      </c>
      <c r="C559" s="11" t="s">
        <v>3085</v>
      </c>
      <c r="D559" s="11" t="s">
        <v>24</v>
      </c>
      <c r="E559" s="12">
        <v>45880.376226851855</v>
      </c>
      <c r="F559" s="10" t="str">
        <f>TEXT(events[[#This Row],[Start Date]],"DDD")</f>
        <v>Mon</v>
      </c>
      <c r="G559" s="10">
        <f>YEAR(events[[#This Row],[Start Date]])</f>
        <v>2025</v>
      </c>
      <c r="H559" s="10" t="str">
        <f>TEXT(events[[#This Row],[Start Date]],"mmm")</f>
        <v>Aug</v>
      </c>
      <c r="I559" s="10" t="str">
        <f>CONCATENATE("WK_",WEEKNUM(events[[#This Row],[Start Date]]))</f>
        <v>WK_33</v>
      </c>
      <c r="J559" s="12">
        <v>45880.376307870371</v>
      </c>
      <c r="K559" s="10">
        <v>36</v>
      </c>
      <c r="L559" s="10" t="s">
        <v>25</v>
      </c>
      <c r="M559" s="10" t="s">
        <v>115</v>
      </c>
      <c r="N559" s="13">
        <f t="shared" si="8"/>
        <v>0.11666666666666667</v>
      </c>
      <c r="O559" s="14" t="s">
        <v>49</v>
      </c>
      <c r="P559" s="14" t="s">
        <v>49</v>
      </c>
      <c r="Q559" s="14"/>
      <c r="R559" s="14"/>
      <c r="S559" s="14" t="s">
        <v>2083</v>
      </c>
      <c r="T559" s="14" t="s">
        <v>2084</v>
      </c>
      <c r="U559" s="15">
        <v>0.1016</v>
      </c>
      <c r="V559" s="10">
        <v>1</v>
      </c>
    </row>
    <row r="560" spans="1:22" ht="18" customHeight="1" x14ac:dyDescent="0.35">
      <c r="A560" s="10" t="s">
        <v>123</v>
      </c>
      <c r="B560" s="10" t="s">
        <v>3312</v>
      </c>
      <c r="C560" s="11" t="s">
        <v>3102</v>
      </c>
      <c r="D560" s="11" t="s">
        <v>74</v>
      </c>
      <c r="E560" s="12">
        <v>45880.275520833333</v>
      </c>
      <c r="F560" s="10" t="str">
        <f>TEXT(events[[#This Row],[Start Date]],"DDD")</f>
        <v>Mon</v>
      </c>
      <c r="G560" s="10">
        <f>YEAR(events[[#This Row],[Start Date]])</f>
        <v>2025</v>
      </c>
      <c r="H560" s="10" t="str">
        <f>TEXT(events[[#This Row],[Start Date]],"mmm")</f>
        <v>Aug</v>
      </c>
      <c r="I560" s="10" t="str">
        <f>CONCATENATE("WK_",WEEKNUM(events[[#This Row],[Start Date]]))</f>
        <v>WK_33</v>
      </c>
      <c r="J560" s="12">
        <v>45880.276284722226</v>
      </c>
      <c r="K560" s="10">
        <v>98</v>
      </c>
      <c r="L560" s="10" t="s">
        <v>25</v>
      </c>
      <c r="M560" s="10" t="s">
        <v>2130</v>
      </c>
      <c r="N560" s="13">
        <f t="shared" si="8"/>
        <v>1.0833333333333333</v>
      </c>
      <c r="O560" s="14"/>
      <c r="P560" s="14"/>
      <c r="Q560" s="14"/>
      <c r="R560" s="14"/>
      <c r="S560" s="14" t="s">
        <v>2131</v>
      </c>
      <c r="T560" s="14" t="s">
        <v>2132</v>
      </c>
      <c r="U560" s="15">
        <v>2</v>
      </c>
      <c r="V560" s="10">
        <v>1</v>
      </c>
    </row>
    <row r="561" spans="1:22" ht="18" customHeight="1" x14ac:dyDescent="0.35">
      <c r="A561" s="10" t="s">
        <v>86</v>
      </c>
      <c r="B561" s="10" t="s">
        <v>3313</v>
      </c>
      <c r="C561" s="11" t="s">
        <v>3065</v>
      </c>
      <c r="D561" s="11" t="s">
        <v>24</v>
      </c>
      <c r="E561" s="12">
        <v>45879.697233796294</v>
      </c>
      <c r="F561" s="10" t="str">
        <f>TEXT(events[[#This Row],[Start Date]],"DDD")</f>
        <v>Sun</v>
      </c>
      <c r="G561" s="10">
        <f>YEAR(events[[#This Row],[Start Date]])</f>
        <v>2025</v>
      </c>
      <c r="H561" s="10" t="str">
        <f>TEXT(events[[#This Row],[Start Date]],"mmm")</f>
        <v>Aug</v>
      </c>
      <c r="I561" s="10" t="str">
        <f>CONCATENATE("WK_",WEEKNUM(events[[#This Row],[Start Date]]))</f>
        <v>WK_33</v>
      </c>
      <c r="J561" s="12">
        <v>45879.697233796294</v>
      </c>
      <c r="K561" s="10">
        <v>36</v>
      </c>
      <c r="L561" s="10" t="s">
        <v>25</v>
      </c>
      <c r="M561" s="10" t="s">
        <v>87</v>
      </c>
      <c r="N561" s="13">
        <f t="shared" si="8"/>
        <v>0</v>
      </c>
      <c r="O561" s="14" t="s">
        <v>138</v>
      </c>
      <c r="P561" s="14" t="s">
        <v>138</v>
      </c>
      <c r="Q561" s="14"/>
      <c r="R561" s="14"/>
      <c r="S561" s="14" t="s">
        <v>2122</v>
      </c>
      <c r="T561" s="14" t="s">
        <v>2122</v>
      </c>
      <c r="U561" s="15">
        <v>0</v>
      </c>
      <c r="V561" s="10">
        <v>1</v>
      </c>
    </row>
    <row r="562" spans="1:22" ht="18" customHeight="1" x14ac:dyDescent="0.35">
      <c r="A562" s="10" t="s">
        <v>86</v>
      </c>
      <c r="B562" s="10" t="s">
        <v>3246</v>
      </c>
      <c r="C562" s="11" t="s">
        <v>2979</v>
      </c>
      <c r="D562" s="11" t="s">
        <v>24</v>
      </c>
      <c r="E562" s="12">
        <v>45879.573379629626</v>
      </c>
      <c r="F562" s="10" t="str">
        <f>TEXT(events[[#This Row],[Start Date]],"DDD")</f>
        <v>Sun</v>
      </c>
      <c r="G562" s="10">
        <f>YEAR(events[[#This Row],[Start Date]])</f>
        <v>2025</v>
      </c>
      <c r="H562" s="10" t="str">
        <f>TEXT(events[[#This Row],[Start Date]],"mmm")</f>
        <v>Aug</v>
      </c>
      <c r="I562" s="10" t="str">
        <f>CONCATENATE("WK_",WEEKNUM(events[[#This Row],[Start Date]]))</f>
        <v>WK_33</v>
      </c>
      <c r="J562" s="12">
        <v>45879.573599537034</v>
      </c>
      <c r="K562" s="10">
        <v>38</v>
      </c>
      <c r="L562" s="10" t="s">
        <v>25</v>
      </c>
      <c r="M562" s="10" t="s">
        <v>445</v>
      </c>
      <c r="N562" s="13">
        <f t="shared" si="8"/>
        <v>0.31666666666666665</v>
      </c>
      <c r="O562" s="14" t="s">
        <v>92</v>
      </c>
      <c r="P562" s="14" t="s">
        <v>92</v>
      </c>
      <c r="Q562" s="14"/>
      <c r="R562" s="14"/>
      <c r="S562" s="14" t="s">
        <v>2103</v>
      </c>
      <c r="T562" s="14" t="s">
        <v>2104</v>
      </c>
      <c r="U562" s="15">
        <v>0.1875</v>
      </c>
      <c r="V562" s="10">
        <v>1</v>
      </c>
    </row>
    <row r="563" spans="1:22" ht="18" customHeight="1" x14ac:dyDescent="0.35">
      <c r="A563" s="10" t="s">
        <v>86</v>
      </c>
      <c r="B563" s="10" t="s">
        <v>3176</v>
      </c>
      <c r="C563" s="11" t="s">
        <v>3017</v>
      </c>
      <c r="D563" s="11" t="s">
        <v>24</v>
      </c>
      <c r="E563" s="12">
        <v>45879.403194444443</v>
      </c>
      <c r="F563" s="10" t="str">
        <f>TEXT(events[[#This Row],[Start Date]],"DDD")</f>
        <v>Sun</v>
      </c>
      <c r="G563" s="10">
        <f>YEAR(events[[#This Row],[Start Date]])</f>
        <v>2025</v>
      </c>
      <c r="H563" s="10" t="str">
        <f>TEXT(events[[#This Row],[Start Date]],"mmm")</f>
        <v>Aug</v>
      </c>
      <c r="I563" s="10" t="str">
        <f>CONCATENATE("WK_",WEEKNUM(events[[#This Row],[Start Date]]))</f>
        <v>WK_33</v>
      </c>
      <c r="J563" s="12">
        <v>45879.403217592589</v>
      </c>
      <c r="K563" s="10">
        <v>52</v>
      </c>
      <c r="L563" s="10" t="s">
        <v>25</v>
      </c>
      <c r="M563" s="10" t="s">
        <v>31</v>
      </c>
      <c r="N563" s="13">
        <f t="shared" si="8"/>
        <v>3.3333333333333333E-2</v>
      </c>
      <c r="O563" s="14" t="s">
        <v>49</v>
      </c>
      <c r="P563" s="14" t="s">
        <v>49</v>
      </c>
      <c r="Q563" s="14"/>
      <c r="R563" s="14"/>
      <c r="S563" s="14" t="s">
        <v>2078</v>
      </c>
      <c r="T563" s="14" t="s">
        <v>2079</v>
      </c>
      <c r="U563" s="15">
        <v>0</v>
      </c>
      <c r="V563" s="10">
        <v>1</v>
      </c>
    </row>
    <row r="564" spans="1:22" ht="18" customHeight="1" x14ac:dyDescent="0.35">
      <c r="A564" s="10" t="s">
        <v>123</v>
      </c>
      <c r="B564" s="10" t="s">
        <v>3314</v>
      </c>
      <c r="C564" s="11" t="s">
        <v>3103</v>
      </c>
      <c r="D564" s="11" t="s">
        <v>74</v>
      </c>
      <c r="E564" s="12">
        <v>45879.358402777776</v>
      </c>
      <c r="F564" s="10" t="str">
        <f>TEXT(events[[#This Row],[Start Date]],"DDD")</f>
        <v>Sun</v>
      </c>
      <c r="G564" s="10">
        <f>YEAR(events[[#This Row],[Start Date]])</f>
        <v>2025</v>
      </c>
      <c r="H564" s="10" t="str">
        <f>TEXT(events[[#This Row],[Start Date]],"mmm")</f>
        <v>Aug</v>
      </c>
      <c r="I564" s="10" t="str">
        <f>CONCATENATE("WK_",WEEKNUM(events[[#This Row],[Start Date]]))</f>
        <v>WK_33</v>
      </c>
      <c r="J564" s="12">
        <v>45879.358749999999</v>
      </c>
      <c r="K564" s="10">
        <v>98</v>
      </c>
      <c r="L564" s="10" t="s">
        <v>25</v>
      </c>
      <c r="M564" s="10" t="s">
        <v>1151</v>
      </c>
      <c r="N564" s="13">
        <f t="shared" si="8"/>
        <v>0.48333333333333334</v>
      </c>
      <c r="O564" s="14"/>
      <c r="P564" s="14"/>
      <c r="Q564" s="14"/>
      <c r="R564" s="14"/>
      <c r="S564" s="14" t="s">
        <v>824</v>
      </c>
      <c r="T564" s="14" t="s">
        <v>2133</v>
      </c>
      <c r="U564" s="15">
        <v>1</v>
      </c>
      <c r="V564" s="10">
        <v>1</v>
      </c>
    </row>
    <row r="565" spans="1:22" ht="18" customHeight="1" x14ac:dyDescent="0.35">
      <c r="A565" s="10" t="s">
        <v>86</v>
      </c>
      <c r="B565" s="10" t="s">
        <v>3182</v>
      </c>
      <c r="C565" s="11" t="s">
        <v>3085</v>
      </c>
      <c r="D565" s="11" t="s">
        <v>24</v>
      </c>
      <c r="E565" s="12">
        <v>45878.86645833333</v>
      </c>
      <c r="F565" s="10" t="str">
        <f>TEXT(events[[#This Row],[Start Date]],"DDD")</f>
        <v>Sat</v>
      </c>
      <c r="G565" s="10">
        <f>YEAR(events[[#This Row],[Start Date]])</f>
        <v>2025</v>
      </c>
      <c r="H565" s="10" t="str">
        <f>TEXT(events[[#This Row],[Start Date]],"mmm")</f>
        <v>Aug</v>
      </c>
      <c r="I565" s="10" t="str">
        <f>CONCATENATE("WK_",WEEKNUM(events[[#This Row],[Start Date]]))</f>
        <v>WK_32</v>
      </c>
      <c r="J565" s="12">
        <v>45878.86645833333</v>
      </c>
      <c r="K565" s="10">
        <v>38</v>
      </c>
      <c r="L565" s="10" t="s">
        <v>25</v>
      </c>
      <c r="M565" s="10" t="s">
        <v>87</v>
      </c>
      <c r="N565" s="13">
        <f t="shared" si="8"/>
        <v>0</v>
      </c>
      <c r="O565" s="14" t="s">
        <v>49</v>
      </c>
      <c r="P565" s="14" t="s">
        <v>49</v>
      </c>
      <c r="Q565" s="14"/>
      <c r="R565" s="14"/>
      <c r="S565" s="14" t="s">
        <v>2082</v>
      </c>
      <c r="T565" s="14" t="s">
        <v>2082</v>
      </c>
      <c r="U565" s="15">
        <v>9.7600000000000006E-2</v>
      </c>
      <c r="V565" s="10">
        <v>1</v>
      </c>
    </row>
    <row r="566" spans="1:22" ht="18" customHeight="1" x14ac:dyDescent="0.35">
      <c r="A566" s="10" t="s">
        <v>23</v>
      </c>
      <c r="B566" s="10" t="s">
        <v>3209</v>
      </c>
      <c r="C566" s="11" t="s">
        <v>2977</v>
      </c>
      <c r="D566" s="11" t="s">
        <v>82</v>
      </c>
      <c r="E566" s="12">
        <v>45878.678553240738</v>
      </c>
      <c r="F566" s="10" t="str">
        <f>TEXT(events[[#This Row],[Start Date]],"DDD")</f>
        <v>Sat</v>
      </c>
      <c r="G566" s="10">
        <f>YEAR(events[[#This Row],[Start Date]])</f>
        <v>2025</v>
      </c>
      <c r="H566" s="10" t="str">
        <f>TEXT(events[[#This Row],[Start Date]],"mmm")</f>
        <v>Aug</v>
      </c>
      <c r="I566" s="10" t="str">
        <f>CONCATENATE("WK_",WEEKNUM(events[[#This Row],[Start Date]]))</f>
        <v>WK_32</v>
      </c>
      <c r="J566" s="12">
        <v>45878.678564814814</v>
      </c>
      <c r="K566" s="10">
        <v>18</v>
      </c>
      <c r="L566" s="10" t="s">
        <v>83</v>
      </c>
      <c r="M566" s="10" t="s">
        <v>26</v>
      </c>
      <c r="N566" s="13">
        <f t="shared" si="8"/>
        <v>1.6666666666666666E-2</v>
      </c>
      <c r="O566" s="14" t="s">
        <v>231</v>
      </c>
      <c r="P566" s="14"/>
      <c r="Q566" s="14"/>
      <c r="R566" s="14"/>
      <c r="S566" s="14" t="s">
        <v>2063</v>
      </c>
      <c r="T566" s="14"/>
      <c r="U566" s="15">
        <v>0</v>
      </c>
      <c r="V566" s="10">
        <v>1</v>
      </c>
    </row>
    <row r="567" spans="1:22" ht="18" customHeight="1" x14ac:dyDescent="0.35">
      <c r="A567" s="10" t="s">
        <v>123</v>
      </c>
      <c r="B567" s="10" t="s">
        <v>3315</v>
      </c>
      <c r="C567" s="11" t="s">
        <v>3104</v>
      </c>
      <c r="D567" s="11" t="s">
        <v>74</v>
      </c>
      <c r="E567" s="12">
        <v>45878.546539351853</v>
      </c>
      <c r="F567" s="10" t="str">
        <f>TEXT(events[[#This Row],[Start Date]],"DDD")</f>
        <v>Sat</v>
      </c>
      <c r="G567" s="10">
        <f>YEAR(events[[#This Row],[Start Date]])</f>
        <v>2025</v>
      </c>
      <c r="H567" s="10" t="str">
        <f>TEXT(events[[#This Row],[Start Date]],"mmm")</f>
        <v>Aug</v>
      </c>
      <c r="I567" s="10" t="str">
        <f>CONCATENATE("WK_",WEEKNUM(events[[#This Row],[Start Date]]))</f>
        <v>WK_32</v>
      </c>
      <c r="J567" s="12">
        <v>45878.547523148147</v>
      </c>
      <c r="K567" s="10">
        <v>112</v>
      </c>
      <c r="L567" s="10" t="s">
        <v>25</v>
      </c>
      <c r="M567" s="10" t="s">
        <v>2138</v>
      </c>
      <c r="N567" s="13">
        <f t="shared" si="8"/>
        <v>1.4</v>
      </c>
      <c r="O567" s="14"/>
      <c r="P567" s="14"/>
      <c r="Q567" s="14"/>
      <c r="R567" s="14"/>
      <c r="S567" s="14" t="s">
        <v>2139</v>
      </c>
      <c r="T567" s="14" t="s">
        <v>2140</v>
      </c>
      <c r="U567" s="15">
        <v>2</v>
      </c>
      <c r="V567" s="10">
        <v>1</v>
      </c>
    </row>
    <row r="568" spans="1:22" ht="18" customHeight="1" x14ac:dyDescent="0.35">
      <c r="A568" s="10" t="s">
        <v>86</v>
      </c>
      <c r="B568" s="10" t="s">
        <v>3246</v>
      </c>
      <c r="C568" s="11" t="s">
        <v>3059</v>
      </c>
      <c r="D568" s="11" t="s">
        <v>24</v>
      </c>
      <c r="E568" s="12">
        <v>45878.314085648148</v>
      </c>
      <c r="F568" s="10" t="str">
        <f>TEXT(events[[#This Row],[Start Date]],"DDD")</f>
        <v>Sat</v>
      </c>
      <c r="G568" s="10">
        <f>YEAR(events[[#This Row],[Start Date]])</f>
        <v>2025</v>
      </c>
      <c r="H568" s="10" t="str">
        <f>TEXT(events[[#This Row],[Start Date]],"mmm")</f>
        <v>Aug</v>
      </c>
      <c r="I568" s="10" t="str">
        <f>CONCATENATE("WK_",WEEKNUM(events[[#This Row],[Start Date]]))</f>
        <v>WK_32</v>
      </c>
      <c r="J568" s="12">
        <v>45878.314097222225</v>
      </c>
      <c r="K568" s="10">
        <v>32</v>
      </c>
      <c r="L568" s="10" t="s">
        <v>25</v>
      </c>
      <c r="M568" s="10" t="s">
        <v>26</v>
      </c>
      <c r="N568" s="13">
        <f t="shared" si="8"/>
        <v>1.6666666666666666E-2</v>
      </c>
      <c r="O568" s="14" t="s">
        <v>38</v>
      </c>
      <c r="P568" s="14" t="s">
        <v>38</v>
      </c>
      <c r="Q568" s="14"/>
      <c r="R568" s="14"/>
      <c r="S568" s="14" t="s">
        <v>2101</v>
      </c>
      <c r="T568" s="14" t="s">
        <v>2102</v>
      </c>
      <c r="U568" s="15">
        <v>0</v>
      </c>
      <c r="V568" s="10">
        <v>1</v>
      </c>
    </row>
    <row r="569" spans="1:22" ht="18" customHeight="1" x14ac:dyDescent="0.35">
      <c r="A569" s="10" t="s">
        <v>23</v>
      </c>
      <c r="B569" s="10" t="s">
        <v>3207</v>
      </c>
      <c r="C569" s="11" t="s">
        <v>2975</v>
      </c>
      <c r="D569" s="11" t="s">
        <v>35</v>
      </c>
      <c r="E569" s="12">
        <v>45877.95989583333</v>
      </c>
      <c r="F569" s="10" t="str">
        <f>TEXT(events[[#This Row],[Start Date]],"DDD")</f>
        <v>Fri</v>
      </c>
      <c r="G569" s="10">
        <f>YEAR(events[[#This Row],[Start Date]])</f>
        <v>2025</v>
      </c>
      <c r="H569" s="10" t="str">
        <f>TEXT(events[[#This Row],[Start Date]],"mmm")</f>
        <v>Aug</v>
      </c>
      <c r="I569" s="10" t="str">
        <f>CONCATENATE("WK_",WEEKNUM(events[[#This Row],[Start Date]]))</f>
        <v>WK_32</v>
      </c>
      <c r="J569" s="12">
        <v>45877.977418981478</v>
      </c>
      <c r="K569" s="10">
        <v>12</v>
      </c>
      <c r="L569" s="10" t="s">
        <v>36</v>
      </c>
      <c r="M569" s="10" t="s">
        <v>2034</v>
      </c>
      <c r="N569" s="13">
        <f t="shared" si="8"/>
        <v>25.233333333333334</v>
      </c>
      <c r="O569" s="14" t="s">
        <v>38</v>
      </c>
      <c r="P569" s="14" t="s">
        <v>38</v>
      </c>
      <c r="Q569" s="14"/>
      <c r="R569" s="14"/>
      <c r="S569" s="14" t="s">
        <v>2035</v>
      </c>
      <c r="T569" s="14" t="s">
        <v>2036</v>
      </c>
      <c r="U569" s="15">
        <v>12</v>
      </c>
      <c r="V569" s="10">
        <v>1</v>
      </c>
    </row>
    <row r="570" spans="1:22" ht="18" customHeight="1" x14ac:dyDescent="0.35">
      <c r="A570" s="10" t="s">
        <v>86</v>
      </c>
      <c r="B570" s="10" t="s">
        <v>3316</v>
      </c>
      <c r="C570" s="11" t="s">
        <v>3015</v>
      </c>
      <c r="D570" s="11" t="s">
        <v>35</v>
      </c>
      <c r="E570" s="12">
        <v>45877.958344907405</v>
      </c>
      <c r="F570" s="10" t="str">
        <f>TEXT(events[[#This Row],[Start Date]],"DDD")</f>
        <v>Fri</v>
      </c>
      <c r="G570" s="10">
        <f>YEAR(events[[#This Row],[Start Date]])</f>
        <v>2025</v>
      </c>
      <c r="H570" s="10" t="str">
        <f>TEXT(events[[#This Row],[Start Date]],"mmm")</f>
        <v>Aug</v>
      </c>
      <c r="I570" s="10" t="str">
        <f>CONCATENATE("WK_",WEEKNUM(events[[#This Row],[Start Date]]))</f>
        <v>WK_32</v>
      </c>
      <c r="J570" s="12">
        <v>45877.971875000003</v>
      </c>
      <c r="K570" s="10">
        <v>72</v>
      </c>
      <c r="L570" s="10" t="s">
        <v>36</v>
      </c>
      <c r="M570" s="10" t="s">
        <v>2096</v>
      </c>
      <c r="N570" s="13">
        <f t="shared" si="8"/>
        <v>19.483333333333334</v>
      </c>
      <c r="O570" s="14" t="s">
        <v>142</v>
      </c>
      <c r="P570" s="14" t="s">
        <v>142</v>
      </c>
      <c r="Q570" s="14"/>
      <c r="R570" s="14"/>
      <c r="S570" s="14" t="s">
        <v>2097</v>
      </c>
      <c r="T570" s="14" t="s">
        <v>2098</v>
      </c>
      <c r="U570" s="15">
        <v>7</v>
      </c>
      <c r="V570" s="10">
        <v>1</v>
      </c>
    </row>
    <row r="571" spans="1:22" ht="18" customHeight="1" x14ac:dyDescent="0.35">
      <c r="A571" s="10" t="s">
        <v>86</v>
      </c>
      <c r="B571" s="10" t="s">
        <v>3246</v>
      </c>
      <c r="C571" s="11" t="s">
        <v>3059</v>
      </c>
      <c r="D571" s="11" t="s">
        <v>35</v>
      </c>
      <c r="E571" s="12">
        <v>45877.958344907405</v>
      </c>
      <c r="F571" s="10" t="str">
        <f>TEXT(events[[#This Row],[Start Date]],"DDD")</f>
        <v>Fri</v>
      </c>
      <c r="G571" s="10">
        <f>YEAR(events[[#This Row],[Start Date]])</f>
        <v>2025</v>
      </c>
      <c r="H571" s="10" t="str">
        <f>TEXT(events[[#This Row],[Start Date]],"mmm")</f>
        <v>Aug</v>
      </c>
      <c r="I571" s="10" t="str">
        <f>CONCATENATE("WK_",WEEKNUM(events[[#This Row],[Start Date]]))</f>
        <v>WK_32</v>
      </c>
      <c r="J571" s="12">
        <v>45877.968449074076</v>
      </c>
      <c r="K571" s="10">
        <v>18</v>
      </c>
      <c r="L571" s="10" t="s">
        <v>36</v>
      </c>
      <c r="M571" s="10" t="s">
        <v>2105</v>
      </c>
      <c r="N571" s="13">
        <f t="shared" si="8"/>
        <v>14.55</v>
      </c>
      <c r="O571" s="14" t="s">
        <v>142</v>
      </c>
      <c r="P571" s="14" t="s">
        <v>142</v>
      </c>
      <c r="Q571" s="14"/>
      <c r="R571" s="14"/>
      <c r="S571" s="14" t="s">
        <v>2106</v>
      </c>
      <c r="T571" s="14" t="s">
        <v>2107</v>
      </c>
      <c r="U571" s="15">
        <v>6</v>
      </c>
      <c r="V571" s="10">
        <v>1</v>
      </c>
    </row>
    <row r="572" spans="1:22" ht="18" customHeight="1" x14ac:dyDescent="0.35">
      <c r="A572" s="10" t="s">
        <v>47</v>
      </c>
      <c r="B572" s="10" t="s">
        <v>3217</v>
      </c>
      <c r="C572" s="11" t="s">
        <v>2985</v>
      </c>
      <c r="D572" s="11" t="s">
        <v>74</v>
      </c>
      <c r="E572" s="12">
        <v>45877.807627314818</v>
      </c>
      <c r="F572" s="10" t="str">
        <f>TEXT(events[[#This Row],[Start Date]],"DDD")</f>
        <v>Fri</v>
      </c>
      <c r="G572" s="10">
        <f>YEAR(events[[#This Row],[Start Date]])</f>
        <v>2025</v>
      </c>
      <c r="H572" s="10" t="str">
        <f>TEXT(events[[#This Row],[Start Date]],"mmm")</f>
        <v>Aug</v>
      </c>
      <c r="I572" s="10" t="str">
        <f>CONCATENATE("WK_",WEEKNUM(events[[#This Row],[Start Date]]))</f>
        <v>WK_32</v>
      </c>
      <c r="J572" s="12">
        <v>45877.807708333334</v>
      </c>
      <c r="K572" s="10">
        <v>82</v>
      </c>
      <c r="L572" s="10" t="s">
        <v>25</v>
      </c>
      <c r="M572" s="10" t="s">
        <v>115</v>
      </c>
      <c r="N572" s="13">
        <f t="shared" si="8"/>
        <v>0.11666666666666667</v>
      </c>
      <c r="O572" s="14" t="s">
        <v>27</v>
      </c>
      <c r="P572" s="14" t="s">
        <v>27</v>
      </c>
      <c r="Q572" s="14"/>
      <c r="R572" s="14"/>
      <c r="S572" s="14" t="s">
        <v>2068</v>
      </c>
      <c r="T572" s="14" t="s">
        <v>2069</v>
      </c>
      <c r="U572" s="15">
        <v>0.2031</v>
      </c>
      <c r="V572" s="10">
        <v>1</v>
      </c>
    </row>
    <row r="573" spans="1:22" ht="18" customHeight="1" x14ac:dyDescent="0.35">
      <c r="A573" s="10" t="s">
        <v>123</v>
      </c>
      <c r="B573" s="10" t="s">
        <v>3312</v>
      </c>
      <c r="C573" s="11" t="s">
        <v>3102</v>
      </c>
      <c r="D573" s="11" t="s">
        <v>74</v>
      </c>
      <c r="E573" s="12">
        <v>45877.792268518519</v>
      </c>
      <c r="F573" s="10" t="str">
        <f>TEXT(events[[#This Row],[Start Date]],"DDD")</f>
        <v>Fri</v>
      </c>
      <c r="G573" s="10">
        <f>YEAR(events[[#This Row],[Start Date]])</f>
        <v>2025</v>
      </c>
      <c r="H573" s="10" t="str">
        <f>TEXT(events[[#This Row],[Start Date]],"mmm")</f>
        <v>Aug</v>
      </c>
      <c r="I573" s="10" t="str">
        <f>CONCATENATE("WK_",WEEKNUM(events[[#This Row],[Start Date]]))</f>
        <v>WK_32</v>
      </c>
      <c r="J573" s="12">
        <v>45877.793553240743</v>
      </c>
      <c r="K573" s="10">
        <v>103</v>
      </c>
      <c r="L573" s="10" t="s">
        <v>25</v>
      </c>
      <c r="M573" s="10" t="s">
        <v>494</v>
      </c>
      <c r="N573" s="13">
        <f t="shared" si="8"/>
        <v>1.8333333333333335</v>
      </c>
      <c r="O573" s="14"/>
      <c r="P573" s="14"/>
      <c r="Q573" s="14"/>
      <c r="R573" s="14"/>
      <c r="S573" s="14" t="s">
        <v>2144</v>
      </c>
      <c r="T573" s="14" t="s">
        <v>2145</v>
      </c>
      <c r="U573" s="15">
        <v>3</v>
      </c>
      <c r="V573" s="10">
        <v>1</v>
      </c>
    </row>
    <row r="574" spans="1:22" ht="18" customHeight="1" x14ac:dyDescent="0.35">
      <c r="A574" s="10" t="s">
        <v>123</v>
      </c>
      <c r="B574" s="10" t="s">
        <v>3315</v>
      </c>
      <c r="C574" s="11" t="s">
        <v>3104</v>
      </c>
      <c r="D574" s="11" t="s">
        <v>74</v>
      </c>
      <c r="E574" s="12">
        <v>45877.734884259262</v>
      </c>
      <c r="F574" s="10" t="str">
        <f>TEXT(events[[#This Row],[Start Date]],"DDD")</f>
        <v>Fri</v>
      </c>
      <c r="G574" s="10">
        <f>YEAR(events[[#This Row],[Start Date]])</f>
        <v>2025</v>
      </c>
      <c r="H574" s="10" t="str">
        <f>TEXT(events[[#This Row],[Start Date]],"mmm")</f>
        <v>Aug</v>
      </c>
      <c r="I574" s="10" t="str">
        <f>CONCATENATE("WK_",WEEKNUM(events[[#This Row],[Start Date]]))</f>
        <v>WK_32</v>
      </c>
      <c r="J574" s="12">
        <v>45877.735231481478</v>
      </c>
      <c r="K574" s="10">
        <v>111</v>
      </c>
      <c r="L574" s="10" t="s">
        <v>25</v>
      </c>
      <c r="M574" s="10" t="s">
        <v>1151</v>
      </c>
      <c r="N574" s="13">
        <f t="shared" si="8"/>
        <v>0.48333333333333334</v>
      </c>
      <c r="O574" s="14"/>
      <c r="P574" s="14"/>
      <c r="Q574" s="14"/>
      <c r="R574" s="14"/>
      <c r="S574" s="14" t="s">
        <v>2146</v>
      </c>
      <c r="T574" s="14" t="s">
        <v>2147</v>
      </c>
      <c r="U574" s="15">
        <v>1</v>
      </c>
      <c r="V574" s="10">
        <v>1</v>
      </c>
    </row>
    <row r="575" spans="1:22" ht="18" customHeight="1" x14ac:dyDescent="0.35">
      <c r="A575" s="10" t="s">
        <v>23</v>
      </c>
      <c r="B575" s="10" t="s">
        <v>3196</v>
      </c>
      <c r="C575" s="11" t="s">
        <v>3072</v>
      </c>
      <c r="D575" s="11" t="s">
        <v>24</v>
      </c>
      <c r="E575" s="12">
        <v>45877.696550925924</v>
      </c>
      <c r="F575" s="10" t="str">
        <f>TEXT(events[[#This Row],[Start Date]],"DDD")</f>
        <v>Fri</v>
      </c>
      <c r="G575" s="10">
        <f>YEAR(events[[#This Row],[Start Date]])</f>
        <v>2025</v>
      </c>
      <c r="H575" s="10" t="str">
        <f>TEXT(events[[#This Row],[Start Date]],"mmm")</f>
        <v>Aug</v>
      </c>
      <c r="I575" s="10" t="str">
        <f>CONCATENATE("WK_",WEEKNUM(events[[#This Row],[Start Date]]))</f>
        <v>WK_32</v>
      </c>
      <c r="J575" s="12">
        <v>45877.696608796294</v>
      </c>
      <c r="K575" s="10">
        <v>34</v>
      </c>
      <c r="L575" s="10" t="s">
        <v>25</v>
      </c>
      <c r="M575" s="10" t="s">
        <v>431</v>
      </c>
      <c r="N575" s="13">
        <f t="shared" si="8"/>
        <v>8.3333333333333329E-2</v>
      </c>
      <c r="O575" s="14" t="s">
        <v>38</v>
      </c>
      <c r="P575" s="14" t="s">
        <v>38</v>
      </c>
      <c r="Q575" s="14"/>
      <c r="R575" s="14"/>
      <c r="S575" s="14" t="s">
        <v>2043</v>
      </c>
      <c r="T575" s="14" t="s">
        <v>2044</v>
      </c>
      <c r="U575" s="15">
        <v>0</v>
      </c>
      <c r="V575" s="10">
        <v>1</v>
      </c>
    </row>
    <row r="576" spans="1:22" ht="18" customHeight="1" x14ac:dyDescent="0.35">
      <c r="A576" s="10" t="s">
        <v>23</v>
      </c>
      <c r="B576" s="10" t="s">
        <v>3295</v>
      </c>
      <c r="C576" s="11" t="s">
        <v>3081</v>
      </c>
      <c r="D576" s="11" t="s">
        <v>24</v>
      </c>
      <c r="E576" s="12">
        <v>45877.514282407406</v>
      </c>
      <c r="F576" s="10" t="str">
        <f>TEXT(events[[#This Row],[Start Date]],"DDD")</f>
        <v>Fri</v>
      </c>
      <c r="G576" s="10">
        <f>YEAR(events[[#This Row],[Start Date]])</f>
        <v>2025</v>
      </c>
      <c r="H576" s="10" t="str">
        <f>TEXT(events[[#This Row],[Start Date]],"mmm")</f>
        <v>Aug</v>
      </c>
      <c r="I576" s="10" t="str">
        <f>CONCATENATE("WK_",WEEKNUM(events[[#This Row],[Start Date]]))</f>
        <v>WK_32</v>
      </c>
      <c r="J576" s="12">
        <v>45877.514293981483</v>
      </c>
      <c r="K576" s="10">
        <v>31</v>
      </c>
      <c r="L576" s="10" t="s">
        <v>25</v>
      </c>
      <c r="M576" s="10" t="s">
        <v>26</v>
      </c>
      <c r="N576" s="13">
        <f t="shared" si="8"/>
        <v>1.6666666666666666E-2</v>
      </c>
      <c r="O576" s="14" t="s">
        <v>142</v>
      </c>
      <c r="P576" s="14" t="s">
        <v>142</v>
      </c>
      <c r="Q576" s="14"/>
      <c r="R576" s="14"/>
      <c r="S576" s="14" t="s">
        <v>2028</v>
      </c>
      <c r="T576" s="14" t="s">
        <v>2029</v>
      </c>
      <c r="U576" s="15">
        <v>0</v>
      </c>
      <c r="V576" s="10">
        <v>1</v>
      </c>
    </row>
    <row r="577" spans="1:22" ht="18" customHeight="1" x14ac:dyDescent="0.35">
      <c r="A577" s="10" t="s">
        <v>123</v>
      </c>
      <c r="B577" s="10" t="s">
        <v>3312</v>
      </c>
      <c r="C577" s="11" t="s">
        <v>3102</v>
      </c>
      <c r="D577" s="11" t="s">
        <v>74</v>
      </c>
      <c r="E577" s="12">
        <v>45877.356527777774</v>
      </c>
      <c r="F577" s="10" t="str">
        <f>TEXT(events[[#This Row],[Start Date]],"DDD")</f>
        <v>Fri</v>
      </c>
      <c r="G577" s="10">
        <f>YEAR(events[[#This Row],[Start Date]])</f>
        <v>2025</v>
      </c>
      <c r="H577" s="10" t="str">
        <f>TEXT(events[[#This Row],[Start Date]],"mmm")</f>
        <v>Aug</v>
      </c>
      <c r="I577" s="10" t="str">
        <f>CONCATENATE("WK_",WEEKNUM(events[[#This Row],[Start Date]]))</f>
        <v>WK_32</v>
      </c>
      <c r="J577" s="12">
        <v>45877.358067129629</v>
      </c>
      <c r="K577" s="10">
        <v>100</v>
      </c>
      <c r="L577" s="10" t="s">
        <v>25</v>
      </c>
      <c r="M577" s="10" t="s">
        <v>2141</v>
      </c>
      <c r="N577" s="13">
        <f t="shared" si="8"/>
        <v>2.2000000000000002</v>
      </c>
      <c r="O577" s="14"/>
      <c r="P577" s="14"/>
      <c r="Q577" s="14"/>
      <c r="R577" s="14"/>
      <c r="S577" s="14" t="s">
        <v>2142</v>
      </c>
      <c r="T577" s="14" t="s">
        <v>2143</v>
      </c>
      <c r="U577" s="15">
        <v>4</v>
      </c>
      <c r="V577" s="10">
        <v>1</v>
      </c>
    </row>
    <row r="578" spans="1:22" ht="18" customHeight="1" x14ac:dyDescent="0.35">
      <c r="A578" s="10" t="s">
        <v>23</v>
      </c>
      <c r="B578" s="10" t="s">
        <v>3317</v>
      </c>
      <c r="C578" s="11" t="s">
        <v>3105</v>
      </c>
      <c r="D578" s="11" t="s">
        <v>35</v>
      </c>
      <c r="E578" s="12">
        <v>45876.958333333336</v>
      </c>
      <c r="F578" s="10" t="str">
        <f>TEXT(events[[#This Row],[Start Date]],"DDD")</f>
        <v>Thu</v>
      </c>
      <c r="G578" s="10">
        <f>YEAR(events[[#This Row],[Start Date]])</f>
        <v>2025</v>
      </c>
      <c r="H578" s="10" t="str">
        <f>TEXT(events[[#This Row],[Start Date]],"mmm")</f>
        <v>Aug</v>
      </c>
      <c r="I578" s="10" t="str">
        <f>CONCATENATE("WK_",WEEKNUM(events[[#This Row],[Start Date]]))</f>
        <v>WK_32</v>
      </c>
      <c r="J578" s="12">
        <v>45876.96234953704</v>
      </c>
      <c r="K578" s="10">
        <v>50</v>
      </c>
      <c r="L578" s="10" t="s">
        <v>36</v>
      </c>
      <c r="M578" s="10" t="s">
        <v>2050</v>
      </c>
      <c r="N578" s="13">
        <f t="shared" ref="N578:N641" si="9">HOUR(M578)*60+MINUTE(M578)+SECOND(M578)/60</f>
        <v>5.7833333333333332</v>
      </c>
      <c r="O578" s="14" t="s">
        <v>38</v>
      </c>
      <c r="P578" s="14" t="s">
        <v>38</v>
      </c>
      <c r="Q578" s="14"/>
      <c r="R578" s="14"/>
      <c r="S578" s="14" t="s">
        <v>2051</v>
      </c>
      <c r="T578" s="14" t="s">
        <v>2052</v>
      </c>
      <c r="U578" s="15">
        <v>1</v>
      </c>
      <c r="V578" s="10">
        <v>1</v>
      </c>
    </row>
    <row r="579" spans="1:22" ht="18" customHeight="1" x14ac:dyDescent="0.35">
      <c r="A579" s="10" t="s">
        <v>23</v>
      </c>
      <c r="B579" s="10" t="s">
        <v>3209</v>
      </c>
      <c r="C579" s="11" t="s">
        <v>2977</v>
      </c>
      <c r="D579" s="11" t="s">
        <v>24</v>
      </c>
      <c r="E579" s="12">
        <v>45876.784791666665</v>
      </c>
      <c r="F579" s="10" t="str">
        <f>TEXT(events[[#This Row],[Start Date]],"DDD")</f>
        <v>Thu</v>
      </c>
      <c r="G579" s="10">
        <f>YEAR(events[[#This Row],[Start Date]])</f>
        <v>2025</v>
      </c>
      <c r="H579" s="10" t="str">
        <f>TEXT(events[[#This Row],[Start Date]],"mmm")</f>
        <v>Aug</v>
      </c>
      <c r="I579" s="10" t="str">
        <f>CONCATENATE("WK_",WEEKNUM(events[[#This Row],[Start Date]]))</f>
        <v>WK_32</v>
      </c>
      <c r="J579" s="12">
        <v>45876.785127314812</v>
      </c>
      <c r="K579" s="10">
        <v>47</v>
      </c>
      <c r="L579" s="10" t="s">
        <v>25</v>
      </c>
      <c r="M579" s="10" t="s">
        <v>1151</v>
      </c>
      <c r="N579" s="13">
        <f t="shared" si="9"/>
        <v>0.48333333333333334</v>
      </c>
      <c r="O579" s="14" t="s">
        <v>38</v>
      </c>
      <c r="P579" s="14" t="s">
        <v>38</v>
      </c>
      <c r="Q579" s="14"/>
      <c r="R579" s="14"/>
      <c r="S579" s="14" t="s">
        <v>2061</v>
      </c>
      <c r="T579" s="14" t="s">
        <v>2062</v>
      </c>
      <c r="U579" s="15">
        <v>0.2969</v>
      </c>
      <c r="V579" s="10">
        <v>1</v>
      </c>
    </row>
    <row r="580" spans="1:22" ht="18" customHeight="1" x14ac:dyDescent="0.35">
      <c r="A580" s="10" t="s">
        <v>123</v>
      </c>
      <c r="B580" s="10" t="s">
        <v>3315</v>
      </c>
      <c r="C580" s="11" t="s">
        <v>3104</v>
      </c>
      <c r="D580" s="11" t="s">
        <v>74</v>
      </c>
      <c r="E580" s="12">
        <v>45876.431203703702</v>
      </c>
      <c r="F580" s="10" t="str">
        <f>TEXT(events[[#This Row],[Start Date]],"DDD")</f>
        <v>Thu</v>
      </c>
      <c r="G580" s="10">
        <f>YEAR(events[[#This Row],[Start Date]])</f>
        <v>2025</v>
      </c>
      <c r="H580" s="10" t="str">
        <f>TEXT(events[[#This Row],[Start Date]],"mmm")</f>
        <v>Aug</v>
      </c>
      <c r="I580" s="10" t="str">
        <f>CONCATENATE("WK_",WEEKNUM(events[[#This Row],[Start Date]]))</f>
        <v>WK_32</v>
      </c>
      <c r="J580" s="12">
        <v>45876.43236111111</v>
      </c>
      <c r="K580" s="10">
        <v>100</v>
      </c>
      <c r="L580" s="10" t="s">
        <v>25</v>
      </c>
      <c r="M580" s="10" t="s">
        <v>1268</v>
      </c>
      <c r="N580" s="13">
        <f t="shared" si="9"/>
        <v>1.65</v>
      </c>
      <c r="O580" s="14"/>
      <c r="P580" s="14"/>
      <c r="Q580" s="14"/>
      <c r="R580" s="14"/>
      <c r="S580" s="14" t="s">
        <v>2136</v>
      </c>
      <c r="T580" s="14" t="s">
        <v>2137</v>
      </c>
      <c r="U580" s="15">
        <v>2</v>
      </c>
      <c r="V580" s="10">
        <v>1</v>
      </c>
    </row>
    <row r="581" spans="1:22" ht="18" customHeight="1" x14ac:dyDescent="0.35">
      <c r="A581" s="10" t="s">
        <v>47</v>
      </c>
      <c r="B581" s="10" t="s">
        <v>3252</v>
      </c>
      <c r="C581" s="11" t="s">
        <v>3022</v>
      </c>
      <c r="D581" s="11" t="s">
        <v>35</v>
      </c>
      <c r="E581" s="12">
        <v>45876.144386574073</v>
      </c>
      <c r="F581" s="10" t="str">
        <f>TEXT(events[[#This Row],[Start Date]],"DDD")</f>
        <v>Thu</v>
      </c>
      <c r="G581" s="10">
        <f>YEAR(events[[#This Row],[Start Date]])</f>
        <v>2025</v>
      </c>
      <c r="H581" s="10" t="str">
        <f>TEXT(events[[#This Row],[Start Date]],"mmm")</f>
        <v>Aug</v>
      </c>
      <c r="I581" s="10" t="str">
        <f>CONCATENATE("WK_",WEEKNUM(events[[#This Row],[Start Date]]))</f>
        <v>WK_32</v>
      </c>
      <c r="J581" s="12">
        <v>45876.166643518518</v>
      </c>
      <c r="K581" s="10">
        <v>24</v>
      </c>
      <c r="L581" s="10" t="s">
        <v>36</v>
      </c>
      <c r="M581" s="10" t="s">
        <v>2070</v>
      </c>
      <c r="N581" s="13">
        <f t="shared" si="9"/>
        <v>32.049999999999997</v>
      </c>
      <c r="O581" s="14" t="s">
        <v>138</v>
      </c>
      <c r="P581" s="14" t="s">
        <v>92</v>
      </c>
      <c r="Q581" s="14"/>
      <c r="R581" s="14"/>
      <c r="S581" s="14" t="s">
        <v>2071</v>
      </c>
      <c r="T581" s="14" t="s">
        <v>2072</v>
      </c>
      <c r="U581" s="15">
        <v>24</v>
      </c>
      <c r="V581" s="10">
        <v>1</v>
      </c>
    </row>
    <row r="582" spans="1:22" ht="18" customHeight="1" x14ac:dyDescent="0.35">
      <c r="A582" s="10" t="s">
        <v>123</v>
      </c>
      <c r="B582" s="10" t="s">
        <v>3312</v>
      </c>
      <c r="C582" s="11" t="s">
        <v>3102</v>
      </c>
      <c r="D582" s="11" t="s">
        <v>74</v>
      </c>
      <c r="E582" s="12">
        <v>45876.063564814816</v>
      </c>
      <c r="F582" s="10" t="str">
        <f>TEXT(events[[#This Row],[Start Date]],"DDD")</f>
        <v>Thu</v>
      </c>
      <c r="G582" s="10">
        <f>YEAR(events[[#This Row],[Start Date]])</f>
        <v>2025</v>
      </c>
      <c r="H582" s="10" t="str">
        <f>TEXT(events[[#This Row],[Start Date]],"mmm")</f>
        <v>Aug</v>
      </c>
      <c r="I582" s="10" t="str">
        <f>CONCATENATE("WK_",WEEKNUM(events[[#This Row],[Start Date]]))</f>
        <v>WK_32</v>
      </c>
      <c r="J582" s="12">
        <v>45876.064375000002</v>
      </c>
      <c r="K582" s="10">
        <v>117</v>
      </c>
      <c r="L582" s="10" t="s">
        <v>25</v>
      </c>
      <c r="M582" s="10" t="s">
        <v>712</v>
      </c>
      <c r="N582" s="13">
        <f t="shared" si="9"/>
        <v>1.1499999999999999</v>
      </c>
      <c r="O582" s="14"/>
      <c r="P582" s="14"/>
      <c r="Q582" s="14"/>
      <c r="R582" s="14"/>
      <c r="S582" s="14" t="s">
        <v>2134</v>
      </c>
      <c r="T582" s="14" t="s">
        <v>2135</v>
      </c>
      <c r="U582" s="15">
        <v>2</v>
      </c>
      <c r="V582" s="10">
        <v>1</v>
      </c>
    </row>
    <row r="583" spans="1:22" ht="18" customHeight="1" x14ac:dyDescent="0.35">
      <c r="A583" s="10" t="s">
        <v>123</v>
      </c>
      <c r="B583" s="10" t="s">
        <v>3312</v>
      </c>
      <c r="C583" s="11" t="s">
        <v>3102</v>
      </c>
      <c r="D583" s="11" t="s">
        <v>74</v>
      </c>
      <c r="E583" s="12">
        <v>45875.898865740739</v>
      </c>
      <c r="F583" s="10" t="str">
        <f>TEXT(events[[#This Row],[Start Date]],"DDD")</f>
        <v>Wed</v>
      </c>
      <c r="G583" s="10">
        <f>YEAR(events[[#This Row],[Start Date]])</f>
        <v>2025</v>
      </c>
      <c r="H583" s="10" t="str">
        <f>TEXT(events[[#This Row],[Start Date]],"mmm")</f>
        <v>Aug</v>
      </c>
      <c r="I583" s="10" t="str">
        <f>CONCATENATE("WK_",WEEKNUM(events[[#This Row],[Start Date]]))</f>
        <v>WK_32</v>
      </c>
      <c r="J583" s="12">
        <v>45875.900034722225</v>
      </c>
      <c r="K583" s="10">
        <v>93</v>
      </c>
      <c r="L583" s="10" t="s">
        <v>25</v>
      </c>
      <c r="M583" s="10" t="s">
        <v>2259</v>
      </c>
      <c r="N583" s="13">
        <f t="shared" si="9"/>
        <v>1.6833333333333333</v>
      </c>
      <c r="O583" s="14"/>
      <c r="P583" s="14" t="s">
        <v>2260</v>
      </c>
      <c r="Q583" s="14"/>
      <c r="R583" s="14"/>
      <c r="S583" s="14" t="s">
        <v>2261</v>
      </c>
      <c r="T583" s="14" t="s">
        <v>2262</v>
      </c>
      <c r="U583" s="15">
        <v>2</v>
      </c>
      <c r="V583" s="10">
        <v>1</v>
      </c>
    </row>
    <row r="584" spans="1:22" ht="18" customHeight="1" x14ac:dyDescent="0.35">
      <c r="A584" s="10" t="s">
        <v>86</v>
      </c>
      <c r="B584" s="10" t="s">
        <v>3205</v>
      </c>
      <c r="C584" s="11" t="s">
        <v>3020</v>
      </c>
      <c r="D584" s="11" t="s">
        <v>24</v>
      </c>
      <c r="E584" s="12">
        <v>45875.789479166669</v>
      </c>
      <c r="F584" s="10" t="str">
        <f>TEXT(events[[#This Row],[Start Date]],"DDD")</f>
        <v>Wed</v>
      </c>
      <c r="G584" s="10">
        <f>YEAR(events[[#This Row],[Start Date]])</f>
        <v>2025</v>
      </c>
      <c r="H584" s="10" t="str">
        <f>TEXT(events[[#This Row],[Start Date]],"mmm")</f>
        <v>Aug</v>
      </c>
      <c r="I584" s="10" t="str">
        <f>CONCATENATE("WK_",WEEKNUM(events[[#This Row],[Start Date]]))</f>
        <v>WK_32</v>
      </c>
      <c r="J584" s="12">
        <v>45875.789502314816</v>
      </c>
      <c r="K584" s="10">
        <v>35</v>
      </c>
      <c r="L584" s="10" t="s">
        <v>25</v>
      </c>
      <c r="M584" s="10" t="s">
        <v>31</v>
      </c>
      <c r="N584" s="13">
        <f t="shared" si="9"/>
        <v>3.3333333333333333E-2</v>
      </c>
      <c r="O584" s="14" t="s">
        <v>49</v>
      </c>
      <c r="P584" s="14" t="s">
        <v>49</v>
      </c>
      <c r="Q584" s="14"/>
      <c r="R584" s="14"/>
      <c r="S584" s="14" t="s">
        <v>2253</v>
      </c>
      <c r="T584" s="14" t="s">
        <v>2254</v>
      </c>
      <c r="U584" s="15">
        <v>0</v>
      </c>
      <c r="V584" s="10">
        <v>1</v>
      </c>
    </row>
    <row r="585" spans="1:22" ht="18" customHeight="1" x14ac:dyDescent="0.35">
      <c r="A585" s="10" t="s">
        <v>23</v>
      </c>
      <c r="B585" s="10" t="s">
        <v>3229</v>
      </c>
      <c r="C585" s="11" t="s">
        <v>2996</v>
      </c>
      <c r="D585" s="11" t="s">
        <v>24</v>
      </c>
      <c r="E585" s="12">
        <v>45875.720601851855</v>
      </c>
      <c r="F585" s="10" t="str">
        <f>TEXT(events[[#This Row],[Start Date]],"DDD")</f>
        <v>Wed</v>
      </c>
      <c r="G585" s="10">
        <f>YEAR(events[[#This Row],[Start Date]])</f>
        <v>2025</v>
      </c>
      <c r="H585" s="10" t="str">
        <f>TEXT(events[[#This Row],[Start Date]],"mmm")</f>
        <v>Aug</v>
      </c>
      <c r="I585" s="10" t="str">
        <f>CONCATENATE("WK_",WEEKNUM(events[[#This Row],[Start Date]]))</f>
        <v>WK_32</v>
      </c>
      <c r="J585" s="12">
        <v>45875.720671296294</v>
      </c>
      <c r="K585" s="10">
        <v>33</v>
      </c>
      <c r="L585" s="10" t="s">
        <v>25</v>
      </c>
      <c r="M585" s="10" t="s">
        <v>328</v>
      </c>
      <c r="N585" s="13">
        <f t="shared" si="9"/>
        <v>0.1</v>
      </c>
      <c r="O585" s="14" t="s">
        <v>38</v>
      </c>
      <c r="P585" s="14" t="s">
        <v>38</v>
      </c>
      <c r="Q585" s="14"/>
      <c r="R585" s="14"/>
      <c r="S585" s="14" t="s">
        <v>2175</v>
      </c>
      <c r="T585" s="14" t="s">
        <v>2176</v>
      </c>
      <c r="U585" s="15">
        <v>9.9599999999999994E-2</v>
      </c>
      <c r="V585" s="10">
        <v>1</v>
      </c>
    </row>
    <row r="586" spans="1:22" ht="18" customHeight="1" x14ac:dyDescent="0.35">
      <c r="A586" s="10" t="s">
        <v>23</v>
      </c>
      <c r="B586" s="10" t="s">
        <v>3295</v>
      </c>
      <c r="C586" s="11" t="s">
        <v>3081</v>
      </c>
      <c r="D586" s="11" t="s">
        <v>24</v>
      </c>
      <c r="E586" s="12">
        <v>45875.638819444444</v>
      </c>
      <c r="F586" s="10" t="str">
        <f>TEXT(events[[#This Row],[Start Date]],"DDD")</f>
        <v>Wed</v>
      </c>
      <c r="G586" s="10">
        <f>YEAR(events[[#This Row],[Start Date]])</f>
        <v>2025</v>
      </c>
      <c r="H586" s="10" t="str">
        <f>TEXT(events[[#This Row],[Start Date]],"mmm")</f>
        <v>Aug</v>
      </c>
      <c r="I586" s="10" t="str">
        <f>CONCATENATE("WK_",WEEKNUM(events[[#This Row],[Start Date]]))</f>
        <v>WK_32</v>
      </c>
      <c r="J586" s="12">
        <v>45875.638819444444</v>
      </c>
      <c r="K586" s="10">
        <v>46</v>
      </c>
      <c r="L586" s="10" t="s">
        <v>25</v>
      </c>
      <c r="M586" s="10" t="s">
        <v>87</v>
      </c>
      <c r="N586" s="13">
        <f t="shared" si="9"/>
        <v>0</v>
      </c>
      <c r="O586" s="14" t="s">
        <v>92</v>
      </c>
      <c r="P586" s="14" t="s">
        <v>92</v>
      </c>
      <c r="Q586" s="14"/>
      <c r="R586" s="14"/>
      <c r="S586" s="14" t="s">
        <v>2168</v>
      </c>
      <c r="T586" s="14" t="s">
        <v>2168</v>
      </c>
      <c r="U586" s="15">
        <v>0</v>
      </c>
      <c r="V586" s="10">
        <v>1</v>
      </c>
    </row>
    <row r="587" spans="1:22" ht="18" customHeight="1" x14ac:dyDescent="0.35">
      <c r="A587" s="10" t="s">
        <v>123</v>
      </c>
      <c r="B587" s="10" t="s">
        <v>3238</v>
      </c>
      <c r="C587" s="11" t="s">
        <v>3005</v>
      </c>
      <c r="D587" s="11" t="s">
        <v>74</v>
      </c>
      <c r="E587" s="12">
        <v>45875.609097222223</v>
      </c>
      <c r="F587" s="10" t="str">
        <f>TEXT(events[[#This Row],[Start Date]],"DDD")</f>
        <v>Wed</v>
      </c>
      <c r="G587" s="10">
        <f>YEAR(events[[#This Row],[Start Date]])</f>
        <v>2025</v>
      </c>
      <c r="H587" s="10" t="str">
        <f>TEXT(events[[#This Row],[Start Date]],"mmm")</f>
        <v>Aug</v>
      </c>
      <c r="I587" s="10" t="str">
        <f>CONCATENATE("WK_",WEEKNUM(events[[#This Row],[Start Date]]))</f>
        <v>WK_32</v>
      </c>
      <c r="J587" s="12">
        <v>45875.610023148147</v>
      </c>
      <c r="K587" s="10">
        <v>93</v>
      </c>
      <c r="L587" s="10" t="s">
        <v>25</v>
      </c>
      <c r="M587" s="10" t="s">
        <v>441</v>
      </c>
      <c r="N587" s="13">
        <f t="shared" si="9"/>
        <v>1.3166666666666667</v>
      </c>
      <c r="O587" s="14"/>
      <c r="P587" s="14" t="s">
        <v>280</v>
      </c>
      <c r="Q587" s="14"/>
      <c r="R587" s="14"/>
      <c r="S587" s="14" t="s">
        <v>2257</v>
      </c>
      <c r="T587" s="14" t="s">
        <v>2258</v>
      </c>
      <c r="U587" s="15">
        <v>2</v>
      </c>
      <c r="V587" s="10">
        <v>1</v>
      </c>
    </row>
    <row r="588" spans="1:22" ht="18" customHeight="1" x14ac:dyDescent="0.35">
      <c r="A588" s="10" t="s">
        <v>86</v>
      </c>
      <c r="B588" s="10" t="s">
        <v>3182</v>
      </c>
      <c r="C588" s="11" t="s">
        <v>3100</v>
      </c>
      <c r="D588" s="11" t="s">
        <v>35</v>
      </c>
      <c r="E588" s="12">
        <v>45874.960555555554</v>
      </c>
      <c r="F588" s="10" t="str">
        <f>TEXT(events[[#This Row],[Start Date]],"DDD")</f>
        <v>Tue</v>
      </c>
      <c r="G588" s="10">
        <f>YEAR(events[[#This Row],[Start Date]])</f>
        <v>2025</v>
      </c>
      <c r="H588" s="10" t="str">
        <f>TEXT(events[[#This Row],[Start Date]],"mmm")</f>
        <v>Aug</v>
      </c>
      <c r="I588" s="10" t="str">
        <f>CONCATENATE("WK_",WEEKNUM(events[[#This Row],[Start Date]]))</f>
        <v>WK_32</v>
      </c>
      <c r="J588" s="12">
        <v>45874.998425925929</v>
      </c>
      <c r="K588" s="10">
        <v>46</v>
      </c>
      <c r="L588" s="10" t="s">
        <v>36</v>
      </c>
      <c r="M588" s="10" t="s">
        <v>2216</v>
      </c>
      <c r="N588" s="13">
        <f t="shared" si="9"/>
        <v>54.533333333333331</v>
      </c>
      <c r="O588" s="14" t="s">
        <v>65</v>
      </c>
      <c r="P588" s="14" t="s">
        <v>92</v>
      </c>
      <c r="Q588" s="14"/>
      <c r="R588" s="14" t="s">
        <v>750</v>
      </c>
      <c r="S588" s="14" t="s">
        <v>2217</v>
      </c>
      <c r="T588" s="14" t="s">
        <v>2218</v>
      </c>
      <c r="U588" s="15">
        <v>46</v>
      </c>
      <c r="V588" s="10">
        <v>1</v>
      </c>
    </row>
    <row r="589" spans="1:22" ht="18" customHeight="1" x14ac:dyDescent="0.35">
      <c r="A589" s="10" t="s">
        <v>23</v>
      </c>
      <c r="B589" s="10" t="s">
        <v>3174</v>
      </c>
      <c r="C589" s="11" t="s">
        <v>2941</v>
      </c>
      <c r="D589" s="11" t="s">
        <v>74</v>
      </c>
      <c r="E589" s="12">
        <v>45874.858703703707</v>
      </c>
      <c r="F589" s="10" t="str">
        <f>TEXT(events[[#This Row],[Start Date]],"DDD")</f>
        <v>Tue</v>
      </c>
      <c r="G589" s="10">
        <f>YEAR(events[[#This Row],[Start Date]])</f>
        <v>2025</v>
      </c>
      <c r="H589" s="10" t="str">
        <f>TEXT(events[[#This Row],[Start Date]],"mmm")</f>
        <v>Aug</v>
      </c>
      <c r="I589" s="10" t="str">
        <f>CONCATENATE("WK_",WEEKNUM(events[[#This Row],[Start Date]]))</f>
        <v>WK_32</v>
      </c>
      <c r="J589" s="12">
        <v>45874.858715277776</v>
      </c>
      <c r="K589" s="10">
        <v>81</v>
      </c>
      <c r="L589" s="10" t="s">
        <v>25</v>
      </c>
      <c r="M589" s="10" t="s">
        <v>26</v>
      </c>
      <c r="N589" s="13">
        <f t="shared" si="9"/>
        <v>1.6666666666666666E-2</v>
      </c>
      <c r="O589" s="14" t="s">
        <v>65</v>
      </c>
      <c r="P589" s="14" t="s">
        <v>65</v>
      </c>
      <c r="Q589" s="14"/>
      <c r="R589" s="14"/>
      <c r="S589" s="14" t="s">
        <v>2185</v>
      </c>
      <c r="T589" s="14" t="s">
        <v>2186</v>
      </c>
      <c r="U589" s="15">
        <v>0</v>
      </c>
      <c r="V589" s="10">
        <v>1</v>
      </c>
    </row>
    <row r="590" spans="1:22" ht="18" customHeight="1" x14ac:dyDescent="0.35">
      <c r="A590" s="10" t="s">
        <v>123</v>
      </c>
      <c r="B590" s="10" t="s">
        <v>3238</v>
      </c>
      <c r="C590" s="11" t="s">
        <v>3005</v>
      </c>
      <c r="D590" s="11" t="s">
        <v>74</v>
      </c>
      <c r="E590" s="12">
        <v>45874.758692129632</v>
      </c>
      <c r="F590" s="10" t="str">
        <f>TEXT(events[[#This Row],[Start Date]],"DDD")</f>
        <v>Tue</v>
      </c>
      <c r="G590" s="10">
        <f>YEAR(events[[#This Row],[Start Date]])</f>
        <v>2025</v>
      </c>
      <c r="H590" s="10" t="str">
        <f>TEXT(events[[#This Row],[Start Date]],"mmm")</f>
        <v>Aug</v>
      </c>
      <c r="I590" s="10" t="str">
        <f>CONCATENATE("WK_",WEEKNUM(events[[#This Row],[Start Date]]))</f>
        <v>WK_32</v>
      </c>
      <c r="J590" s="12">
        <v>45874.758981481478</v>
      </c>
      <c r="K590" s="10">
        <v>90</v>
      </c>
      <c r="L590" s="10" t="s">
        <v>25</v>
      </c>
      <c r="M590" s="10" t="s">
        <v>124</v>
      </c>
      <c r="N590" s="13">
        <f t="shared" si="9"/>
        <v>0.4</v>
      </c>
      <c r="O590" s="14"/>
      <c r="P590" s="14" t="s">
        <v>2281</v>
      </c>
      <c r="Q590" s="14"/>
      <c r="R590" s="14"/>
      <c r="S590" s="14" t="s">
        <v>2282</v>
      </c>
      <c r="T590" s="14" t="s">
        <v>2283</v>
      </c>
      <c r="U590" s="15">
        <v>1</v>
      </c>
      <c r="V590" s="10">
        <v>1</v>
      </c>
    </row>
    <row r="591" spans="1:22" ht="18" customHeight="1" x14ac:dyDescent="0.35">
      <c r="A591" s="10" t="s">
        <v>123</v>
      </c>
      <c r="B591" s="10" t="s">
        <v>3283</v>
      </c>
      <c r="C591" s="11" t="s">
        <v>3067</v>
      </c>
      <c r="D591" s="11" t="s">
        <v>74</v>
      </c>
      <c r="E591" s="12">
        <v>45874.739571759259</v>
      </c>
      <c r="F591" s="10" t="str">
        <f>TEXT(events[[#This Row],[Start Date]],"DDD")</f>
        <v>Tue</v>
      </c>
      <c r="G591" s="10">
        <f>YEAR(events[[#This Row],[Start Date]])</f>
        <v>2025</v>
      </c>
      <c r="H591" s="10" t="str">
        <f>TEXT(events[[#This Row],[Start Date]],"mmm")</f>
        <v>Aug</v>
      </c>
      <c r="I591" s="10" t="str">
        <f>CONCATENATE("WK_",WEEKNUM(events[[#This Row],[Start Date]]))</f>
        <v>WK_32</v>
      </c>
      <c r="J591" s="12">
        <v>45874.74015046296</v>
      </c>
      <c r="K591" s="10">
        <v>95</v>
      </c>
      <c r="L591" s="10" t="s">
        <v>25</v>
      </c>
      <c r="M591" s="10" t="s">
        <v>489</v>
      </c>
      <c r="N591" s="13">
        <f t="shared" si="9"/>
        <v>0.81666666666666665</v>
      </c>
      <c r="O591" s="14"/>
      <c r="P591" s="14" t="s">
        <v>1927</v>
      </c>
      <c r="Q591" s="14"/>
      <c r="R591" s="14"/>
      <c r="S591" s="14" t="s">
        <v>2291</v>
      </c>
      <c r="T591" s="14" t="s">
        <v>2292</v>
      </c>
      <c r="U591" s="15">
        <v>1</v>
      </c>
      <c r="V591" s="10">
        <v>1</v>
      </c>
    </row>
    <row r="592" spans="1:22" ht="18" customHeight="1" x14ac:dyDescent="0.35">
      <c r="A592" s="10" t="s">
        <v>47</v>
      </c>
      <c r="B592" s="10" t="s">
        <v>3216</v>
      </c>
      <c r="C592" s="11" t="s">
        <v>3027</v>
      </c>
      <c r="D592" s="11" t="s">
        <v>74</v>
      </c>
      <c r="E592" s="12">
        <v>45874.735601851855</v>
      </c>
      <c r="F592" s="10" t="str">
        <f>TEXT(events[[#This Row],[Start Date]],"DDD")</f>
        <v>Tue</v>
      </c>
      <c r="G592" s="10">
        <f>YEAR(events[[#This Row],[Start Date]])</f>
        <v>2025</v>
      </c>
      <c r="H592" s="10" t="str">
        <f>TEXT(events[[#This Row],[Start Date]],"mmm")</f>
        <v>Aug</v>
      </c>
      <c r="I592" s="10" t="str">
        <f>CONCATENATE("WK_",WEEKNUM(events[[#This Row],[Start Date]]))</f>
        <v>WK_32</v>
      </c>
      <c r="J592" s="12">
        <v>45874.735613425924</v>
      </c>
      <c r="K592" s="10">
        <v>81</v>
      </c>
      <c r="L592" s="10" t="s">
        <v>25</v>
      </c>
      <c r="M592" s="10" t="s">
        <v>26</v>
      </c>
      <c r="N592" s="13">
        <f t="shared" si="9"/>
        <v>1.6666666666666666E-2</v>
      </c>
      <c r="O592" s="14" t="s">
        <v>65</v>
      </c>
      <c r="P592" s="14" t="s">
        <v>65</v>
      </c>
      <c r="Q592" s="14"/>
      <c r="R592" s="14"/>
      <c r="S592" s="14" t="s">
        <v>2207</v>
      </c>
      <c r="T592" s="14" t="s">
        <v>2208</v>
      </c>
      <c r="U592" s="15">
        <v>9.3799999999999994E-2</v>
      </c>
      <c r="V592" s="10">
        <v>1</v>
      </c>
    </row>
    <row r="593" spans="1:22" ht="18" customHeight="1" x14ac:dyDescent="0.35">
      <c r="A593" s="10" t="s">
        <v>123</v>
      </c>
      <c r="B593" s="10" t="s">
        <v>3312</v>
      </c>
      <c r="C593" s="11" t="s">
        <v>3102</v>
      </c>
      <c r="D593" s="11" t="s">
        <v>74</v>
      </c>
      <c r="E593" s="12">
        <v>45874.62164351852</v>
      </c>
      <c r="F593" s="10" t="str">
        <f>TEXT(events[[#This Row],[Start Date]],"DDD")</f>
        <v>Tue</v>
      </c>
      <c r="G593" s="10">
        <f>YEAR(events[[#This Row],[Start Date]])</f>
        <v>2025</v>
      </c>
      <c r="H593" s="10" t="str">
        <f>TEXT(events[[#This Row],[Start Date]],"mmm")</f>
        <v>Aug</v>
      </c>
      <c r="I593" s="10" t="str">
        <f>CONCATENATE("WK_",WEEKNUM(events[[#This Row],[Start Date]]))</f>
        <v>WK_32</v>
      </c>
      <c r="J593" s="12">
        <v>45874.625231481485</v>
      </c>
      <c r="K593" s="10">
        <v>115</v>
      </c>
      <c r="L593" s="10" t="s">
        <v>25</v>
      </c>
      <c r="M593" s="10" t="s">
        <v>2287</v>
      </c>
      <c r="N593" s="13">
        <f t="shared" si="9"/>
        <v>5.15</v>
      </c>
      <c r="O593" s="14"/>
      <c r="P593" s="14" t="s">
        <v>2288</v>
      </c>
      <c r="Q593" s="14"/>
      <c r="R593" s="14"/>
      <c r="S593" s="14" t="s">
        <v>2289</v>
      </c>
      <c r="T593" s="14" t="s">
        <v>2290</v>
      </c>
      <c r="U593" s="15">
        <v>8</v>
      </c>
      <c r="V593" s="10">
        <v>1</v>
      </c>
    </row>
    <row r="594" spans="1:22" ht="18" customHeight="1" x14ac:dyDescent="0.35">
      <c r="A594" s="10" t="s">
        <v>23</v>
      </c>
      <c r="B594" s="10" t="s">
        <v>3207</v>
      </c>
      <c r="C594" s="11" t="s">
        <v>2975</v>
      </c>
      <c r="D594" s="11" t="s">
        <v>24</v>
      </c>
      <c r="E594" s="12">
        <v>45874.564583333333</v>
      </c>
      <c r="F594" s="10" t="str">
        <f>TEXT(events[[#This Row],[Start Date]],"DDD")</f>
        <v>Tue</v>
      </c>
      <c r="G594" s="10">
        <f>YEAR(events[[#This Row],[Start Date]])</f>
        <v>2025</v>
      </c>
      <c r="H594" s="10" t="str">
        <f>TEXT(events[[#This Row],[Start Date]],"mmm")</f>
        <v>Aug</v>
      </c>
      <c r="I594" s="10" t="str">
        <f>CONCATENATE("WK_",WEEKNUM(events[[#This Row],[Start Date]]))</f>
        <v>WK_32</v>
      </c>
      <c r="J594" s="12">
        <v>45874.56459490741</v>
      </c>
      <c r="K594" s="10">
        <v>32</v>
      </c>
      <c r="L594" s="10" t="s">
        <v>25</v>
      </c>
      <c r="M594" s="10" t="s">
        <v>26</v>
      </c>
      <c r="N594" s="13">
        <f t="shared" si="9"/>
        <v>1.6666666666666666E-2</v>
      </c>
      <c r="O594" s="14" t="s">
        <v>1729</v>
      </c>
      <c r="P594" s="14" t="s">
        <v>1729</v>
      </c>
      <c r="Q594" s="14"/>
      <c r="R594" s="14"/>
      <c r="S594" s="14" t="s">
        <v>2171</v>
      </c>
      <c r="T594" s="14" t="s">
        <v>2172</v>
      </c>
      <c r="U594" s="15">
        <v>0</v>
      </c>
      <c r="V594" s="10">
        <v>1</v>
      </c>
    </row>
    <row r="595" spans="1:22" ht="18" customHeight="1" x14ac:dyDescent="0.35">
      <c r="A595" s="10" t="s">
        <v>123</v>
      </c>
      <c r="B595" s="10" t="s">
        <v>3281</v>
      </c>
      <c r="C595" s="11" t="s">
        <v>3064</v>
      </c>
      <c r="D595" s="11" t="s">
        <v>74</v>
      </c>
      <c r="E595" s="12">
        <v>45874.495069444441</v>
      </c>
      <c r="F595" s="10" t="str">
        <f>TEXT(events[[#This Row],[Start Date]],"DDD")</f>
        <v>Tue</v>
      </c>
      <c r="G595" s="10">
        <f>YEAR(events[[#This Row],[Start Date]])</f>
        <v>2025</v>
      </c>
      <c r="H595" s="10" t="str">
        <f>TEXT(events[[#This Row],[Start Date]],"mmm")</f>
        <v>Aug</v>
      </c>
      <c r="I595" s="10" t="str">
        <f>CONCATENATE("WK_",WEEKNUM(events[[#This Row],[Start Date]]))</f>
        <v>WK_32</v>
      </c>
      <c r="J595" s="12">
        <v>45874.496122685188</v>
      </c>
      <c r="K595" s="10">
        <v>89</v>
      </c>
      <c r="L595" s="10" t="s">
        <v>25</v>
      </c>
      <c r="M595" s="10" t="s">
        <v>365</v>
      </c>
      <c r="N595" s="13">
        <f t="shared" si="9"/>
        <v>1.5</v>
      </c>
      <c r="O595" s="14"/>
      <c r="P595" s="14" t="s">
        <v>1986</v>
      </c>
      <c r="Q595" s="14"/>
      <c r="R595" s="14"/>
      <c r="S595" s="14" t="s">
        <v>2293</v>
      </c>
      <c r="T595" s="14" t="s">
        <v>2294</v>
      </c>
      <c r="U595" s="15">
        <v>2</v>
      </c>
      <c r="V595" s="10">
        <v>1</v>
      </c>
    </row>
    <row r="596" spans="1:22" ht="18" customHeight="1" x14ac:dyDescent="0.35">
      <c r="A596" s="10" t="s">
        <v>86</v>
      </c>
      <c r="B596" s="10" t="s">
        <v>3183</v>
      </c>
      <c r="C596" s="11" t="s">
        <v>2979</v>
      </c>
      <c r="D596" s="11" t="s">
        <v>74</v>
      </c>
      <c r="E596" s="12">
        <v>45874.471967592595</v>
      </c>
      <c r="F596" s="10" t="str">
        <f>TEXT(events[[#This Row],[Start Date]],"DDD")</f>
        <v>Tue</v>
      </c>
      <c r="G596" s="10">
        <f>YEAR(events[[#This Row],[Start Date]])</f>
        <v>2025</v>
      </c>
      <c r="H596" s="10" t="str">
        <f>TEXT(events[[#This Row],[Start Date]],"mmm")</f>
        <v>Aug</v>
      </c>
      <c r="I596" s="10" t="str">
        <f>CONCATENATE("WK_",WEEKNUM(events[[#This Row],[Start Date]]))</f>
        <v>WK_32</v>
      </c>
      <c r="J596" s="12">
        <v>45874.471979166665</v>
      </c>
      <c r="K596" s="10">
        <v>81</v>
      </c>
      <c r="L596" s="10" t="s">
        <v>25</v>
      </c>
      <c r="M596" s="10" t="s">
        <v>26</v>
      </c>
      <c r="N596" s="13">
        <f t="shared" si="9"/>
        <v>1.6666666666666666E-2</v>
      </c>
      <c r="O596" s="14" t="s">
        <v>27</v>
      </c>
      <c r="P596" s="14" t="s">
        <v>27</v>
      </c>
      <c r="Q596" s="14"/>
      <c r="R596" s="14"/>
      <c r="S596" s="14" t="s">
        <v>2227</v>
      </c>
      <c r="T596" s="14" t="s">
        <v>2228</v>
      </c>
      <c r="U596" s="15">
        <v>0</v>
      </c>
      <c r="V596" s="10">
        <v>1</v>
      </c>
    </row>
    <row r="597" spans="1:22" ht="18" customHeight="1" x14ac:dyDescent="0.35">
      <c r="A597" s="10" t="s">
        <v>86</v>
      </c>
      <c r="B597" s="10" t="s">
        <v>3183</v>
      </c>
      <c r="C597" s="11" t="s">
        <v>2979</v>
      </c>
      <c r="D597" s="11" t="s">
        <v>74</v>
      </c>
      <c r="E597" s="12">
        <v>45874.468298611115</v>
      </c>
      <c r="F597" s="10" t="str">
        <f>TEXT(events[[#This Row],[Start Date]],"DDD")</f>
        <v>Tue</v>
      </c>
      <c r="G597" s="10">
        <f>YEAR(events[[#This Row],[Start Date]])</f>
        <v>2025</v>
      </c>
      <c r="H597" s="10" t="str">
        <f>TEXT(events[[#This Row],[Start Date]],"mmm")</f>
        <v>Aug</v>
      </c>
      <c r="I597" s="10" t="str">
        <f>CONCATENATE("WK_",WEEKNUM(events[[#This Row],[Start Date]]))</f>
        <v>WK_32</v>
      </c>
      <c r="J597" s="12">
        <v>45874.468298611115</v>
      </c>
      <c r="K597" s="10">
        <v>81</v>
      </c>
      <c r="L597" s="10" t="s">
        <v>25</v>
      </c>
      <c r="M597" s="10" t="s">
        <v>87</v>
      </c>
      <c r="N597" s="13">
        <f t="shared" si="9"/>
        <v>0</v>
      </c>
      <c r="O597" s="14" t="s">
        <v>92</v>
      </c>
      <c r="P597" s="14" t="s">
        <v>92</v>
      </c>
      <c r="Q597" s="14"/>
      <c r="R597" s="14"/>
      <c r="S597" s="14" t="s">
        <v>2226</v>
      </c>
      <c r="T597" s="14" t="s">
        <v>2226</v>
      </c>
      <c r="U597" s="15">
        <v>0.125</v>
      </c>
      <c r="V597" s="10">
        <v>1</v>
      </c>
    </row>
    <row r="598" spans="1:22" ht="18" customHeight="1" x14ac:dyDescent="0.35">
      <c r="A598" s="10" t="s">
        <v>47</v>
      </c>
      <c r="B598" s="10" t="s">
        <v>3222</v>
      </c>
      <c r="C598" s="11" t="s">
        <v>2991</v>
      </c>
      <c r="D598" s="11" t="s">
        <v>24</v>
      </c>
      <c r="E598" s="12">
        <v>45874.441203703704</v>
      </c>
      <c r="F598" s="10" t="str">
        <f>TEXT(events[[#This Row],[Start Date]],"DDD")</f>
        <v>Tue</v>
      </c>
      <c r="G598" s="10">
        <f>YEAR(events[[#This Row],[Start Date]])</f>
        <v>2025</v>
      </c>
      <c r="H598" s="10" t="str">
        <f>TEXT(events[[#This Row],[Start Date]],"mmm")</f>
        <v>Aug</v>
      </c>
      <c r="I598" s="10" t="str">
        <f>CONCATENATE("WK_",WEEKNUM(events[[#This Row],[Start Date]]))</f>
        <v>WK_32</v>
      </c>
      <c r="J598" s="12">
        <v>45874.441203703704</v>
      </c>
      <c r="K598" s="10">
        <v>34</v>
      </c>
      <c r="L598" s="10" t="s">
        <v>25</v>
      </c>
      <c r="M598" s="10" t="s">
        <v>87</v>
      </c>
      <c r="N598" s="13">
        <f t="shared" si="9"/>
        <v>0</v>
      </c>
      <c r="O598" s="14" t="s">
        <v>92</v>
      </c>
      <c r="P598" s="14" t="s">
        <v>92</v>
      </c>
      <c r="Q598" s="14"/>
      <c r="R598" s="14"/>
      <c r="S598" s="14" t="s">
        <v>2202</v>
      </c>
      <c r="T598" s="14" t="s">
        <v>2202</v>
      </c>
      <c r="U598" s="15">
        <v>0</v>
      </c>
      <c r="V598" s="10">
        <v>1</v>
      </c>
    </row>
    <row r="599" spans="1:22" ht="18" customHeight="1" x14ac:dyDescent="0.35">
      <c r="A599" s="10" t="s">
        <v>123</v>
      </c>
      <c r="B599" s="10" t="s">
        <v>3238</v>
      </c>
      <c r="C599" s="11" t="s">
        <v>3005</v>
      </c>
      <c r="D599" s="11" t="s">
        <v>74</v>
      </c>
      <c r="E599" s="12">
        <v>45874.297997685186</v>
      </c>
      <c r="F599" s="10" t="str">
        <f>TEXT(events[[#This Row],[Start Date]],"DDD")</f>
        <v>Tue</v>
      </c>
      <c r="G599" s="10">
        <f>YEAR(events[[#This Row],[Start Date]])</f>
        <v>2025</v>
      </c>
      <c r="H599" s="10" t="str">
        <f>TEXT(events[[#This Row],[Start Date]],"mmm")</f>
        <v>Aug</v>
      </c>
      <c r="I599" s="10" t="str">
        <f>CONCATENATE("WK_",WEEKNUM(events[[#This Row],[Start Date]]))</f>
        <v>WK_32</v>
      </c>
      <c r="J599" s="12">
        <v>45874.299155092594</v>
      </c>
      <c r="K599" s="10">
        <v>100</v>
      </c>
      <c r="L599" s="10" t="s">
        <v>25</v>
      </c>
      <c r="M599" s="10" t="s">
        <v>1268</v>
      </c>
      <c r="N599" s="13">
        <f t="shared" si="9"/>
        <v>1.65</v>
      </c>
      <c r="O599" s="14"/>
      <c r="P599" s="14" t="s">
        <v>280</v>
      </c>
      <c r="Q599" s="14"/>
      <c r="R599" s="14"/>
      <c r="S599" s="14" t="s">
        <v>2279</v>
      </c>
      <c r="T599" s="14" t="s">
        <v>2280</v>
      </c>
      <c r="U599" s="15">
        <v>2</v>
      </c>
      <c r="V599" s="10">
        <v>1</v>
      </c>
    </row>
    <row r="600" spans="1:22" ht="18" customHeight="1" x14ac:dyDescent="0.35">
      <c r="A600" s="10" t="s">
        <v>123</v>
      </c>
      <c r="B600" s="10" t="s">
        <v>3312</v>
      </c>
      <c r="C600" s="11" t="s">
        <v>3102</v>
      </c>
      <c r="D600" s="11" t="s">
        <v>74</v>
      </c>
      <c r="E600" s="12">
        <v>45874.295729166668</v>
      </c>
      <c r="F600" s="10" t="str">
        <f>TEXT(events[[#This Row],[Start Date]],"DDD")</f>
        <v>Tue</v>
      </c>
      <c r="G600" s="10">
        <f>YEAR(events[[#This Row],[Start Date]])</f>
        <v>2025</v>
      </c>
      <c r="H600" s="10" t="str">
        <f>TEXT(events[[#This Row],[Start Date]],"mmm")</f>
        <v>Aug</v>
      </c>
      <c r="I600" s="10" t="str">
        <f>CONCATENATE("WK_",WEEKNUM(events[[#This Row],[Start Date]]))</f>
        <v>WK_32</v>
      </c>
      <c r="J600" s="12">
        <v>45874.29650462963</v>
      </c>
      <c r="K600" s="10">
        <v>98</v>
      </c>
      <c r="L600" s="10" t="s">
        <v>25</v>
      </c>
      <c r="M600" s="10" t="s">
        <v>708</v>
      </c>
      <c r="N600" s="13">
        <f t="shared" si="9"/>
        <v>1.1166666666666667</v>
      </c>
      <c r="O600" s="14"/>
      <c r="P600" s="14" t="s">
        <v>2284</v>
      </c>
      <c r="Q600" s="14"/>
      <c r="R600" s="14"/>
      <c r="S600" s="14" t="s">
        <v>2285</v>
      </c>
      <c r="T600" s="14" t="s">
        <v>2286</v>
      </c>
      <c r="U600" s="15">
        <v>2</v>
      </c>
      <c r="V600" s="10">
        <v>1</v>
      </c>
    </row>
    <row r="601" spans="1:22" ht="18" customHeight="1" x14ac:dyDescent="0.35">
      <c r="A601" s="10" t="s">
        <v>23</v>
      </c>
      <c r="B601" s="10" t="s">
        <v>3211</v>
      </c>
      <c r="C601" s="11" t="s">
        <v>2980</v>
      </c>
      <c r="D601" s="11" t="s">
        <v>82</v>
      </c>
      <c r="E601" s="12">
        <v>45874.225694444445</v>
      </c>
      <c r="F601" s="10" t="str">
        <f>TEXT(events[[#This Row],[Start Date]],"DDD")</f>
        <v>Tue</v>
      </c>
      <c r="G601" s="10">
        <f>YEAR(events[[#This Row],[Start Date]])</f>
        <v>2025</v>
      </c>
      <c r="H601" s="10" t="str">
        <f>TEXT(events[[#This Row],[Start Date]],"mmm")</f>
        <v>Aug</v>
      </c>
      <c r="I601" s="10" t="str">
        <f>CONCATENATE("WK_",WEEKNUM(events[[#This Row],[Start Date]]))</f>
        <v>WK_32</v>
      </c>
      <c r="J601" s="12">
        <v>45874.225706018522</v>
      </c>
      <c r="K601" s="10">
        <v>16</v>
      </c>
      <c r="L601" s="10" t="s">
        <v>83</v>
      </c>
      <c r="M601" s="10" t="s">
        <v>26</v>
      </c>
      <c r="N601" s="13">
        <f t="shared" si="9"/>
        <v>1.6666666666666666E-2</v>
      </c>
      <c r="O601" s="14" t="s">
        <v>27</v>
      </c>
      <c r="P601" s="14"/>
      <c r="Q601" s="14"/>
      <c r="R601" s="14"/>
      <c r="S601" s="14" t="s">
        <v>2189</v>
      </c>
      <c r="T601" s="14"/>
      <c r="U601" s="15">
        <v>0</v>
      </c>
      <c r="V601" s="10">
        <v>1</v>
      </c>
    </row>
    <row r="602" spans="1:22" ht="18" customHeight="1" x14ac:dyDescent="0.35">
      <c r="A602" s="10" t="s">
        <v>47</v>
      </c>
      <c r="B602" s="10" t="s">
        <v>3318</v>
      </c>
      <c r="C602" s="11" t="s">
        <v>3106</v>
      </c>
      <c r="D602" s="11" t="s">
        <v>74</v>
      </c>
      <c r="E602" s="12">
        <v>45873.699537037035</v>
      </c>
      <c r="F602" s="10" t="str">
        <f>TEXT(events[[#This Row],[Start Date]],"DDD")</f>
        <v>Mon</v>
      </c>
      <c r="G602" s="10">
        <f>YEAR(events[[#This Row],[Start Date]])</f>
        <v>2025</v>
      </c>
      <c r="H602" s="10" t="str">
        <f>TEXT(events[[#This Row],[Start Date]],"mmm")</f>
        <v>Aug</v>
      </c>
      <c r="I602" s="10" t="str">
        <f>CONCATENATE("WK_",WEEKNUM(events[[#This Row],[Start Date]]))</f>
        <v>WK_32</v>
      </c>
      <c r="J602" s="12">
        <v>45873.699583333335</v>
      </c>
      <c r="K602" s="10">
        <v>83</v>
      </c>
      <c r="L602" s="10" t="s">
        <v>25</v>
      </c>
      <c r="M602" s="10" t="s">
        <v>275</v>
      </c>
      <c r="N602" s="13">
        <f t="shared" si="9"/>
        <v>6.6666666666666666E-2</v>
      </c>
      <c r="O602" s="14" t="s">
        <v>92</v>
      </c>
      <c r="P602" s="14" t="s">
        <v>92</v>
      </c>
      <c r="Q602" s="14" t="s">
        <v>93</v>
      </c>
      <c r="R602" s="14" t="s">
        <v>93</v>
      </c>
      <c r="S602" s="14" t="s">
        <v>2210</v>
      </c>
      <c r="T602" s="14" t="s">
        <v>2211</v>
      </c>
      <c r="U602" s="15">
        <v>6.25E-2</v>
      </c>
      <c r="V602" s="10">
        <v>1</v>
      </c>
    </row>
    <row r="603" spans="1:22" ht="18" customHeight="1" x14ac:dyDescent="0.35">
      <c r="A603" s="10" t="s">
        <v>47</v>
      </c>
      <c r="B603" s="10" t="s">
        <v>3318</v>
      </c>
      <c r="C603" s="11" t="s">
        <v>3106</v>
      </c>
      <c r="D603" s="11" t="s">
        <v>74</v>
      </c>
      <c r="E603" s="12">
        <v>45873.699456018519</v>
      </c>
      <c r="F603" s="10" t="str">
        <f>TEXT(events[[#This Row],[Start Date]],"DDD")</f>
        <v>Mon</v>
      </c>
      <c r="G603" s="10">
        <f>YEAR(events[[#This Row],[Start Date]])</f>
        <v>2025</v>
      </c>
      <c r="H603" s="10" t="str">
        <f>TEXT(events[[#This Row],[Start Date]],"mmm")</f>
        <v>Aug</v>
      </c>
      <c r="I603" s="10" t="str">
        <f>CONCATENATE("WK_",WEEKNUM(events[[#This Row],[Start Date]]))</f>
        <v>WK_32</v>
      </c>
      <c r="J603" s="12">
        <v>45873.699456018519</v>
      </c>
      <c r="K603" s="10">
        <v>81</v>
      </c>
      <c r="L603" s="10" t="s">
        <v>25</v>
      </c>
      <c r="M603" s="10" t="s">
        <v>87</v>
      </c>
      <c r="N603" s="13">
        <f t="shared" si="9"/>
        <v>0</v>
      </c>
      <c r="O603" s="14" t="s">
        <v>92</v>
      </c>
      <c r="P603" s="14" t="s">
        <v>92</v>
      </c>
      <c r="Q603" s="14" t="s">
        <v>93</v>
      </c>
      <c r="R603" s="14" t="s">
        <v>93</v>
      </c>
      <c r="S603" s="14" t="s">
        <v>2209</v>
      </c>
      <c r="T603" s="14" t="s">
        <v>2209</v>
      </c>
      <c r="U603" s="15">
        <v>0</v>
      </c>
      <c r="V603" s="10">
        <v>1</v>
      </c>
    </row>
    <row r="604" spans="1:22" ht="18" customHeight="1" x14ac:dyDescent="0.35">
      <c r="A604" s="10" t="s">
        <v>123</v>
      </c>
      <c r="B604" s="10" t="s">
        <v>3206</v>
      </c>
      <c r="C604" s="11" t="s">
        <v>2974</v>
      </c>
      <c r="D604" s="11" t="s">
        <v>74</v>
      </c>
      <c r="E604" s="12">
        <v>45873.580474537041</v>
      </c>
      <c r="F604" s="10" t="str">
        <f>TEXT(events[[#This Row],[Start Date]],"DDD")</f>
        <v>Mon</v>
      </c>
      <c r="G604" s="10">
        <f>YEAR(events[[#This Row],[Start Date]])</f>
        <v>2025</v>
      </c>
      <c r="H604" s="10" t="str">
        <f>TEXT(events[[#This Row],[Start Date]],"mmm")</f>
        <v>Aug</v>
      </c>
      <c r="I604" s="10" t="str">
        <f>CONCATENATE("WK_",WEEKNUM(events[[#This Row],[Start Date]]))</f>
        <v>WK_32</v>
      </c>
      <c r="J604" s="12">
        <v>45873.581180555557</v>
      </c>
      <c r="K604" s="10">
        <v>119</v>
      </c>
      <c r="L604" s="10" t="s">
        <v>25</v>
      </c>
      <c r="M604" s="10" t="s">
        <v>177</v>
      </c>
      <c r="N604" s="13">
        <f t="shared" si="9"/>
        <v>1</v>
      </c>
      <c r="O604" s="14"/>
      <c r="P604" s="14" t="s">
        <v>2295</v>
      </c>
      <c r="Q604" s="14"/>
      <c r="R604" s="14"/>
      <c r="S604" s="14" t="s">
        <v>2296</v>
      </c>
      <c r="T604" s="14" t="s">
        <v>2297</v>
      </c>
      <c r="U604" s="15">
        <v>2</v>
      </c>
      <c r="V604" s="10">
        <v>1</v>
      </c>
    </row>
    <row r="605" spans="1:22" ht="18" customHeight="1" x14ac:dyDescent="0.35">
      <c r="A605" s="10" t="s">
        <v>123</v>
      </c>
      <c r="B605" s="10" t="s">
        <v>3281</v>
      </c>
      <c r="C605" s="11" t="s">
        <v>3064</v>
      </c>
      <c r="D605" s="11" t="s">
        <v>74</v>
      </c>
      <c r="E605" s="12">
        <v>45873.574930555558</v>
      </c>
      <c r="F605" s="10" t="str">
        <f>TEXT(events[[#This Row],[Start Date]],"DDD")</f>
        <v>Mon</v>
      </c>
      <c r="G605" s="10">
        <f>YEAR(events[[#This Row],[Start Date]])</f>
        <v>2025</v>
      </c>
      <c r="H605" s="10" t="str">
        <f>TEXT(events[[#This Row],[Start Date]],"mmm")</f>
        <v>Aug</v>
      </c>
      <c r="I605" s="10" t="str">
        <f>CONCATENATE("WK_",WEEKNUM(events[[#This Row],[Start Date]]))</f>
        <v>WK_32</v>
      </c>
      <c r="J605" s="12">
        <v>45873.575983796298</v>
      </c>
      <c r="K605" s="10">
        <v>94</v>
      </c>
      <c r="L605" s="10" t="s">
        <v>25</v>
      </c>
      <c r="M605" s="10" t="s">
        <v>2303</v>
      </c>
      <c r="N605" s="13">
        <f t="shared" si="9"/>
        <v>1.5166666666666666</v>
      </c>
      <c r="O605" s="14"/>
      <c r="P605" s="14" t="s">
        <v>2304</v>
      </c>
      <c r="Q605" s="14"/>
      <c r="R605" s="14"/>
      <c r="S605" s="14" t="s">
        <v>2305</v>
      </c>
      <c r="T605" s="14" t="s">
        <v>2306</v>
      </c>
      <c r="U605" s="15">
        <v>2</v>
      </c>
      <c r="V605" s="10">
        <v>1</v>
      </c>
    </row>
    <row r="606" spans="1:22" ht="18" customHeight="1" x14ac:dyDescent="0.35">
      <c r="A606" s="10" t="s">
        <v>86</v>
      </c>
      <c r="B606" s="10" t="s">
        <v>3299</v>
      </c>
      <c r="C606" s="11" t="s">
        <v>2960</v>
      </c>
      <c r="D606" s="11" t="s">
        <v>24</v>
      </c>
      <c r="E606" s="12">
        <v>45873.528009259258</v>
      </c>
      <c r="F606" s="10" t="str">
        <f>TEXT(events[[#This Row],[Start Date]],"DDD")</f>
        <v>Mon</v>
      </c>
      <c r="G606" s="10">
        <f>YEAR(events[[#This Row],[Start Date]])</f>
        <v>2025</v>
      </c>
      <c r="H606" s="10" t="str">
        <f>TEXT(events[[#This Row],[Start Date]],"mmm")</f>
        <v>Aug</v>
      </c>
      <c r="I606" s="10" t="str">
        <f>CONCATENATE("WK_",WEEKNUM(events[[#This Row],[Start Date]]))</f>
        <v>WK_32</v>
      </c>
      <c r="J606" s="12">
        <v>45873.528043981481</v>
      </c>
      <c r="K606" s="10">
        <v>36</v>
      </c>
      <c r="L606" s="10" t="s">
        <v>25</v>
      </c>
      <c r="M606" s="10" t="s">
        <v>75</v>
      </c>
      <c r="N606" s="13">
        <f t="shared" si="9"/>
        <v>0.05</v>
      </c>
      <c r="O606" s="14" t="s">
        <v>142</v>
      </c>
      <c r="P606" s="14" t="s">
        <v>142</v>
      </c>
      <c r="Q606" s="14"/>
      <c r="R606" s="14"/>
      <c r="S606" s="14" t="s">
        <v>2255</v>
      </c>
      <c r="T606" s="14" t="s">
        <v>2256</v>
      </c>
      <c r="U606" s="15">
        <v>0</v>
      </c>
      <c r="V606" s="10">
        <v>1</v>
      </c>
    </row>
    <row r="607" spans="1:22" ht="18" customHeight="1" x14ac:dyDescent="0.35">
      <c r="A607" s="10" t="s">
        <v>123</v>
      </c>
      <c r="B607" s="10" t="s">
        <v>3319</v>
      </c>
      <c r="C607" s="11" t="s">
        <v>3107</v>
      </c>
      <c r="D607" s="11" t="s">
        <v>74</v>
      </c>
      <c r="E607" s="12">
        <v>45873.41777777778</v>
      </c>
      <c r="F607" s="10" t="str">
        <f>TEXT(events[[#This Row],[Start Date]],"DDD")</f>
        <v>Mon</v>
      </c>
      <c r="G607" s="10">
        <f>YEAR(events[[#This Row],[Start Date]])</f>
        <v>2025</v>
      </c>
      <c r="H607" s="10" t="str">
        <f>TEXT(events[[#This Row],[Start Date]],"mmm")</f>
        <v>Aug</v>
      </c>
      <c r="I607" s="10" t="str">
        <f>CONCATENATE("WK_",WEEKNUM(events[[#This Row],[Start Date]]))</f>
        <v>WK_32</v>
      </c>
      <c r="J607" s="12">
        <v>45873.41847222222</v>
      </c>
      <c r="K607" s="10">
        <v>105</v>
      </c>
      <c r="L607" s="10" t="s">
        <v>25</v>
      </c>
      <c r="M607" s="10" t="s">
        <v>538</v>
      </c>
      <c r="N607" s="13">
        <f t="shared" si="9"/>
        <v>0.98333333333333328</v>
      </c>
      <c r="O607" s="14"/>
      <c r="P607" s="14" t="s">
        <v>2298</v>
      </c>
      <c r="Q607" s="14"/>
      <c r="R607" s="14"/>
      <c r="S607" s="14" t="s">
        <v>2299</v>
      </c>
      <c r="T607" s="14" t="s">
        <v>2300</v>
      </c>
      <c r="U607" s="15">
        <v>2</v>
      </c>
      <c r="V607" s="10">
        <v>1</v>
      </c>
    </row>
    <row r="608" spans="1:22" ht="18" customHeight="1" x14ac:dyDescent="0.35">
      <c r="A608" s="10" t="s">
        <v>123</v>
      </c>
      <c r="B608" s="10" t="s">
        <v>3238</v>
      </c>
      <c r="C608" s="11" t="s">
        <v>3005</v>
      </c>
      <c r="D608" s="11" t="s">
        <v>74</v>
      </c>
      <c r="E608" s="12">
        <v>45873.251782407409</v>
      </c>
      <c r="F608" s="10" t="str">
        <f>TEXT(events[[#This Row],[Start Date]],"DDD")</f>
        <v>Mon</v>
      </c>
      <c r="G608" s="10">
        <f>YEAR(events[[#This Row],[Start Date]])</f>
        <v>2025</v>
      </c>
      <c r="H608" s="10" t="str">
        <f>TEXT(events[[#This Row],[Start Date]],"mmm")</f>
        <v>Aug</v>
      </c>
      <c r="I608" s="10" t="str">
        <f>CONCATENATE("WK_",WEEKNUM(events[[#This Row],[Start Date]]))</f>
        <v>WK_32</v>
      </c>
      <c r="J608" s="12">
        <v>45873.251979166664</v>
      </c>
      <c r="K608" s="10">
        <v>91</v>
      </c>
      <c r="L608" s="10" t="s">
        <v>25</v>
      </c>
      <c r="M608" s="10" t="s">
        <v>353</v>
      </c>
      <c r="N608" s="13">
        <f t="shared" si="9"/>
        <v>0.26666666666666666</v>
      </c>
      <c r="O608" s="14"/>
      <c r="P608" s="14" t="s">
        <v>1992</v>
      </c>
      <c r="Q608" s="14"/>
      <c r="R608" s="14"/>
      <c r="S608" s="14" t="s">
        <v>2301</v>
      </c>
      <c r="T608" s="14" t="s">
        <v>2302</v>
      </c>
      <c r="U608" s="15">
        <v>0</v>
      </c>
      <c r="V608" s="10">
        <v>1</v>
      </c>
    </row>
    <row r="609" spans="1:22" ht="18" customHeight="1" x14ac:dyDescent="0.35">
      <c r="A609" s="10" t="s">
        <v>123</v>
      </c>
      <c r="B609" s="10" t="s">
        <v>3312</v>
      </c>
      <c r="C609" s="11" t="s">
        <v>3102</v>
      </c>
      <c r="D609" s="11" t="s">
        <v>74</v>
      </c>
      <c r="E609" s="12">
        <v>45872.979398148149</v>
      </c>
      <c r="F609" s="10" t="str">
        <f>TEXT(events[[#This Row],[Start Date]],"DDD")</f>
        <v>Sun</v>
      </c>
      <c r="G609" s="10">
        <f>YEAR(events[[#This Row],[Start Date]])</f>
        <v>2025</v>
      </c>
      <c r="H609" s="10" t="str">
        <f>TEXT(events[[#This Row],[Start Date]],"mmm")</f>
        <v>Aug</v>
      </c>
      <c r="I609" s="10" t="str">
        <f>CONCATENATE("WK_",WEEKNUM(events[[#This Row],[Start Date]]))</f>
        <v>WK_32</v>
      </c>
      <c r="J609" s="12">
        <v>45872.979861111111</v>
      </c>
      <c r="K609" s="10">
        <v>99</v>
      </c>
      <c r="L609" s="10" t="s">
        <v>25</v>
      </c>
      <c r="M609" s="10" t="s">
        <v>823</v>
      </c>
      <c r="N609" s="13">
        <f t="shared" si="9"/>
        <v>0.65</v>
      </c>
      <c r="O609" s="14"/>
      <c r="P609" s="14" t="s">
        <v>2307</v>
      </c>
      <c r="Q609" s="14"/>
      <c r="R609" s="14"/>
      <c r="S609" s="14" t="s">
        <v>2308</v>
      </c>
      <c r="T609" s="14" t="s">
        <v>2309</v>
      </c>
      <c r="U609" s="15">
        <v>1</v>
      </c>
      <c r="V609" s="10">
        <v>1</v>
      </c>
    </row>
    <row r="610" spans="1:22" ht="18" customHeight="1" x14ac:dyDescent="0.35">
      <c r="A610" s="10" t="s">
        <v>23</v>
      </c>
      <c r="B610" s="10" t="s">
        <v>3174</v>
      </c>
      <c r="C610" s="11" t="s">
        <v>2941</v>
      </c>
      <c r="D610" s="11" t="s">
        <v>35</v>
      </c>
      <c r="E610" s="12">
        <v>45872.958333333336</v>
      </c>
      <c r="F610" s="10" t="str">
        <f>TEXT(events[[#This Row],[Start Date]],"DDD")</f>
        <v>Sun</v>
      </c>
      <c r="G610" s="10">
        <f>YEAR(events[[#This Row],[Start Date]])</f>
        <v>2025</v>
      </c>
      <c r="H610" s="10" t="str">
        <f>TEXT(events[[#This Row],[Start Date]],"mmm")</f>
        <v>Aug</v>
      </c>
      <c r="I610" s="10" t="str">
        <f>CONCATENATE("WK_",WEEKNUM(events[[#This Row],[Start Date]]))</f>
        <v>WK_32</v>
      </c>
      <c r="J610" s="12">
        <v>45873.053101851852</v>
      </c>
      <c r="K610" s="10">
        <v>257</v>
      </c>
      <c r="L610" s="10" t="s">
        <v>36</v>
      </c>
      <c r="M610" s="10" t="s">
        <v>2182</v>
      </c>
      <c r="N610" s="13">
        <f t="shared" si="9"/>
        <v>136.46666666666667</v>
      </c>
      <c r="O610" s="14" t="s">
        <v>231</v>
      </c>
      <c r="P610" s="14" t="s">
        <v>92</v>
      </c>
      <c r="Q610" s="14"/>
      <c r="R610" s="14" t="s">
        <v>750</v>
      </c>
      <c r="S610" s="14" t="s">
        <v>2183</v>
      </c>
      <c r="T610" s="14" t="s">
        <v>2184</v>
      </c>
      <c r="U610" s="15">
        <v>101</v>
      </c>
      <c r="V610" s="10">
        <v>1</v>
      </c>
    </row>
    <row r="611" spans="1:22" ht="18" customHeight="1" x14ac:dyDescent="0.35">
      <c r="A611" s="10" t="s">
        <v>23</v>
      </c>
      <c r="B611" s="10" t="s">
        <v>3317</v>
      </c>
      <c r="C611" s="11" t="s">
        <v>3108</v>
      </c>
      <c r="D611" s="11" t="s">
        <v>35</v>
      </c>
      <c r="E611" s="12">
        <v>45872.958333333336</v>
      </c>
      <c r="F611" s="10" t="str">
        <f>TEXT(events[[#This Row],[Start Date]],"DDD")</f>
        <v>Sun</v>
      </c>
      <c r="G611" s="10">
        <f>YEAR(events[[#This Row],[Start Date]])</f>
        <v>2025</v>
      </c>
      <c r="H611" s="10" t="str">
        <f>TEXT(events[[#This Row],[Start Date]],"mmm")</f>
        <v>Aug</v>
      </c>
      <c r="I611" s="10" t="str">
        <f>CONCATENATE("WK_",WEEKNUM(events[[#This Row],[Start Date]]))</f>
        <v>WK_32</v>
      </c>
      <c r="J611" s="12">
        <v>45872.966585648152</v>
      </c>
      <c r="K611" s="10">
        <v>25</v>
      </c>
      <c r="L611" s="10" t="s">
        <v>36</v>
      </c>
      <c r="M611" s="10" t="s">
        <v>2193</v>
      </c>
      <c r="N611" s="13">
        <f t="shared" si="9"/>
        <v>11.883333333333333</v>
      </c>
      <c r="O611" s="14" t="s">
        <v>38</v>
      </c>
      <c r="P611" s="14" t="s">
        <v>38</v>
      </c>
      <c r="Q611" s="14"/>
      <c r="R611" s="14"/>
      <c r="S611" s="14" t="s">
        <v>2194</v>
      </c>
      <c r="T611" s="14" t="s">
        <v>2195</v>
      </c>
      <c r="U611" s="15">
        <v>6</v>
      </c>
      <c r="V611" s="10">
        <v>1</v>
      </c>
    </row>
    <row r="612" spans="1:22" ht="18" customHeight="1" x14ac:dyDescent="0.35">
      <c r="A612" s="10" t="s">
        <v>86</v>
      </c>
      <c r="B612" s="10" t="s">
        <v>3189</v>
      </c>
      <c r="C612" s="11" t="s">
        <v>3065</v>
      </c>
      <c r="D612" s="11" t="s">
        <v>24</v>
      </c>
      <c r="E612" s="12">
        <v>45872.811527777776</v>
      </c>
      <c r="F612" s="10" t="str">
        <f>TEXT(events[[#This Row],[Start Date]],"DDD")</f>
        <v>Sun</v>
      </c>
      <c r="G612" s="10">
        <f>YEAR(events[[#This Row],[Start Date]])</f>
        <v>2025</v>
      </c>
      <c r="H612" s="10" t="str">
        <f>TEXT(events[[#This Row],[Start Date]],"mmm")</f>
        <v>Aug</v>
      </c>
      <c r="I612" s="10" t="str">
        <f>CONCATENATE("WK_",WEEKNUM(events[[#This Row],[Start Date]]))</f>
        <v>WK_32</v>
      </c>
      <c r="J612" s="12">
        <v>45872.811562499999</v>
      </c>
      <c r="K612" s="10">
        <v>34</v>
      </c>
      <c r="L612" s="10" t="s">
        <v>25</v>
      </c>
      <c r="M612" s="10" t="s">
        <v>75</v>
      </c>
      <c r="N612" s="13">
        <f t="shared" si="9"/>
        <v>0.05</v>
      </c>
      <c r="O612" s="14" t="s">
        <v>92</v>
      </c>
      <c r="P612" s="14" t="s">
        <v>92</v>
      </c>
      <c r="Q612" s="14" t="s">
        <v>750</v>
      </c>
      <c r="R612" s="14" t="s">
        <v>750</v>
      </c>
      <c r="S612" s="14" t="s">
        <v>2221</v>
      </c>
      <c r="T612" s="14" t="s">
        <v>2222</v>
      </c>
      <c r="U612" s="15">
        <v>0.125</v>
      </c>
      <c r="V612" s="10">
        <v>1</v>
      </c>
    </row>
    <row r="613" spans="1:22" ht="18" customHeight="1" x14ac:dyDescent="0.35">
      <c r="A613" s="10" t="s">
        <v>86</v>
      </c>
      <c r="B613" s="10" t="s">
        <v>3205</v>
      </c>
      <c r="C613" s="11" t="s">
        <v>2973</v>
      </c>
      <c r="D613" s="11" t="s">
        <v>24</v>
      </c>
      <c r="E613" s="12">
        <v>45872.764027777775</v>
      </c>
      <c r="F613" s="10" t="str">
        <f>TEXT(events[[#This Row],[Start Date]],"DDD")</f>
        <v>Sun</v>
      </c>
      <c r="G613" s="10">
        <f>YEAR(events[[#This Row],[Start Date]])</f>
        <v>2025</v>
      </c>
      <c r="H613" s="10" t="str">
        <f>TEXT(events[[#This Row],[Start Date]],"mmm")</f>
        <v>Aug</v>
      </c>
      <c r="I613" s="10" t="str">
        <f>CONCATENATE("WK_",WEEKNUM(events[[#This Row],[Start Date]]))</f>
        <v>WK_32</v>
      </c>
      <c r="J613" s="12">
        <v>45872.764027777775</v>
      </c>
      <c r="K613" s="10">
        <v>33</v>
      </c>
      <c r="L613" s="10" t="s">
        <v>25</v>
      </c>
      <c r="M613" s="10" t="s">
        <v>87</v>
      </c>
      <c r="N613" s="13">
        <f t="shared" si="9"/>
        <v>0</v>
      </c>
      <c r="O613" s="14" t="s">
        <v>92</v>
      </c>
      <c r="P613" s="14" t="s">
        <v>92</v>
      </c>
      <c r="Q613" s="14"/>
      <c r="R613" s="14"/>
      <c r="S613" s="14" t="s">
        <v>2252</v>
      </c>
      <c r="T613" s="14" t="s">
        <v>2252</v>
      </c>
      <c r="U613" s="15">
        <v>0</v>
      </c>
      <c r="V613" s="10">
        <v>1</v>
      </c>
    </row>
    <row r="614" spans="1:22" ht="18" customHeight="1" x14ac:dyDescent="0.35">
      <c r="A614" s="10" t="s">
        <v>86</v>
      </c>
      <c r="B614" s="10" t="s">
        <v>3205</v>
      </c>
      <c r="C614" s="11" t="s">
        <v>2973</v>
      </c>
      <c r="D614" s="11" t="s">
        <v>24</v>
      </c>
      <c r="E614" s="12">
        <v>45872.745636574073</v>
      </c>
      <c r="F614" s="10" t="str">
        <f>TEXT(events[[#This Row],[Start Date]],"DDD")</f>
        <v>Sun</v>
      </c>
      <c r="G614" s="10">
        <f>YEAR(events[[#This Row],[Start Date]])</f>
        <v>2025</v>
      </c>
      <c r="H614" s="10" t="str">
        <f>TEXT(events[[#This Row],[Start Date]],"mmm")</f>
        <v>Aug</v>
      </c>
      <c r="I614" s="10" t="str">
        <f>CONCATENATE("WK_",WEEKNUM(events[[#This Row],[Start Date]]))</f>
        <v>WK_32</v>
      </c>
      <c r="J614" s="12">
        <v>45872.745636574073</v>
      </c>
      <c r="K614" s="10">
        <v>34</v>
      </c>
      <c r="L614" s="10" t="s">
        <v>25</v>
      </c>
      <c r="M614" s="10" t="s">
        <v>87</v>
      </c>
      <c r="N614" s="13">
        <f t="shared" si="9"/>
        <v>0</v>
      </c>
      <c r="O614" s="14" t="s">
        <v>92</v>
      </c>
      <c r="P614" s="14" t="s">
        <v>92</v>
      </c>
      <c r="Q614" s="14"/>
      <c r="R614" s="14"/>
      <c r="S614" s="14" t="s">
        <v>2251</v>
      </c>
      <c r="T614" s="14" t="s">
        <v>2251</v>
      </c>
      <c r="U614" s="15">
        <v>0</v>
      </c>
      <c r="V614" s="10">
        <v>1</v>
      </c>
    </row>
    <row r="615" spans="1:22" ht="18" customHeight="1" x14ac:dyDescent="0.35">
      <c r="A615" s="10" t="s">
        <v>86</v>
      </c>
      <c r="B615" s="10" t="s">
        <v>3205</v>
      </c>
      <c r="C615" s="11" t="s">
        <v>2973</v>
      </c>
      <c r="D615" s="11" t="s">
        <v>24</v>
      </c>
      <c r="E615" s="12">
        <v>45872.718553240738</v>
      </c>
      <c r="F615" s="10" t="str">
        <f>TEXT(events[[#This Row],[Start Date]],"DDD")</f>
        <v>Sun</v>
      </c>
      <c r="G615" s="10">
        <f>YEAR(events[[#This Row],[Start Date]])</f>
        <v>2025</v>
      </c>
      <c r="H615" s="10" t="str">
        <f>TEXT(events[[#This Row],[Start Date]],"mmm")</f>
        <v>Aug</v>
      </c>
      <c r="I615" s="10" t="str">
        <f>CONCATENATE("WK_",WEEKNUM(events[[#This Row],[Start Date]]))</f>
        <v>WK_32</v>
      </c>
      <c r="J615" s="12">
        <v>45872.718553240738</v>
      </c>
      <c r="K615" s="10">
        <v>31</v>
      </c>
      <c r="L615" s="10" t="s">
        <v>25</v>
      </c>
      <c r="M615" s="10" t="s">
        <v>87</v>
      </c>
      <c r="N615" s="13">
        <f t="shared" si="9"/>
        <v>0</v>
      </c>
      <c r="O615" s="14" t="s">
        <v>92</v>
      </c>
      <c r="P615" s="14" t="s">
        <v>92</v>
      </c>
      <c r="Q615" s="14"/>
      <c r="R615" s="14"/>
      <c r="S615" s="14" t="s">
        <v>2250</v>
      </c>
      <c r="T615" s="14" t="s">
        <v>2250</v>
      </c>
      <c r="U615" s="15">
        <v>0</v>
      </c>
      <c r="V615" s="10">
        <v>1</v>
      </c>
    </row>
    <row r="616" spans="1:22" ht="18" customHeight="1" x14ac:dyDescent="0.35">
      <c r="A616" s="10" t="s">
        <v>86</v>
      </c>
      <c r="B616" s="10" t="s">
        <v>3205</v>
      </c>
      <c r="C616" s="11" t="s">
        <v>2973</v>
      </c>
      <c r="D616" s="11" t="s">
        <v>24</v>
      </c>
      <c r="E616" s="12">
        <v>45872.712905092594</v>
      </c>
      <c r="F616" s="10" t="str">
        <f>TEXT(events[[#This Row],[Start Date]],"DDD")</f>
        <v>Sun</v>
      </c>
      <c r="G616" s="10">
        <f>YEAR(events[[#This Row],[Start Date]])</f>
        <v>2025</v>
      </c>
      <c r="H616" s="10" t="str">
        <f>TEXT(events[[#This Row],[Start Date]],"mmm")</f>
        <v>Aug</v>
      </c>
      <c r="I616" s="10" t="str">
        <f>CONCATENATE("WK_",WEEKNUM(events[[#This Row],[Start Date]]))</f>
        <v>WK_32</v>
      </c>
      <c r="J616" s="12">
        <v>45872.712905092594</v>
      </c>
      <c r="K616" s="10">
        <v>35</v>
      </c>
      <c r="L616" s="10" t="s">
        <v>25</v>
      </c>
      <c r="M616" s="10" t="s">
        <v>87</v>
      </c>
      <c r="N616" s="13">
        <f t="shared" si="9"/>
        <v>0</v>
      </c>
      <c r="O616" s="14" t="s">
        <v>138</v>
      </c>
      <c r="P616" s="14" t="s">
        <v>138</v>
      </c>
      <c r="Q616" s="14"/>
      <c r="R616" s="14"/>
      <c r="S616" s="14" t="s">
        <v>2249</v>
      </c>
      <c r="T616" s="14" t="s">
        <v>2249</v>
      </c>
      <c r="U616" s="15">
        <v>9.3799999999999994E-2</v>
      </c>
      <c r="V616" s="10">
        <v>1</v>
      </c>
    </row>
    <row r="617" spans="1:22" ht="18" customHeight="1" x14ac:dyDescent="0.35">
      <c r="A617" s="10" t="s">
        <v>86</v>
      </c>
      <c r="B617" s="10" t="s">
        <v>3205</v>
      </c>
      <c r="C617" s="11" t="s">
        <v>2973</v>
      </c>
      <c r="D617" s="11" t="s">
        <v>24</v>
      </c>
      <c r="E617" s="12">
        <v>45872.671863425923</v>
      </c>
      <c r="F617" s="10" t="str">
        <f>TEXT(events[[#This Row],[Start Date]],"DDD")</f>
        <v>Sun</v>
      </c>
      <c r="G617" s="10">
        <f>YEAR(events[[#This Row],[Start Date]])</f>
        <v>2025</v>
      </c>
      <c r="H617" s="10" t="str">
        <f>TEXT(events[[#This Row],[Start Date]],"mmm")</f>
        <v>Aug</v>
      </c>
      <c r="I617" s="10" t="str">
        <f>CONCATENATE("WK_",WEEKNUM(events[[#This Row],[Start Date]]))</f>
        <v>WK_32</v>
      </c>
      <c r="J617" s="12">
        <v>45872.671875</v>
      </c>
      <c r="K617" s="10">
        <v>38</v>
      </c>
      <c r="L617" s="10" t="s">
        <v>25</v>
      </c>
      <c r="M617" s="10" t="s">
        <v>26</v>
      </c>
      <c r="N617" s="13">
        <f t="shared" si="9"/>
        <v>1.6666666666666666E-2</v>
      </c>
      <c r="O617" s="14" t="s">
        <v>138</v>
      </c>
      <c r="P617" s="14" t="s">
        <v>138</v>
      </c>
      <c r="Q617" s="14"/>
      <c r="R617" s="14"/>
      <c r="S617" s="14" t="s">
        <v>2247</v>
      </c>
      <c r="T617" s="14" t="s">
        <v>2248</v>
      </c>
      <c r="U617" s="15">
        <v>0</v>
      </c>
      <c r="V617" s="10">
        <v>1</v>
      </c>
    </row>
    <row r="618" spans="1:22" ht="18" customHeight="1" x14ac:dyDescent="0.35">
      <c r="A618" s="10" t="s">
        <v>123</v>
      </c>
      <c r="B618" s="10" t="s">
        <v>3238</v>
      </c>
      <c r="C618" s="11" t="s">
        <v>3005</v>
      </c>
      <c r="D618" s="11" t="s">
        <v>74</v>
      </c>
      <c r="E618" s="12">
        <v>45872.593460648146</v>
      </c>
      <c r="F618" s="10" t="str">
        <f>TEXT(events[[#This Row],[Start Date]],"DDD")</f>
        <v>Sun</v>
      </c>
      <c r="G618" s="10">
        <f>YEAR(events[[#This Row],[Start Date]])</f>
        <v>2025</v>
      </c>
      <c r="H618" s="10" t="str">
        <f>TEXT(events[[#This Row],[Start Date]],"mmm")</f>
        <v>Aug</v>
      </c>
      <c r="I618" s="10" t="str">
        <f>CONCATENATE("WK_",WEEKNUM(events[[#This Row],[Start Date]]))</f>
        <v>WK_32</v>
      </c>
      <c r="J618" s="12">
        <v>45872.594097222223</v>
      </c>
      <c r="K618" s="10">
        <v>108</v>
      </c>
      <c r="L618" s="10" t="s">
        <v>25</v>
      </c>
      <c r="M618" s="10" t="s">
        <v>912</v>
      </c>
      <c r="N618" s="13">
        <f t="shared" si="9"/>
        <v>0.9</v>
      </c>
      <c r="O618" s="14"/>
      <c r="P618" s="14" t="s">
        <v>1803</v>
      </c>
      <c r="Q618" s="14"/>
      <c r="R618" s="14"/>
      <c r="S618" s="14" t="s">
        <v>2310</v>
      </c>
      <c r="T618" s="14" t="s">
        <v>2311</v>
      </c>
      <c r="U618" s="15">
        <v>2</v>
      </c>
      <c r="V618" s="10">
        <v>1</v>
      </c>
    </row>
    <row r="619" spans="1:22" ht="18" customHeight="1" x14ac:dyDescent="0.35">
      <c r="A619" s="10" t="s">
        <v>86</v>
      </c>
      <c r="B619" s="10" t="s">
        <v>3205</v>
      </c>
      <c r="C619" s="11" t="s">
        <v>2973</v>
      </c>
      <c r="D619" s="11" t="s">
        <v>24</v>
      </c>
      <c r="E619" s="12">
        <v>45872.554826388892</v>
      </c>
      <c r="F619" s="10" t="str">
        <f>TEXT(events[[#This Row],[Start Date]],"DDD")</f>
        <v>Sun</v>
      </c>
      <c r="G619" s="10">
        <f>YEAR(events[[#This Row],[Start Date]])</f>
        <v>2025</v>
      </c>
      <c r="H619" s="10" t="str">
        <f>TEXT(events[[#This Row],[Start Date]],"mmm")</f>
        <v>Aug</v>
      </c>
      <c r="I619" s="10" t="str">
        <f>CONCATENATE("WK_",WEEKNUM(events[[#This Row],[Start Date]]))</f>
        <v>WK_32</v>
      </c>
      <c r="J619" s="12">
        <v>45872.554826388892</v>
      </c>
      <c r="K619" s="10">
        <v>32</v>
      </c>
      <c r="L619" s="10" t="s">
        <v>25</v>
      </c>
      <c r="M619" s="10" t="s">
        <v>87</v>
      </c>
      <c r="N619" s="13">
        <f t="shared" si="9"/>
        <v>0</v>
      </c>
      <c r="O619" s="14" t="s">
        <v>965</v>
      </c>
      <c r="P619" s="14" t="s">
        <v>965</v>
      </c>
      <c r="Q619" s="14"/>
      <c r="R619" s="14"/>
      <c r="S619" s="14" t="s">
        <v>2246</v>
      </c>
      <c r="T619" s="14" t="s">
        <v>2246</v>
      </c>
      <c r="U619" s="15">
        <v>0</v>
      </c>
      <c r="V619" s="10">
        <v>1</v>
      </c>
    </row>
    <row r="620" spans="1:22" ht="18" customHeight="1" x14ac:dyDescent="0.35">
      <c r="A620" s="10" t="s">
        <v>86</v>
      </c>
      <c r="B620" s="10" t="s">
        <v>3205</v>
      </c>
      <c r="C620" s="11" t="s">
        <v>2973</v>
      </c>
      <c r="D620" s="11" t="s">
        <v>24</v>
      </c>
      <c r="E620" s="12">
        <v>45872.548668981479</v>
      </c>
      <c r="F620" s="10" t="str">
        <f>TEXT(events[[#This Row],[Start Date]],"DDD")</f>
        <v>Sun</v>
      </c>
      <c r="G620" s="10">
        <f>YEAR(events[[#This Row],[Start Date]])</f>
        <v>2025</v>
      </c>
      <c r="H620" s="10" t="str">
        <f>TEXT(events[[#This Row],[Start Date]],"mmm")</f>
        <v>Aug</v>
      </c>
      <c r="I620" s="10" t="str">
        <f>CONCATENATE("WK_",WEEKNUM(events[[#This Row],[Start Date]]))</f>
        <v>WK_32</v>
      </c>
      <c r="J620" s="12">
        <v>45872.548668981479</v>
      </c>
      <c r="K620" s="10">
        <v>36</v>
      </c>
      <c r="L620" s="10" t="s">
        <v>25</v>
      </c>
      <c r="M620" s="10" t="s">
        <v>87</v>
      </c>
      <c r="N620" s="13">
        <f t="shared" si="9"/>
        <v>0</v>
      </c>
      <c r="O620" s="14" t="s">
        <v>965</v>
      </c>
      <c r="P620" s="14" t="s">
        <v>965</v>
      </c>
      <c r="Q620" s="14"/>
      <c r="R620" s="14"/>
      <c r="S620" s="14" t="s">
        <v>2245</v>
      </c>
      <c r="T620" s="14" t="s">
        <v>2245</v>
      </c>
      <c r="U620" s="15">
        <v>0.125</v>
      </c>
      <c r="V620" s="10">
        <v>1</v>
      </c>
    </row>
    <row r="621" spans="1:22" ht="18" customHeight="1" x14ac:dyDescent="0.35">
      <c r="A621" s="10" t="s">
        <v>86</v>
      </c>
      <c r="B621" s="10" t="s">
        <v>3205</v>
      </c>
      <c r="C621" s="11" t="s">
        <v>2973</v>
      </c>
      <c r="D621" s="11" t="s">
        <v>24</v>
      </c>
      <c r="E621" s="12">
        <v>45872.511076388888</v>
      </c>
      <c r="F621" s="10" t="str">
        <f>TEXT(events[[#This Row],[Start Date]],"DDD")</f>
        <v>Sun</v>
      </c>
      <c r="G621" s="10">
        <f>YEAR(events[[#This Row],[Start Date]])</f>
        <v>2025</v>
      </c>
      <c r="H621" s="10" t="str">
        <f>TEXT(events[[#This Row],[Start Date]],"mmm")</f>
        <v>Aug</v>
      </c>
      <c r="I621" s="10" t="str">
        <f>CONCATENATE("WK_",WEEKNUM(events[[#This Row],[Start Date]]))</f>
        <v>WK_32</v>
      </c>
      <c r="J621" s="12">
        <v>45872.511076388888</v>
      </c>
      <c r="K621" s="10">
        <v>31</v>
      </c>
      <c r="L621" s="10" t="s">
        <v>25</v>
      </c>
      <c r="M621" s="10" t="s">
        <v>87</v>
      </c>
      <c r="N621" s="13">
        <f t="shared" si="9"/>
        <v>0</v>
      </c>
      <c r="O621" s="14" t="s">
        <v>50</v>
      </c>
      <c r="P621" s="14" t="s">
        <v>50</v>
      </c>
      <c r="Q621" s="14"/>
      <c r="R621" s="14"/>
      <c r="S621" s="14" t="s">
        <v>2244</v>
      </c>
      <c r="T621" s="14" t="s">
        <v>2244</v>
      </c>
      <c r="U621" s="15">
        <v>0</v>
      </c>
      <c r="V621" s="10">
        <v>1</v>
      </c>
    </row>
    <row r="622" spans="1:22" ht="18" customHeight="1" x14ac:dyDescent="0.35">
      <c r="A622" s="10" t="s">
        <v>23</v>
      </c>
      <c r="B622" s="10" t="s">
        <v>3229</v>
      </c>
      <c r="C622" s="11" t="s">
        <v>2996</v>
      </c>
      <c r="D622" s="11" t="s">
        <v>24</v>
      </c>
      <c r="E622" s="12">
        <v>45872.504328703704</v>
      </c>
      <c r="F622" s="10" t="str">
        <f>TEXT(events[[#This Row],[Start Date]],"DDD")</f>
        <v>Sun</v>
      </c>
      <c r="G622" s="10">
        <f>YEAR(events[[#This Row],[Start Date]])</f>
        <v>2025</v>
      </c>
      <c r="H622" s="10" t="str">
        <f>TEXT(events[[#This Row],[Start Date]],"mmm")</f>
        <v>Aug</v>
      </c>
      <c r="I622" s="10" t="str">
        <f>CONCATENATE("WK_",WEEKNUM(events[[#This Row],[Start Date]]))</f>
        <v>WK_32</v>
      </c>
      <c r="J622" s="12">
        <v>45872.504351851851</v>
      </c>
      <c r="K622" s="10">
        <v>34</v>
      </c>
      <c r="L622" s="10" t="s">
        <v>25</v>
      </c>
      <c r="M622" s="10" t="s">
        <v>31</v>
      </c>
      <c r="N622" s="13">
        <f t="shared" si="9"/>
        <v>3.3333333333333333E-2</v>
      </c>
      <c r="O622" s="14" t="s">
        <v>38</v>
      </c>
      <c r="P622" s="14" t="s">
        <v>38</v>
      </c>
      <c r="Q622" s="14"/>
      <c r="R622" s="14"/>
      <c r="S622" s="14" t="s">
        <v>2173</v>
      </c>
      <c r="T622" s="14" t="s">
        <v>2174</v>
      </c>
      <c r="U622" s="15">
        <v>0</v>
      </c>
      <c r="V622" s="10">
        <v>1</v>
      </c>
    </row>
    <row r="623" spans="1:22" ht="18" customHeight="1" x14ac:dyDescent="0.35">
      <c r="A623" s="10" t="s">
        <v>86</v>
      </c>
      <c r="B623" s="10" t="s">
        <v>3169</v>
      </c>
      <c r="C623" s="11" t="s">
        <v>2935</v>
      </c>
      <c r="D623" s="11" t="s">
        <v>24</v>
      </c>
      <c r="E623" s="12">
        <v>45872.493414351855</v>
      </c>
      <c r="F623" s="10" t="str">
        <f>TEXT(events[[#This Row],[Start Date]],"DDD")</f>
        <v>Sun</v>
      </c>
      <c r="G623" s="10">
        <f>YEAR(events[[#This Row],[Start Date]])</f>
        <v>2025</v>
      </c>
      <c r="H623" s="10" t="str">
        <f>TEXT(events[[#This Row],[Start Date]],"mmm")</f>
        <v>Aug</v>
      </c>
      <c r="I623" s="10" t="str">
        <f>CONCATENATE("WK_",WEEKNUM(events[[#This Row],[Start Date]]))</f>
        <v>WK_32</v>
      </c>
      <c r="J623" s="12">
        <v>45872.493414351855</v>
      </c>
      <c r="K623" s="10">
        <v>31</v>
      </c>
      <c r="L623" s="10" t="s">
        <v>25</v>
      </c>
      <c r="M623" s="10" t="s">
        <v>87</v>
      </c>
      <c r="N623" s="13">
        <f t="shared" si="9"/>
        <v>0</v>
      </c>
      <c r="O623" s="14" t="s">
        <v>38</v>
      </c>
      <c r="P623" s="14" t="s">
        <v>38</v>
      </c>
      <c r="Q623" s="14"/>
      <c r="R623" s="14"/>
      <c r="S623" s="14" t="s">
        <v>2225</v>
      </c>
      <c r="T623" s="14" t="s">
        <v>2225</v>
      </c>
      <c r="U623" s="15">
        <v>0</v>
      </c>
      <c r="V623" s="10">
        <v>1</v>
      </c>
    </row>
    <row r="624" spans="1:22" ht="18" customHeight="1" x14ac:dyDescent="0.35">
      <c r="A624" s="10" t="s">
        <v>86</v>
      </c>
      <c r="B624" s="10" t="s">
        <v>3205</v>
      </c>
      <c r="C624" s="11" t="s">
        <v>2973</v>
      </c>
      <c r="D624" s="11" t="s">
        <v>24</v>
      </c>
      <c r="E624" s="12">
        <v>45872.48165509259</v>
      </c>
      <c r="F624" s="10" t="str">
        <f>TEXT(events[[#This Row],[Start Date]],"DDD")</f>
        <v>Sun</v>
      </c>
      <c r="G624" s="10">
        <f>YEAR(events[[#This Row],[Start Date]])</f>
        <v>2025</v>
      </c>
      <c r="H624" s="10" t="str">
        <f>TEXT(events[[#This Row],[Start Date]],"mmm")</f>
        <v>Aug</v>
      </c>
      <c r="I624" s="10" t="str">
        <f>CONCATENATE("WK_",WEEKNUM(events[[#This Row],[Start Date]]))</f>
        <v>WK_32</v>
      </c>
      <c r="J624" s="12">
        <v>45872.481678240743</v>
      </c>
      <c r="K624" s="10">
        <v>31</v>
      </c>
      <c r="L624" s="10" t="s">
        <v>25</v>
      </c>
      <c r="M624" s="10" t="s">
        <v>31</v>
      </c>
      <c r="N624" s="13">
        <f t="shared" si="9"/>
        <v>3.3333333333333333E-2</v>
      </c>
      <c r="O624" s="14" t="s">
        <v>50</v>
      </c>
      <c r="P624" s="14" t="s">
        <v>50</v>
      </c>
      <c r="Q624" s="14"/>
      <c r="R624" s="14"/>
      <c r="S624" s="14" t="s">
        <v>2242</v>
      </c>
      <c r="T624" s="14" t="s">
        <v>2243</v>
      </c>
      <c r="U624" s="15">
        <v>0</v>
      </c>
      <c r="V624" s="10">
        <v>1</v>
      </c>
    </row>
    <row r="625" spans="1:22" ht="18" customHeight="1" x14ac:dyDescent="0.35">
      <c r="A625" s="10" t="s">
        <v>47</v>
      </c>
      <c r="B625" s="10" t="s">
        <v>3292</v>
      </c>
      <c r="C625" s="11" t="s">
        <v>3078</v>
      </c>
      <c r="D625" s="11" t="s">
        <v>24</v>
      </c>
      <c r="E625" s="12">
        <v>45872.475497685184</v>
      </c>
      <c r="F625" s="10" t="str">
        <f>TEXT(events[[#This Row],[Start Date]],"DDD")</f>
        <v>Sun</v>
      </c>
      <c r="G625" s="10">
        <f>YEAR(events[[#This Row],[Start Date]])</f>
        <v>2025</v>
      </c>
      <c r="H625" s="10" t="str">
        <f>TEXT(events[[#This Row],[Start Date]],"mmm")</f>
        <v>Aug</v>
      </c>
      <c r="I625" s="10" t="str">
        <f>CONCATENATE("WK_",WEEKNUM(events[[#This Row],[Start Date]]))</f>
        <v>WK_32</v>
      </c>
      <c r="J625" s="12">
        <v>45872.47550925926</v>
      </c>
      <c r="K625" s="10">
        <v>49</v>
      </c>
      <c r="L625" s="10" t="s">
        <v>25</v>
      </c>
      <c r="M625" s="10" t="s">
        <v>26</v>
      </c>
      <c r="N625" s="13">
        <f t="shared" si="9"/>
        <v>1.6666666666666666E-2</v>
      </c>
      <c r="O625" s="14" t="s">
        <v>92</v>
      </c>
      <c r="P625" s="14" t="s">
        <v>92</v>
      </c>
      <c r="Q625" s="14"/>
      <c r="R625" s="14"/>
      <c r="S625" s="14" t="s">
        <v>2204</v>
      </c>
      <c r="T625" s="14" t="s">
        <v>2205</v>
      </c>
      <c r="U625" s="15">
        <v>0</v>
      </c>
      <c r="V625" s="10">
        <v>1</v>
      </c>
    </row>
    <row r="626" spans="1:22" ht="18" customHeight="1" x14ac:dyDescent="0.35">
      <c r="A626" s="10" t="s">
        <v>23</v>
      </c>
      <c r="B626" s="10" t="s">
        <v>3207</v>
      </c>
      <c r="C626" s="11" t="s">
        <v>2975</v>
      </c>
      <c r="D626" s="11" t="s">
        <v>24</v>
      </c>
      <c r="E626" s="12">
        <v>45872.450266203705</v>
      </c>
      <c r="F626" s="10" t="str">
        <f>TEXT(events[[#This Row],[Start Date]],"DDD")</f>
        <v>Sun</v>
      </c>
      <c r="G626" s="10">
        <f>YEAR(events[[#This Row],[Start Date]])</f>
        <v>2025</v>
      </c>
      <c r="H626" s="10" t="str">
        <f>TEXT(events[[#This Row],[Start Date]],"mmm")</f>
        <v>Aug</v>
      </c>
      <c r="I626" s="10" t="str">
        <f>CONCATENATE("WK_",WEEKNUM(events[[#This Row],[Start Date]]))</f>
        <v>WK_32</v>
      </c>
      <c r="J626" s="12">
        <v>45872.450300925928</v>
      </c>
      <c r="K626" s="10">
        <v>47</v>
      </c>
      <c r="L626" s="10" t="s">
        <v>25</v>
      </c>
      <c r="M626" s="10" t="s">
        <v>75</v>
      </c>
      <c r="N626" s="13">
        <f t="shared" si="9"/>
        <v>0.05</v>
      </c>
      <c r="O626" s="14" t="s">
        <v>50</v>
      </c>
      <c r="P626" s="14" t="s">
        <v>50</v>
      </c>
      <c r="Q626" s="14"/>
      <c r="R626" s="14"/>
      <c r="S626" s="14" t="s">
        <v>2169</v>
      </c>
      <c r="T626" s="14" t="s">
        <v>2170</v>
      </c>
      <c r="U626" s="15">
        <v>6.25E-2</v>
      </c>
      <c r="V626" s="10">
        <v>1</v>
      </c>
    </row>
    <row r="627" spans="1:22" ht="18" customHeight="1" x14ac:dyDescent="0.35">
      <c r="A627" s="10" t="s">
        <v>23</v>
      </c>
      <c r="B627" s="10" t="s">
        <v>3196</v>
      </c>
      <c r="C627" s="11" t="s">
        <v>3072</v>
      </c>
      <c r="D627" s="11" t="s">
        <v>74</v>
      </c>
      <c r="E627" s="12">
        <v>45872.37332175926</v>
      </c>
      <c r="F627" s="10" t="str">
        <f>TEXT(events[[#This Row],[Start Date]],"DDD")</f>
        <v>Sun</v>
      </c>
      <c r="G627" s="10">
        <f>YEAR(events[[#This Row],[Start Date]])</f>
        <v>2025</v>
      </c>
      <c r="H627" s="10" t="str">
        <f>TEXT(events[[#This Row],[Start Date]],"mmm")</f>
        <v>Aug</v>
      </c>
      <c r="I627" s="10" t="str">
        <f>CONCATENATE("WK_",WEEKNUM(events[[#This Row],[Start Date]]))</f>
        <v>WK_32</v>
      </c>
      <c r="J627" s="12">
        <v>45872.373344907406</v>
      </c>
      <c r="K627" s="10">
        <v>81</v>
      </c>
      <c r="L627" s="10" t="s">
        <v>25</v>
      </c>
      <c r="M627" s="10" t="s">
        <v>31</v>
      </c>
      <c r="N627" s="13">
        <f t="shared" si="9"/>
        <v>3.3333333333333333E-2</v>
      </c>
      <c r="O627" s="14" t="s">
        <v>142</v>
      </c>
      <c r="P627" s="14" t="s">
        <v>142</v>
      </c>
      <c r="Q627" s="14"/>
      <c r="R627" s="14"/>
      <c r="S627" s="14" t="s">
        <v>2180</v>
      </c>
      <c r="T627" s="14" t="s">
        <v>2181</v>
      </c>
      <c r="U627" s="15">
        <v>9.3700000000000006E-2</v>
      </c>
      <c r="V627" s="10">
        <v>1</v>
      </c>
    </row>
    <row r="628" spans="1:22" ht="18" customHeight="1" x14ac:dyDescent="0.35">
      <c r="A628" s="10" t="s">
        <v>86</v>
      </c>
      <c r="B628" s="10" t="s">
        <v>3205</v>
      </c>
      <c r="C628" s="11" t="s">
        <v>2973</v>
      </c>
      <c r="D628" s="11" t="s">
        <v>24</v>
      </c>
      <c r="E628" s="12">
        <v>45872.333761574075</v>
      </c>
      <c r="F628" s="10" t="str">
        <f>TEXT(events[[#This Row],[Start Date]],"DDD")</f>
        <v>Sun</v>
      </c>
      <c r="G628" s="10">
        <f>YEAR(events[[#This Row],[Start Date]])</f>
        <v>2025</v>
      </c>
      <c r="H628" s="10" t="str">
        <f>TEXT(events[[#This Row],[Start Date]],"mmm")</f>
        <v>Aug</v>
      </c>
      <c r="I628" s="10" t="str">
        <f>CONCATENATE("WK_",WEEKNUM(events[[#This Row],[Start Date]]))</f>
        <v>WK_32</v>
      </c>
      <c r="J628" s="12">
        <v>45872.334062499998</v>
      </c>
      <c r="K628" s="10">
        <v>36</v>
      </c>
      <c r="L628" s="10" t="s">
        <v>25</v>
      </c>
      <c r="M628" s="10" t="s">
        <v>222</v>
      </c>
      <c r="N628" s="13">
        <f t="shared" si="9"/>
        <v>0.43333333333333335</v>
      </c>
      <c r="O628" s="14" t="s">
        <v>49</v>
      </c>
      <c r="P628" s="14" t="s">
        <v>49</v>
      </c>
      <c r="Q628" s="14"/>
      <c r="R628" s="14"/>
      <c r="S628" s="14" t="s">
        <v>2240</v>
      </c>
      <c r="T628" s="14" t="s">
        <v>2241</v>
      </c>
      <c r="U628" s="15">
        <v>0.3125</v>
      </c>
      <c r="V628" s="10">
        <v>1</v>
      </c>
    </row>
    <row r="629" spans="1:22" ht="18" customHeight="1" x14ac:dyDescent="0.35">
      <c r="A629" s="10" t="s">
        <v>23</v>
      </c>
      <c r="B629" s="10" t="s">
        <v>3209</v>
      </c>
      <c r="C629" s="11" t="s">
        <v>2977</v>
      </c>
      <c r="D629" s="11" t="s">
        <v>82</v>
      </c>
      <c r="E629" s="12">
        <v>45872.288206018522</v>
      </c>
      <c r="F629" s="10" t="str">
        <f>TEXT(events[[#This Row],[Start Date]],"DDD")</f>
        <v>Sun</v>
      </c>
      <c r="G629" s="10">
        <f>YEAR(events[[#This Row],[Start Date]])</f>
        <v>2025</v>
      </c>
      <c r="H629" s="10" t="str">
        <f>TEXT(events[[#This Row],[Start Date]],"mmm")</f>
        <v>Aug</v>
      </c>
      <c r="I629" s="10" t="str">
        <f>CONCATENATE("WK_",WEEKNUM(events[[#This Row],[Start Date]]))</f>
        <v>WK_32</v>
      </c>
      <c r="J629" s="12">
        <v>45872.288217592592</v>
      </c>
      <c r="K629" s="10">
        <v>29</v>
      </c>
      <c r="L629" s="10" t="s">
        <v>83</v>
      </c>
      <c r="M629" s="10" t="s">
        <v>26</v>
      </c>
      <c r="N629" s="13">
        <f t="shared" si="9"/>
        <v>1.6666666666666666E-2</v>
      </c>
      <c r="O629" s="14" t="s">
        <v>38</v>
      </c>
      <c r="P629" s="14"/>
      <c r="Q629" s="14"/>
      <c r="R629" s="14"/>
      <c r="S629" s="14" t="s">
        <v>2198</v>
      </c>
      <c r="T629" s="14"/>
      <c r="U629" s="15">
        <v>0</v>
      </c>
      <c r="V629" s="10">
        <v>1</v>
      </c>
    </row>
    <row r="630" spans="1:22" ht="18" customHeight="1" x14ac:dyDescent="0.35">
      <c r="A630" s="10" t="s">
        <v>23</v>
      </c>
      <c r="B630" s="10" t="s">
        <v>3295</v>
      </c>
      <c r="C630" s="11" t="s">
        <v>3081</v>
      </c>
      <c r="D630" s="11" t="s">
        <v>24</v>
      </c>
      <c r="E630" s="12">
        <v>45872.214178240742</v>
      </c>
      <c r="F630" s="10" t="str">
        <f>TEXT(events[[#This Row],[Start Date]],"DDD")</f>
        <v>Sun</v>
      </c>
      <c r="G630" s="10">
        <f>YEAR(events[[#This Row],[Start Date]])</f>
        <v>2025</v>
      </c>
      <c r="H630" s="10" t="str">
        <f>TEXT(events[[#This Row],[Start Date]],"mmm")</f>
        <v>Aug</v>
      </c>
      <c r="I630" s="10" t="str">
        <f>CONCATENATE("WK_",WEEKNUM(events[[#This Row],[Start Date]]))</f>
        <v>WK_32</v>
      </c>
      <c r="J630" s="12">
        <v>45872.214571759258</v>
      </c>
      <c r="K630" s="10">
        <v>72</v>
      </c>
      <c r="L630" s="10" t="s">
        <v>25</v>
      </c>
      <c r="M630" s="10" t="s">
        <v>656</v>
      </c>
      <c r="N630" s="13">
        <f t="shared" si="9"/>
        <v>0.56666666666666665</v>
      </c>
      <c r="O630" s="14" t="s">
        <v>92</v>
      </c>
      <c r="P630" s="14" t="s">
        <v>92</v>
      </c>
      <c r="Q630" s="14"/>
      <c r="R630" s="14"/>
      <c r="S630" s="14" t="s">
        <v>2166</v>
      </c>
      <c r="T630" s="14" t="s">
        <v>2167</v>
      </c>
      <c r="U630" s="15">
        <v>0.625</v>
      </c>
      <c r="V630" s="10">
        <v>1</v>
      </c>
    </row>
    <row r="631" spans="1:22" ht="18" customHeight="1" x14ac:dyDescent="0.35">
      <c r="A631" s="10" t="s">
        <v>23</v>
      </c>
      <c r="B631" s="10" t="s">
        <v>3226</v>
      </c>
      <c r="C631" s="11" t="s">
        <v>2994</v>
      </c>
      <c r="D631" s="11" t="s">
        <v>35</v>
      </c>
      <c r="E631" s="12">
        <v>45872.119895833333</v>
      </c>
      <c r="F631" s="10" t="str">
        <f>TEXT(events[[#This Row],[Start Date]],"DDD")</f>
        <v>Sun</v>
      </c>
      <c r="G631" s="10">
        <f>YEAR(events[[#This Row],[Start Date]])</f>
        <v>2025</v>
      </c>
      <c r="H631" s="10" t="str">
        <f>TEXT(events[[#This Row],[Start Date]],"mmm")</f>
        <v>Aug</v>
      </c>
      <c r="I631" s="10" t="str">
        <f>CONCATENATE("WK_",WEEKNUM(events[[#This Row],[Start Date]]))</f>
        <v>WK_32</v>
      </c>
      <c r="J631" s="12">
        <v>45872.166643518518</v>
      </c>
      <c r="K631" s="10">
        <v>40</v>
      </c>
      <c r="L631" s="10" t="s">
        <v>36</v>
      </c>
      <c r="M631" s="10" t="s">
        <v>2163</v>
      </c>
      <c r="N631" s="13">
        <f t="shared" si="9"/>
        <v>67.316666666666663</v>
      </c>
      <c r="O631" s="14" t="s">
        <v>92</v>
      </c>
      <c r="P631" s="14" t="s">
        <v>27</v>
      </c>
      <c r="Q631" s="14"/>
      <c r="R631" s="14"/>
      <c r="S631" s="14" t="s">
        <v>2164</v>
      </c>
      <c r="T631" s="14" t="s">
        <v>2165</v>
      </c>
      <c r="U631" s="15">
        <v>35</v>
      </c>
      <c r="V631" s="10">
        <v>1</v>
      </c>
    </row>
    <row r="632" spans="1:22" ht="18" customHeight="1" x14ac:dyDescent="0.35">
      <c r="A632" s="10" t="s">
        <v>23</v>
      </c>
      <c r="B632" s="10" t="s">
        <v>3196</v>
      </c>
      <c r="C632" s="11" t="s">
        <v>3072</v>
      </c>
      <c r="D632" s="11" t="s">
        <v>35</v>
      </c>
      <c r="E632" s="12">
        <v>45872.119803240741</v>
      </c>
      <c r="F632" s="10" t="str">
        <f>TEXT(events[[#This Row],[Start Date]],"DDD")</f>
        <v>Sun</v>
      </c>
      <c r="G632" s="10">
        <f>YEAR(events[[#This Row],[Start Date]])</f>
        <v>2025</v>
      </c>
      <c r="H632" s="10" t="str">
        <f>TEXT(events[[#This Row],[Start Date]],"mmm")</f>
        <v>Aug</v>
      </c>
      <c r="I632" s="10" t="str">
        <f>CONCATENATE("WK_",WEEKNUM(events[[#This Row],[Start Date]]))</f>
        <v>WK_32</v>
      </c>
      <c r="J632" s="12">
        <v>45872.166643518518</v>
      </c>
      <c r="K632" s="10">
        <v>39</v>
      </c>
      <c r="L632" s="10" t="s">
        <v>36</v>
      </c>
      <c r="M632" s="10" t="s">
        <v>2177</v>
      </c>
      <c r="N632" s="13">
        <f t="shared" si="9"/>
        <v>67.45</v>
      </c>
      <c r="O632" s="14" t="s">
        <v>92</v>
      </c>
      <c r="P632" s="14" t="s">
        <v>27</v>
      </c>
      <c r="Q632" s="14"/>
      <c r="R632" s="14"/>
      <c r="S632" s="14" t="s">
        <v>2178</v>
      </c>
      <c r="T632" s="14" t="s">
        <v>2179</v>
      </c>
      <c r="U632" s="15">
        <v>34</v>
      </c>
      <c r="V632" s="10">
        <v>1</v>
      </c>
    </row>
    <row r="633" spans="1:22" ht="18" customHeight="1" x14ac:dyDescent="0.35">
      <c r="A633" s="10" t="s">
        <v>23</v>
      </c>
      <c r="B633" s="10" t="s">
        <v>3317</v>
      </c>
      <c r="C633" s="11" t="s">
        <v>3108</v>
      </c>
      <c r="D633" s="11" t="s">
        <v>35</v>
      </c>
      <c r="E633" s="12">
        <v>45871.958333333336</v>
      </c>
      <c r="F633" s="10" t="str">
        <f>TEXT(events[[#This Row],[Start Date]],"DDD")</f>
        <v>Sat</v>
      </c>
      <c r="G633" s="10">
        <f>YEAR(events[[#This Row],[Start Date]])</f>
        <v>2025</v>
      </c>
      <c r="H633" s="10" t="str">
        <f>TEXT(events[[#This Row],[Start Date]],"mmm")</f>
        <v>Aug</v>
      </c>
      <c r="I633" s="10" t="str">
        <f>CONCATENATE("WK_",WEEKNUM(events[[#This Row],[Start Date]]))</f>
        <v>WK_31</v>
      </c>
      <c r="J633" s="12">
        <v>45871.989004629628</v>
      </c>
      <c r="K633" s="10">
        <v>46</v>
      </c>
      <c r="L633" s="10" t="s">
        <v>36</v>
      </c>
      <c r="M633" s="10" t="s">
        <v>2190</v>
      </c>
      <c r="N633" s="13">
        <f t="shared" si="9"/>
        <v>44.166666666666664</v>
      </c>
      <c r="O633" s="14" t="s">
        <v>27</v>
      </c>
      <c r="P633" s="14" t="s">
        <v>38</v>
      </c>
      <c r="Q633" s="14"/>
      <c r="R633" s="14"/>
      <c r="S633" s="14" t="s">
        <v>2191</v>
      </c>
      <c r="T633" s="14" t="s">
        <v>2192</v>
      </c>
      <c r="U633" s="15">
        <v>22</v>
      </c>
      <c r="V633" s="10">
        <v>1</v>
      </c>
    </row>
    <row r="634" spans="1:22" ht="18" customHeight="1" x14ac:dyDescent="0.35">
      <c r="A634" s="10" t="s">
        <v>23</v>
      </c>
      <c r="B634" s="10" t="s">
        <v>3209</v>
      </c>
      <c r="C634" s="11" t="s">
        <v>2977</v>
      </c>
      <c r="D634" s="11" t="s">
        <v>35</v>
      </c>
      <c r="E634" s="12">
        <v>45871.958333333336</v>
      </c>
      <c r="F634" s="10" t="str">
        <f>TEXT(events[[#This Row],[Start Date]],"DDD")</f>
        <v>Sat</v>
      </c>
      <c r="G634" s="10">
        <f>YEAR(events[[#This Row],[Start Date]])</f>
        <v>2025</v>
      </c>
      <c r="H634" s="10" t="str">
        <f>TEXT(events[[#This Row],[Start Date]],"mmm")</f>
        <v>Aug</v>
      </c>
      <c r="I634" s="10" t="str">
        <f>CONCATENATE("WK_",WEEKNUM(events[[#This Row],[Start Date]]))</f>
        <v>WK_31</v>
      </c>
      <c r="J634" s="12">
        <v>45871.966365740744</v>
      </c>
      <c r="K634" s="10">
        <v>164</v>
      </c>
      <c r="L634" s="10" t="s">
        <v>36</v>
      </c>
      <c r="M634" s="10" t="s">
        <v>2199</v>
      </c>
      <c r="N634" s="13">
        <f t="shared" si="9"/>
        <v>11.566666666666666</v>
      </c>
      <c r="O634" s="14" t="s">
        <v>38</v>
      </c>
      <c r="P634" s="14" t="s">
        <v>38</v>
      </c>
      <c r="Q634" s="14"/>
      <c r="R634" s="14"/>
      <c r="S634" s="14" t="s">
        <v>2200</v>
      </c>
      <c r="T634" s="14" t="s">
        <v>2201</v>
      </c>
      <c r="U634" s="15">
        <v>3</v>
      </c>
      <c r="V634" s="10">
        <v>1</v>
      </c>
    </row>
    <row r="635" spans="1:22" ht="18" customHeight="1" x14ac:dyDescent="0.35">
      <c r="A635" s="10" t="s">
        <v>123</v>
      </c>
      <c r="B635" s="10" t="s">
        <v>3238</v>
      </c>
      <c r="C635" s="11" t="s">
        <v>3005</v>
      </c>
      <c r="D635" s="11" t="s">
        <v>74</v>
      </c>
      <c r="E635" s="12">
        <v>45871.937361111108</v>
      </c>
      <c r="F635" s="10" t="str">
        <f>TEXT(events[[#This Row],[Start Date]],"DDD")</f>
        <v>Sat</v>
      </c>
      <c r="G635" s="10">
        <f>YEAR(events[[#This Row],[Start Date]])</f>
        <v>2025</v>
      </c>
      <c r="H635" s="10" t="str">
        <f>TEXT(events[[#This Row],[Start Date]],"mmm")</f>
        <v>Aug</v>
      </c>
      <c r="I635" s="10" t="str">
        <f>CONCATENATE("WK_",WEEKNUM(events[[#This Row],[Start Date]]))</f>
        <v>WK_31</v>
      </c>
      <c r="J635" s="12">
        <v>45871.937789351854</v>
      </c>
      <c r="K635" s="10">
        <v>108</v>
      </c>
      <c r="L635" s="10" t="s">
        <v>25</v>
      </c>
      <c r="M635" s="10" t="s">
        <v>647</v>
      </c>
      <c r="N635" s="13">
        <f t="shared" si="9"/>
        <v>0.6166666666666667</v>
      </c>
      <c r="O635" s="14"/>
      <c r="P635" s="14" t="s">
        <v>2123</v>
      </c>
      <c r="Q635" s="14"/>
      <c r="R635" s="14"/>
      <c r="S635" s="14" t="s">
        <v>2266</v>
      </c>
      <c r="T635" s="14" t="s">
        <v>2267</v>
      </c>
      <c r="U635" s="15">
        <v>1</v>
      </c>
      <c r="V635" s="10">
        <v>1</v>
      </c>
    </row>
    <row r="636" spans="1:22" ht="18" customHeight="1" x14ac:dyDescent="0.35">
      <c r="A636" s="10" t="s">
        <v>86</v>
      </c>
      <c r="B636" s="10" t="s">
        <v>3189</v>
      </c>
      <c r="C636" s="11" t="s">
        <v>3065</v>
      </c>
      <c r="D636" s="11" t="s">
        <v>24</v>
      </c>
      <c r="E636" s="12">
        <v>45871.868298611109</v>
      </c>
      <c r="F636" s="10" t="str">
        <f>TEXT(events[[#This Row],[Start Date]],"DDD")</f>
        <v>Sat</v>
      </c>
      <c r="G636" s="10">
        <f>YEAR(events[[#This Row],[Start Date]])</f>
        <v>2025</v>
      </c>
      <c r="H636" s="10" t="str">
        <f>TEXT(events[[#This Row],[Start Date]],"mmm")</f>
        <v>Aug</v>
      </c>
      <c r="I636" s="10" t="str">
        <f>CONCATENATE("WK_",WEEKNUM(events[[#This Row],[Start Date]]))</f>
        <v>WK_31</v>
      </c>
      <c r="J636" s="12">
        <v>45871.868344907409</v>
      </c>
      <c r="K636" s="10">
        <v>40</v>
      </c>
      <c r="L636" s="10" t="s">
        <v>25</v>
      </c>
      <c r="M636" s="10" t="s">
        <v>275</v>
      </c>
      <c r="N636" s="13">
        <f t="shared" si="9"/>
        <v>6.6666666666666666E-2</v>
      </c>
      <c r="O636" s="14" t="s">
        <v>1729</v>
      </c>
      <c r="P636" s="14" t="s">
        <v>1729</v>
      </c>
      <c r="Q636" s="14"/>
      <c r="R636" s="14"/>
      <c r="S636" s="14" t="s">
        <v>2219</v>
      </c>
      <c r="T636" s="14" t="s">
        <v>2220</v>
      </c>
      <c r="U636" s="15">
        <v>0</v>
      </c>
      <c r="V636" s="10">
        <v>1</v>
      </c>
    </row>
    <row r="637" spans="1:22" ht="18" customHeight="1" x14ac:dyDescent="0.35">
      <c r="A637" s="10" t="s">
        <v>47</v>
      </c>
      <c r="B637" s="10" t="s">
        <v>3284</v>
      </c>
      <c r="C637" s="11" t="s">
        <v>3109</v>
      </c>
      <c r="D637" s="11" t="s">
        <v>678</v>
      </c>
      <c r="E637" s="12">
        <v>45871.699490740742</v>
      </c>
      <c r="F637" s="10" t="str">
        <f>TEXT(events[[#This Row],[Start Date]],"DDD")</f>
        <v>Sat</v>
      </c>
      <c r="G637" s="10">
        <f>YEAR(events[[#This Row],[Start Date]])</f>
        <v>2025</v>
      </c>
      <c r="H637" s="10" t="str">
        <f>TEXT(events[[#This Row],[Start Date]],"mmm")</f>
        <v>Aug</v>
      </c>
      <c r="I637" s="10" t="str">
        <f>CONCATENATE("WK_",WEEKNUM(events[[#This Row],[Start Date]]))</f>
        <v>WK_31</v>
      </c>
      <c r="J637" s="12">
        <v>45871.699502314812</v>
      </c>
      <c r="K637" s="10">
        <v>14</v>
      </c>
      <c r="L637" s="10" t="s">
        <v>83</v>
      </c>
      <c r="M637" s="10" t="s">
        <v>26</v>
      </c>
      <c r="N637" s="13">
        <f t="shared" si="9"/>
        <v>1.6666666666666666E-2</v>
      </c>
      <c r="O637" s="14" t="s">
        <v>92</v>
      </c>
      <c r="P637" s="14"/>
      <c r="Q637" s="14"/>
      <c r="R637" s="14"/>
      <c r="S637" s="14" t="s">
        <v>2206</v>
      </c>
      <c r="T637" s="14"/>
      <c r="U637" s="15">
        <v>0</v>
      </c>
      <c r="V637" s="10">
        <v>1</v>
      </c>
    </row>
    <row r="638" spans="1:22" ht="18" customHeight="1" x14ac:dyDescent="0.35">
      <c r="A638" s="10" t="s">
        <v>123</v>
      </c>
      <c r="B638" s="10" t="s">
        <v>3312</v>
      </c>
      <c r="C638" s="11" t="s">
        <v>3102</v>
      </c>
      <c r="D638" s="11" t="s">
        <v>74</v>
      </c>
      <c r="E638" s="12">
        <v>45871.652326388888</v>
      </c>
      <c r="F638" s="10" t="str">
        <f>TEXT(events[[#This Row],[Start Date]],"DDD")</f>
        <v>Sat</v>
      </c>
      <c r="G638" s="10">
        <f>YEAR(events[[#This Row],[Start Date]])</f>
        <v>2025</v>
      </c>
      <c r="H638" s="10" t="str">
        <f>TEXT(events[[#This Row],[Start Date]],"mmm")</f>
        <v>Aug</v>
      </c>
      <c r="I638" s="10" t="str">
        <f>CONCATENATE("WK_",WEEKNUM(events[[#This Row],[Start Date]]))</f>
        <v>WK_31</v>
      </c>
      <c r="J638" s="12">
        <v>45871.65247685185</v>
      </c>
      <c r="K638" s="10">
        <v>96</v>
      </c>
      <c r="L638" s="10" t="s">
        <v>25</v>
      </c>
      <c r="M638" s="10" t="s">
        <v>1111</v>
      </c>
      <c r="N638" s="13">
        <f t="shared" si="9"/>
        <v>0.2</v>
      </c>
      <c r="O638" s="14"/>
      <c r="P638" s="14" t="s">
        <v>2276</v>
      </c>
      <c r="Q638" s="14"/>
      <c r="R638" s="14"/>
      <c r="S638" s="14" t="s">
        <v>2277</v>
      </c>
      <c r="T638" s="14" t="s">
        <v>2278</v>
      </c>
      <c r="U638" s="15">
        <v>0</v>
      </c>
      <c r="V638" s="10">
        <v>1</v>
      </c>
    </row>
    <row r="639" spans="1:22" ht="18" customHeight="1" x14ac:dyDescent="0.35">
      <c r="A639" s="10" t="s">
        <v>47</v>
      </c>
      <c r="B639" s="10" t="s">
        <v>3191</v>
      </c>
      <c r="C639" s="11" t="s">
        <v>2958</v>
      </c>
      <c r="D639" s="11" t="s">
        <v>82</v>
      </c>
      <c r="E639" s="12">
        <v>45871.596770833334</v>
      </c>
      <c r="F639" s="10" t="str">
        <f>TEXT(events[[#This Row],[Start Date]],"DDD")</f>
        <v>Sat</v>
      </c>
      <c r="G639" s="10">
        <f>YEAR(events[[#This Row],[Start Date]])</f>
        <v>2025</v>
      </c>
      <c r="H639" s="10" t="str">
        <f>TEXT(events[[#This Row],[Start Date]],"mmm")</f>
        <v>Aug</v>
      </c>
      <c r="I639" s="10" t="str">
        <f>CONCATENATE("WK_",WEEKNUM(events[[#This Row],[Start Date]]))</f>
        <v>WK_31</v>
      </c>
      <c r="J639" s="12">
        <v>45871.596782407411</v>
      </c>
      <c r="K639" s="10">
        <v>27</v>
      </c>
      <c r="L639" s="10" t="s">
        <v>83</v>
      </c>
      <c r="M639" s="10" t="s">
        <v>26</v>
      </c>
      <c r="N639" s="13">
        <f t="shared" si="9"/>
        <v>1.6666666666666666E-2</v>
      </c>
      <c r="O639" s="14" t="s">
        <v>138</v>
      </c>
      <c r="P639" s="14"/>
      <c r="Q639" s="14"/>
      <c r="R639" s="14"/>
      <c r="S639" s="14" t="s">
        <v>2203</v>
      </c>
      <c r="T639" s="14"/>
      <c r="U639" s="15">
        <v>0</v>
      </c>
      <c r="V639" s="10">
        <v>1</v>
      </c>
    </row>
    <row r="640" spans="1:22" ht="18" customHeight="1" x14ac:dyDescent="0.35">
      <c r="A640" s="10" t="s">
        <v>123</v>
      </c>
      <c r="B640" s="10" t="s">
        <v>3314</v>
      </c>
      <c r="C640" s="11" t="s">
        <v>3103</v>
      </c>
      <c r="D640" s="11" t="s">
        <v>74</v>
      </c>
      <c r="E640" s="12">
        <v>45871.493287037039</v>
      </c>
      <c r="F640" s="10" t="str">
        <f>TEXT(events[[#This Row],[Start Date]],"DDD")</f>
        <v>Sat</v>
      </c>
      <c r="G640" s="10">
        <f>YEAR(events[[#This Row],[Start Date]])</f>
        <v>2025</v>
      </c>
      <c r="H640" s="10" t="str">
        <f>TEXT(events[[#This Row],[Start Date]],"mmm")</f>
        <v>Aug</v>
      </c>
      <c r="I640" s="10" t="str">
        <f>CONCATENATE("WK_",WEEKNUM(events[[#This Row],[Start Date]]))</f>
        <v>WK_31</v>
      </c>
      <c r="J640" s="12">
        <v>45871.493634259263</v>
      </c>
      <c r="K640" s="10">
        <v>98</v>
      </c>
      <c r="L640" s="10" t="s">
        <v>25</v>
      </c>
      <c r="M640" s="10" t="s">
        <v>1151</v>
      </c>
      <c r="N640" s="13">
        <f t="shared" si="9"/>
        <v>0.48333333333333334</v>
      </c>
      <c r="O640" s="14"/>
      <c r="P640" s="14" t="s">
        <v>801</v>
      </c>
      <c r="Q640" s="14"/>
      <c r="R640" s="14"/>
      <c r="S640" s="14" t="s">
        <v>2268</v>
      </c>
      <c r="T640" s="14" t="s">
        <v>2269</v>
      </c>
      <c r="U640" s="15">
        <v>1</v>
      </c>
      <c r="V640" s="10">
        <v>1</v>
      </c>
    </row>
    <row r="641" spans="1:22" ht="18" customHeight="1" x14ac:dyDescent="0.35">
      <c r="A641" s="10" t="s">
        <v>86</v>
      </c>
      <c r="B641" s="10" t="s">
        <v>3176</v>
      </c>
      <c r="C641" s="11" t="s">
        <v>3039</v>
      </c>
      <c r="D641" s="11" t="s">
        <v>24</v>
      </c>
      <c r="E641" s="12">
        <v>45871.456319444442</v>
      </c>
      <c r="F641" s="10" t="str">
        <f>TEXT(events[[#This Row],[Start Date]],"DDD")</f>
        <v>Sat</v>
      </c>
      <c r="G641" s="10">
        <f>YEAR(events[[#This Row],[Start Date]])</f>
        <v>2025</v>
      </c>
      <c r="H641" s="10" t="str">
        <f>TEXT(events[[#This Row],[Start Date]],"mmm")</f>
        <v>Aug</v>
      </c>
      <c r="I641" s="10" t="str">
        <f>CONCATENATE("WK_",WEEKNUM(events[[#This Row],[Start Date]]))</f>
        <v>WK_31</v>
      </c>
      <c r="J641" s="12">
        <v>45871.456377314818</v>
      </c>
      <c r="K641" s="10">
        <v>38</v>
      </c>
      <c r="L641" s="10" t="s">
        <v>25</v>
      </c>
      <c r="M641" s="10" t="s">
        <v>431</v>
      </c>
      <c r="N641" s="13">
        <f t="shared" si="9"/>
        <v>8.3333333333333329E-2</v>
      </c>
      <c r="O641" s="14" t="s">
        <v>142</v>
      </c>
      <c r="P641" s="14" t="s">
        <v>142</v>
      </c>
      <c r="Q641" s="14"/>
      <c r="R641" s="14"/>
      <c r="S641" s="14" t="s">
        <v>2214</v>
      </c>
      <c r="T641" s="14" t="s">
        <v>2215</v>
      </c>
      <c r="U641" s="15">
        <v>0.125</v>
      </c>
      <c r="V641" s="10">
        <v>1</v>
      </c>
    </row>
    <row r="642" spans="1:22" ht="18" customHeight="1" x14ac:dyDescent="0.35">
      <c r="A642" s="10" t="s">
        <v>123</v>
      </c>
      <c r="B642" s="10" t="s">
        <v>3291</v>
      </c>
      <c r="C642" s="11" t="s">
        <v>3077</v>
      </c>
      <c r="D642" s="11" t="s">
        <v>74</v>
      </c>
      <c r="E642" s="12">
        <v>45871.429699074077</v>
      </c>
      <c r="F642" s="10" t="str">
        <f>TEXT(events[[#This Row],[Start Date]],"DDD")</f>
        <v>Sat</v>
      </c>
      <c r="G642" s="10">
        <f>YEAR(events[[#This Row],[Start Date]])</f>
        <v>2025</v>
      </c>
      <c r="H642" s="10" t="str">
        <f>TEXT(events[[#This Row],[Start Date]],"mmm")</f>
        <v>Aug</v>
      </c>
      <c r="I642" s="10" t="str">
        <f>CONCATENATE("WK_",WEEKNUM(events[[#This Row],[Start Date]]))</f>
        <v>WK_31</v>
      </c>
      <c r="J642" s="12">
        <v>45871.431215277778</v>
      </c>
      <c r="K642" s="10">
        <v>108</v>
      </c>
      <c r="L642" s="10" t="s">
        <v>25</v>
      </c>
      <c r="M642" s="10" t="s">
        <v>278</v>
      </c>
      <c r="N642" s="13">
        <f t="shared" ref="N642:N705" si="10">HOUR(M642)*60+MINUTE(M642)+SECOND(M642)/60</f>
        <v>2.1666666666666665</v>
      </c>
      <c r="O642" s="14"/>
      <c r="P642" s="14" t="s">
        <v>2270</v>
      </c>
      <c r="Q642" s="14"/>
      <c r="R642" s="14"/>
      <c r="S642" s="14" t="s">
        <v>2271</v>
      </c>
      <c r="T642" s="14" t="s">
        <v>2272</v>
      </c>
      <c r="U642" s="15">
        <v>4</v>
      </c>
      <c r="V642" s="10">
        <v>1</v>
      </c>
    </row>
    <row r="643" spans="1:22" ht="18" customHeight="1" x14ac:dyDescent="0.35">
      <c r="A643" s="10" t="s">
        <v>123</v>
      </c>
      <c r="B643" s="10" t="s">
        <v>3312</v>
      </c>
      <c r="C643" s="11" t="s">
        <v>3102</v>
      </c>
      <c r="D643" s="11" t="s">
        <v>74</v>
      </c>
      <c r="E643" s="12">
        <v>45871.199884259258</v>
      </c>
      <c r="F643" s="10" t="str">
        <f>TEXT(events[[#This Row],[Start Date]],"DDD")</f>
        <v>Sat</v>
      </c>
      <c r="G643" s="10">
        <f>YEAR(events[[#This Row],[Start Date]])</f>
        <v>2025</v>
      </c>
      <c r="H643" s="10" t="str">
        <f>TEXT(events[[#This Row],[Start Date]],"mmm")</f>
        <v>Aug</v>
      </c>
      <c r="I643" s="10" t="str">
        <f>CONCATENATE("WK_",WEEKNUM(events[[#This Row],[Start Date]]))</f>
        <v>WK_31</v>
      </c>
      <c r="J643" s="12">
        <v>45871.201157407406</v>
      </c>
      <c r="K643" s="10">
        <v>103</v>
      </c>
      <c r="L643" s="10" t="s">
        <v>25</v>
      </c>
      <c r="M643" s="10" t="s">
        <v>2273</v>
      </c>
      <c r="N643" s="13">
        <f t="shared" si="10"/>
        <v>1.8166666666666667</v>
      </c>
      <c r="O643" s="14"/>
      <c r="P643" s="14" t="s">
        <v>1795</v>
      </c>
      <c r="Q643" s="14"/>
      <c r="R643" s="14"/>
      <c r="S643" s="14" t="s">
        <v>2274</v>
      </c>
      <c r="T643" s="14" t="s">
        <v>2275</v>
      </c>
      <c r="U643" s="15">
        <v>3</v>
      </c>
      <c r="V643" s="10">
        <v>1</v>
      </c>
    </row>
    <row r="644" spans="1:22" ht="18" customHeight="1" x14ac:dyDescent="0.35">
      <c r="A644" s="10" t="s">
        <v>23</v>
      </c>
      <c r="B644" s="10" t="s">
        <v>3211</v>
      </c>
      <c r="C644" s="11" t="s">
        <v>2980</v>
      </c>
      <c r="D644" s="11" t="s">
        <v>24</v>
      </c>
      <c r="E644" s="12">
        <v>45871.19425925926</v>
      </c>
      <c r="F644" s="10" t="str">
        <f>TEXT(events[[#This Row],[Start Date]],"DDD")</f>
        <v>Sat</v>
      </c>
      <c r="G644" s="10">
        <f>YEAR(events[[#This Row],[Start Date]])</f>
        <v>2025</v>
      </c>
      <c r="H644" s="10" t="str">
        <f>TEXT(events[[#This Row],[Start Date]],"mmm")</f>
        <v>Aug</v>
      </c>
      <c r="I644" s="10" t="str">
        <f>CONCATENATE("WK_",WEEKNUM(events[[#This Row],[Start Date]]))</f>
        <v>WK_31</v>
      </c>
      <c r="J644" s="12">
        <v>45871.19427083333</v>
      </c>
      <c r="K644" s="10">
        <v>34</v>
      </c>
      <c r="L644" s="10" t="s">
        <v>25</v>
      </c>
      <c r="M644" s="10" t="s">
        <v>26</v>
      </c>
      <c r="N644" s="13">
        <f t="shared" si="10"/>
        <v>1.6666666666666666E-2</v>
      </c>
      <c r="O644" s="14" t="s">
        <v>38</v>
      </c>
      <c r="P644" s="14" t="s">
        <v>38</v>
      </c>
      <c r="Q644" s="14"/>
      <c r="R644" s="14"/>
      <c r="S644" s="14" t="s">
        <v>2187</v>
      </c>
      <c r="T644" s="14" t="s">
        <v>2188</v>
      </c>
      <c r="U644" s="15">
        <v>9.3700000000000006E-2</v>
      </c>
      <c r="V644" s="10">
        <v>1</v>
      </c>
    </row>
    <row r="645" spans="1:22" ht="18" customHeight="1" x14ac:dyDescent="0.35">
      <c r="A645" s="10" t="s">
        <v>86</v>
      </c>
      <c r="B645" s="10" t="s">
        <v>3205</v>
      </c>
      <c r="C645" s="11" t="s">
        <v>2973</v>
      </c>
      <c r="D645" s="11" t="s">
        <v>24</v>
      </c>
      <c r="E645" s="12">
        <v>45870.675567129627</v>
      </c>
      <c r="F645" s="10" t="str">
        <f>TEXT(events[[#This Row],[Start Date]],"DDD")</f>
        <v>Fri</v>
      </c>
      <c r="G645" s="10">
        <f>YEAR(events[[#This Row],[Start Date]])</f>
        <v>2025</v>
      </c>
      <c r="H645" s="10" t="str">
        <f>TEXT(events[[#This Row],[Start Date]],"mmm")</f>
        <v>Aug</v>
      </c>
      <c r="I645" s="10" t="str">
        <f>CONCATENATE("WK_",WEEKNUM(events[[#This Row],[Start Date]]))</f>
        <v>WK_31</v>
      </c>
      <c r="J645" s="12">
        <v>45870.67560185185</v>
      </c>
      <c r="K645" s="10">
        <v>37</v>
      </c>
      <c r="L645" s="10" t="s">
        <v>25</v>
      </c>
      <c r="M645" s="10" t="s">
        <v>75</v>
      </c>
      <c r="N645" s="13">
        <f t="shared" si="10"/>
        <v>0.05</v>
      </c>
      <c r="O645" s="14" t="s">
        <v>50</v>
      </c>
      <c r="P645" s="14" t="s">
        <v>50</v>
      </c>
      <c r="Q645" s="14"/>
      <c r="R645" s="14"/>
      <c r="S645" s="14" t="s">
        <v>2238</v>
      </c>
      <c r="T645" s="14" t="s">
        <v>2239</v>
      </c>
      <c r="U645" s="15">
        <v>9.3799999999999994E-2</v>
      </c>
      <c r="V645" s="10">
        <v>1</v>
      </c>
    </row>
    <row r="646" spans="1:22" ht="18" customHeight="1" x14ac:dyDescent="0.35">
      <c r="A646" s="10" t="s">
        <v>86</v>
      </c>
      <c r="B646" s="10" t="s">
        <v>3169</v>
      </c>
      <c r="C646" s="11" t="s">
        <v>2935</v>
      </c>
      <c r="D646" s="11" t="s">
        <v>24</v>
      </c>
      <c r="E646" s="12">
        <v>45870.499479166669</v>
      </c>
      <c r="F646" s="10" t="str">
        <f>TEXT(events[[#This Row],[Start Date]],"DDD")</f>
        <v>Fri</v>
      </c>
      <c r="G646" s="10">
        <f>YEAR(events[[#This Row],[Start Date]])</f>
        <v>2025</v>
      </c>
      <c r="H646" s="10" t="str">
        <f>TEXT(events[[#This Row],[Start Date]],"mmm")</f>
        <v>Aug</v>
      </c>
      <c r="I646" s="10" t="str">
        <f>CONCATENATE("WK_",WEEKNUM(events[[#This Row],[Start Date]]))</f>
        <v>WK_31</v>
      </c>
      <c r="J646" s="12">
        <v>45870.499490740738</v>
      </c>
      <c r="K646" s="10">
        <v>32</v>
      </c>
      <c r="L646" s="10" t="s">
        <v>25</v>
      </c>
      <c r="M646" s="10" t="s">
        <v>26</v>
      </c>
      <c r="N646" s="13">
        <f t="shared" si="10"/>
        <v>1.6666666666666666E-2</v>
      </c>
      <c r="O646" s="14" t="s">
        <v>38</v>
      </c>
      <c r="P646" s="14" t="s">
        <v>38</v>
      </c>
      <c r="Q646" s="14"/>
      <c r="R646" s="14"/>
      <c r="S646" s="14" t="s">
        <v>2223</v>
      </c>
      <c r="T646" s="14" t="s">
        <v>2224</v>
      </c>
      <c r="U646" s="15">
        <v>0</v>
      </c>
      <c r="V646" s="10">
        <v>1</v>
      </c>
    </row>
    <row r="647" spans="1:22" ht="18" customHeight="1" x14ac:dyDescent="0.35">
      <c r="A647" s="10" t="s">
        <v>23</v>
      </c>
      <c r="B647" s="10" t="s">
        <v>3209</v>
      </c>
      <c r="C647" s="11" t="s">
        <v>2977</v>
      </c>
      <c r="D647" s="11" t="s">
        <v>24</v>
      </c>
      <c r="E647" s="12">
        <v>45870.225914351853</v>
      </c>
      <c r="F647" s="10" t="str">
        <f>TEXT(events[[#This Row],[Start Date]],"DDD")</f>
        <v>Fri</v>
      </c>
      <c r="G647" s="10">
        <f>YEAR(events[[#This Row],[Start Date]])</f>
        <v>2025</v>
      </c>
      <c r="H647" s="10" t="str">
        <f>TEXT(events[[#This Row],[Start Date]],"mmm")</f>
        <v>Aug</v>
      </c>
      <c r="I647" s="10" t="str">
        <f>CONCATENATE("WK_",WEEKNUM(events[[#This Row],[Start Date]]))</f>
        <v>WK_31</v>
      </c>
      <c r="J647" s="12">
        <v>45870.225960648146</v>
      </c>
      <c r="K647" s="10">
        <v>35</v>
      </c>
      <c r="L647" s="10" t="s">
        <v>25</v>
      </c>
      <c r="M647" s="10" t="s">
        <v>275</v>
      </c>
      <c r="N647" s="13">
        <f t="shared" si="10"/>
        <v>6.6666666666666666E-2</v>
      </c>
      <c r="O647" s="14" t="s">
        <v>27</v>
      </c>
      <c r="P647" s="14" t="s">
        <v>27</v>
      </c>
      <c r="Q647" s="14"/>
      <c r="R647" s="14"/>
      <c r="S647" s="14" t="s">
        <v>2196</v>
      </c>
      <c r="T647" s="14" t="s">
        <v>2197</v>
      </c>
      <c r="U647" s="15">
        <v>9.3700000000000006E-2</v>
      </c>
      <c r="V647" s="10">
        <v>1</v>
      </c>
    </row>
    <row r="648" spans="1:22" ht="18" customHeight="1" x14ac:dyDescent="0.35">
      <c r="A648" s="10" t="s">
        <v>23</v>
      </c>
      <c r="B648" s="10" t="s">
        <v>3226</v>
      </c>
      <c r="C648" s="11" t="s">
        <v>2994</v>
      </c>
      <c r="D648" s="11" t="s">
        <v>35</v>
      </c>
      <c r="E648" s="12">
        <v>45869.958333333336</v>
      </c>
      <c r="F648" s="10" t="str">
        <f>TEXT(events[[#This Row],[Start Date]],"DDD")</f>
        <v>Thu</v>
      </c>
      <c r="G648" s="10">
        <f>YEAR(events[[#This Row],[Start Date]])</f>
        <v>2025</v>
      </c>
      <c r="H648" s="10" t="str">
        <f>TEXT(events[[#This Row],[Start Date]],"mmm")</f>
        <v>Jul</v>
      </c>
      <c r="I648" s="10" t="str">
        <f>CONCATENATE("WK_",WEEKNUM(events[[#This Row],[Start Date]]))</f>
        <v>WK_31</v>
      </c>
      <c r="J648" s="12">
        <v>45869.965775462966</v>
      </c>
      <c r="K648" s="10">
        <v>257</v>
      </c>
      <c r="L648" s="10" t="s">
        <v>36</v>
      </c>
      <c r="M648" s="10" t="s">
        <v>2160</v>
      </c>
      <c r="N648" s="13">
        <f t="shared" si="10"/>
        <v>10.716666666666667</v>
      </c>
      <c r="O648" s="14" t="s">
        <v>142</v>
      </c>
      <c r="P648" s="14" t="s">
        <v>142</v>
      </c>
      <c r="Q648" s="14"/>
      <c r="R648" s="14"/>
      <c r="S648" s="14" t="s">
        <v>2161</v>
      </c>
      <c r="T648" s="14" t="s">
        <v>2162</v>
      </c>
      <c r="U648" s="15">
        <v>1</v>
      </c>
      <c r="V648" s="10">
        <v>1</v>
      </c>
    </row>
    <row r="649" spans="1:22" ht="18" customHeight="1" x14ac:dyDescent="0.35">
      <c r="A649" s="10" t="s">
        <v>86</v>
      </c>
      <c r="B649" s="10" t="s">
        <v>3320</v>
      </c>
      <c r="C649" s="11" t="s">
        <v>2978</v>
      </c>
      <c r="D649" s="11" t="s">
        <v>24</v>
      </c>
      <c r="E649" s="12">
        <v>45869.851689814815</v>
      </c>
      <c r="F649" s="10" t="str">
        <f>TEXT(events[[#This Row],[Start Date]],"DDD")</f>
        <v>Thu</v>
      </c>
      <c r="G649" s="10">
        <f>YEAR(events[[#This Row],[Start Date]])</f>
        <v>2025</v>
      </c>
      <c r="H649" s="10" t="str">
        <f>TEXT(events[[#This Row],[Start Date]],"mmm")</f>
        <v>Jul</v>
      </c>
      <c r="I649" s="10" t="str">
        <f>CONCATENATE("WK_",WEEKNUM(events[[#This Row],[Start Date]]))</f>
        <v>WK_31</v>
      </c>
      <c r="J649" s="12">
        <v>45869.851817129631</v>
      </c>
      <c r="K649" s="10">
        <v>37</v>
      </c>
      <c r="L649" s="10" t="s">
        <v>25</v>
      </c>
      <c r="M649" s="10" t="s">
        <v>212</v>
      </c>
      <c r="N649" s="13">
        <f t="shared" si="10"/>
        <v>0.18333333333333332</v>
      </c>
      <c r="O649" s="14" t="s">
        <v>27</v>
      </c>
      <c r="P649" s="14" t="s">
        <v>27</v>
      </c>
      <c r="Q649" s="14"/>
      <c r="R649" s="14"/>
      <c r="S649" s="14" t="s">
        <v>2236</v>
      </c>
      <c r="T649" s="14" t="s">
        <v>2237</v>
      </c>
      <c r="U649" s="15">
        <v>9.3700000000000006E-2</v>
      </c>
      <c r="V649" s="10">
        <v>1</v>
      </c>
    </row>
    <row r="650" spans="1:22" ht="18" customHeight="1" x14ac:dyDescent="0.35">
      <c r="A650" s="10" t="s">
        <v>86</v>
      </c>
      <c r="B650" s="10" t="s">
        <v>3320</v>
      </c>
      <c r="C650" s="11" t="s">
        <v>2978</v>
      </c>
      <c r="D650" s="11" t="s">
        <v>24</v>
      </c>
      <c r="E650" s="12">
        <v>45869.849629629629</v>
      </c>
      <c r="F650" s="10" t="str">
        <f>TEXT(events[[#This Row],[Start Date]],"DDD")</f>
        <v>Thu</v>
      </c>
      <c r="G650" s="10">
        <f>YEAR(events[[#This Row],[Start Date]])</f>
        <v>2025</v>
      </c>
      <c r="H650" s="10" t="str">
        <f>TEXT(events[[#This Row],[Start Date]],"mmm")</f>
        <v>Jul</v>
      </c>
      <c r="I650" s="10" t="str">
        <f>CONCATENATE("WK_",WEEKNUM(events[[#This Row],[Start Date]]))</f>
        <v>WK_31</v>
      </c>
      <c r="J650" s="12">
        <v>45869.849629629629</v>
      </c>
      <c r="K650" s="10">
        <v>31</v>
      </c>
      <c r="L650" s="10" t="s">
        <v>25</v>
      </c>
      <c r="M650" s="10" t="s">
        <v>87</v>
      </c>
      <c r="N650" s="13">
        <f t="shared" si="10"/>
        <v>0</v>
      </c>
      <c r="O650" s="14" t="s">
        <v>27</v>
      </c>
      <c r="P650" s="14" t="s">
        <v>27</v>
      </c>
      <c r="Q650" s="14"/>
      <c r="R650" s="14"/>
      <c r="S650" s="14" t="s">
        <v>2235</v>
      </c>
      <c r="T650" s="14" t="s">
        <v>2235</v>
      </c>
      <c r="U650" s="15">
        <v>0</v>
      </c>
      <c r="V650" s="10">
        <v>1</v>
      </c>
    </row>
    <row r="651" spans="1:22" ht="18" customHeight="1" x14ac:dyDescent="0.35">
      <c r="A651" s="10" t="s">
        <v>86</v>
      </c>
      <c r="B651" s="10" t="s">
        <v>3320</v>
      </c>
      <c r="C651" s="11" t="s">
        <v>2978</v>
      </c>
      <c r="D651" s="11" t="s">
        <v>24</v>
      </c>
      <c r="E651" s="12">
        <v>45869.849479166667</v>
      </c>
      <c r="F651" s="10" t="str">
        <f>TEXT(events[[#This Row],[Start Date]],"DDD")</f>
        <v>Thu</v>
      </c>
      <c r="G651" s="10">
        <f>YEAR(events[[#This Row],[Start Date]])</f>
        <v>2025</v>
      </c>
      <c r="H651" s="10" t="str">
        <f>TEXT(events[[#This Row],[Start Date]],"mmm")</f>
        <v>Jul</v>
      </c>
      <c r="I651" s="10" t="str">
        <f>CONCATENATE("WK_",WEEKNUM(events[[#This Row],[Start Date]]))</f>
        <v>WK_31</v>
      </c>
      <c r="J651" s="12">
        <v>45869.849490740744</v>
      </c>
      <c r="K651" s="10">
        <v>32</v>
      </c>
      <c r="L651" s="10" t="s">
        <v>25</v>
      </c>
      <c r="M651" s="10" t="s">
        <v>26</v>
      </c>
      <c r="N651" s="13">
        <f t="shared" si="10"/>
        <v>1.6666666666666666E-2</v>
      </c>
      <c r="O651" s="14" t="s">
        <v>27</v>
      </c>
      <c r="P651" s="14" t="s">
        <v>27</v>
      </c>
      <c r="Q651" s="14"/>
      <c r="R651" s="14"/>
      <c r="S651" s="14" t="s">
        <v>2233</v>
      </c>
      <c r="T651" s="14" t="s">
        <v>2234</v>
      </c>
      <c r="U651" s="15">
        <v>0</v>
      </c>
      <c r="V651" s="10">
        <v>1</v>
      </c>
    </row>
    <row r="652" spans="1:22" ht="18" customHeight="1" x14ac:dyDescent="0.35">
      <c r="A652" s="10" t="s">
        <v>86</v>
      </c>
      <c r="B652" s="10" t="s">
        <v>3320</v>
      </c>
      <c r="C652" s="11" t="s">
        <v>2978</v>
      </c>
      <c r="D652" s="11" t="s">
        <v>24</v>
      </c>
      <c r="E652" s="12">
        <v>45869.84134259259</v>
      </c>
      <c r="F652" s="10" t="str">
        <f>TEXT(events[[#This Row],[Start Date]],"DDD")</f>
        <v>Thu</v>
      </c>
      <c r="G652" s="10">
        <f>YEAR(events[[#This Row],[Start Date]])</f>
        <v>2025</v>
      </c>
      <c r="H652" s="10" t="str">
        <f>TEXT(events[[#This Row],[Start Date]],"mmm")</f>
        <v>Jul</v>
      </c>
      <c r="I652" s="10" t="str">
        <f>CONCATENATE("WK_",WEEKNUM(events[[#This Row],[Start Date]]))</f>
        <v>WK_31</v>
      </c>
      <c r="J652" s="12">
        <v>45869.841377314813</v>
      </c>
      <c r="K652" s="10">
        <v>37</v>
      </c>
      <c r="L652" s="10" t="s">
        <v>25</v>
      </c>
      <c r="M652" s="10" t="s">
        <v>75</v>
      </c>
      <c r="N652" s="13">
        <f t="shared" si="10"/>
        <v>0.05</v>
      </c>
      <c r="O652" s="14" t="s">
        <v>27</v>
      </c>
      <c r="P652" s="14" t="s">
        <v>27</v>
      </c>
      <c r="Q652" s="14"/>
      <c r="R652" s="14"/>
      <c r="S652" s="14" t="s">
        <v>2231</v>
      </c>
      <c r="T652" s="14" t="s">
        <v>2232</v>
      </c>
      <c r="U652" s="15">
        <v>0.125</v>
      </c>
      <c r="V652" s="10">
        <v>1</v>
      </c>
    </row>
    <row r="653" spans="1:22" ht="18" customHeight="1" x14ac:dyDescent="0.35">
      <c r="A653" s="10" t="s">
        <v>86</v>
      </c>
      <c r="B653" s="10" t="s">
        <v>3320</v>
      </c>
      <c r="C653" s="11" t="s">
        <v>2978</v>
      </c>
      <c r="D653" s="11" t="s">
        <v>24</v>
      </c>
      <c r="E653" s="12">
        <v>45869.83761574074</v>
      </c>
      <c r="F653" s="10" t="str">
        <f>TEXT(events[[#This Row],[Start Date]],"DDD")</f>
        <v>Thu</v>
      </c>
      <c r="G653" s="10">
        <f>YEAR(events[[#This Row],[Start Date]])</f>
        <v>2025</v>
      </c>
      <c r="H653" s="10" t="str">
        <f>TEXT(events[[#This Row],[Start Date]],"mmm")</f>
        <v>Jul</v>
      </c>
      <c r="I653" s="10" t="str">
        <f>CONCATENATE("WK_",WEEKNUM(events[[#This Row],[Start Date]]))</f>
        <v>WK_31</v>
      </c>
      <c r="J653" s="12">
        <v>45869.83798611111</v>
      </c>
      <c r="K653" s="10">
        <v>38</v>
      </c>
      <c r="L653" s="10" t="s">
        <v>25</v>
      </c>
      <c r="M653" s="10" t="s">
        <v>1146</v>
      </c>
      <c r="N653" s="13">
        <f t="shared" si="10"/>
        <v>0.53333333333333333</v>
      </c>
      <c r="O653" s="14" t="s">
        <v>27</v>
      </c>
      <c r="P653" s="14" t="s">
        <v>27</v>
      </c>
      <c r="Q653" s="14"/>
      <c r="R653" s="14"/>
      <c r="S653" s="14" t="s">
        <v>2229</v>
      </c>
      <c r="T653" s="14" t="s">
        <v>2230</v>
      </c>
      <c r="U653" s="15">
        <v>0.3125</v>
      </c>
      <c r="V653" s="10">
        <v>1</v>
      </c>
    </row>
    <row r="654" spans="1:22" ht="18" customHeight="1" x14ac:dyDescent="0.35">
      <c r="A654" s="10" t="s">
        <v>123</v>
      </c>
      <c r="B654" s="10" t="s">
        <v>3303</v>
      </c>
      <c r="C654" s="11" t="s">
        <v>3089</v>
      </c>
      <c r="D654" s="11" t="s">
        <v>74</v>
      </c>
      <c r="E654" s="12">
        <v>45869.724803240744</v>
      </c>
      <c r="F654" s="10" t="str">
        <f>TEXT(events[[#This Row],[Start Date]],"DDD")</f>
        <v>Thu</v>
      </c>
      <c r="G654" s="10">
        <f>YEAR(events[[#This Row],[Start Date]])</f>
        <v>2025</v>
      </c>
      <c r="H654" s="10" t="str">
        <f>TEXT(events[[#This Row],[Start Date]],"mmm")</f>
        <v>Jul</v>
      </c>
      <c r="I654" s="10" t="str">
        <f>CONCATENATE("WK_",WEEKNUM(events[[#This Row],[Start Date]]))</f>
        <v>WK_31</v>
      </c>
      <c r="J654" s="12">
        <v>45869.725104166668</v>
      </c>
      <c r="K654" s="10">
        <v>95</v>
      </c>
      <c r="L654" s="10" t="s">
        <v>25</v>
      </c>
      <c r="M654" s="10" t="s">
        <v>222</v>
      </c>
      <c r="N654" s="13">
        <f t="shared" si="10"/>
        <v>0.43333333333333335</v>
      </c>
      <c r="O654" s="14"/>
      <c r="P654" s="14" t="s">
        <v>2263</v>
      </c>
      <c r="Q654" s="14"/>
      <c r="R654" s="14"/>
      <c r="S654" s="14" t="s">
        <v>2264</v>
      </c>
      <c r="T654" s="14" t="s">
        <v>2265</v>
      </c>
      <c r="U654" s="15">
        <v>1</v>
      </c>
      <c r="V654" s="10">
        <v>1</v>
      </c>
    </row>
    <row r="655" spans="1:22" ht="18" customHeight="1" x14ac:dyDescent="0.35">
      <c r="A655" s="10" t="s">
        <v>86</v>
      </c>
      <c r="B655" s="10" t="s">
        <v>3188</v>
      </c>
      <c r="C655" s="11" t="s">
        <v>2956</v>
      </c>
      <c r="D655" s="11" t="s">
        <v>24</v>
      </c>
      <c r="E655" s="12">
        <v>45869.713622685187</v>
      </c>
      <c r="F655" s="10" t="str">
        <f>TEXT(events[[#This Row],[Start Date]],"DDD")</f>
        <v>Thu</v>
      </c>
      <c r="G655" s="10">
        <f>YEAR(events[[#This Row],[Start Date]])</f>
        <v>2025</v>
      </c>
      <c r="H655" s="10" t="str">
        <f>TEXT(events[[#This Row],[Start Date]],"mmm")</f>
        <v>Jul</v>
      </c>
      <c r="I655" s="10" t="str">
        <f>CONCATENATE("WK_",WEEKNUM(events[[#This Row],[Start Date]]))</f>
        <v>WK_31</v>
      </c>
      <c r="J655" s="12">
        <v>45869.71365740741</v>
      </c>
      <c r="K655" s="10">
        <v>32</v>
      </c>
      <c r="L655" s="10" t="s">
        <v>25</v>
      </c>
      <c r="M655" s="10" t="s">
        <v>75</v>
      </c>
      <c r="N655" s="13">
        <f t="shared" si="10"/>
        <v>0.05</v>
      </c>
      <c r="O655" s="14" t="s">
        <v>142</v>
      </c>
      <c r="P655" s="14" t="s">
        <v>142</v>
      </c>
      <c r="Q655" s="14"/>
      <c r="R655" s="14"/>
      <c r="S655" s="14" t="s">
        <v>2212</v>
      </c>
      <c r="T655" s="14" t="s">
        <v>2213</v>
      </c>
      <c r="U655" s="15">
        <v>9.7600000000000006E-2</v>
      </c>
      <c r="V655" s="10">
        <v>1</v>
      </c>
    </row>
    <row r="656" spans="1:22" ht="18" customHeight="1" x14ac:dyDescent="0.35">
      <c r="A656" s="10" t="s">
        <v>123</v>
      </c>
      <c r="B656" s="10" t="s">
        <v>3283</v>
      </c>
      <c r="C656" s="11" t="s">
        <v>3067</v>
      </c>
      <c r="D656" s="11" t="s">
        <v>74</v>
      </c>
      <c r="E656" s="12">
        <v>45868.733865740738</v>
      </c>
      <c r="F656" s="10" t="str">
        <f>TEXT(events[[#This Row],[Start Date]],"DDD")</f>
        <v>Wed</v>
      </c>
      <c r="G656" s="10">
        <f>YEAR(events[[#This Row],[Start Date]])</f>
        <v>2025</v>
      </c>
      <c r="H656" s="10" t="str">
        <f>TEXT(events[[#This Row],[Start Date]],"mmm")</f>
        <v>Jul</v>
      </c>
      <c r="I656" s="10" t="str">
        <f>CONCATENATE("WK_",WEEKNUM(events[[#This Row],[Start Date]]))</f>
        <v>WK_31</v>
      </c>
      <c r="J656" s="12">
        <v>45868.734178240738</v>
      </c>
      <c r="K656" s="10">
        <v>93</v>
      </c>
      <c r="L656" s="10" t="s">
        <v>36</v>
      </c>
      <c r="M656" s="10" t="s">
        <v>222</v>
      </c>
      <c r="N656" s="13">
        <f t="shared" si="10"/>
        <v>0.43333333333333335</v>
      </c>
      <c r="O656" s="14"/>
      <c r="P656" s="14"/>
      <c r="Q656" s="14"/>
      <c r="R656" s="14"/>
      <c r="S656" s="14" t="s">
        <v>2373</v>
      </c>
      <c r="T656" s="14" t="s">
        <v>2374</v>
      </c>
      <c r="U656" s="15">
        <v>1</v>
      </c>
      <c r="V656" s="10">
        <v>1</v>
      </c>
    </row>
    <row r="657" spans="1:22" ht="18" customHeight="1" x14ac:dyDescent="0.35">
      <c r="A657" s="10" t="s">
        <v>86</v>
      </c>
      <c r="B657" s="10" t="s">
        <v>3188</v>
      </c>
      <c r="C657" s="11" t="s">
        <v>2956</v>
      </c>
      <c r="D657" s="11" t="s">
        <v>24</v>
      </c>
      <c r="E657" s="12">
        <v>45868.685995370368</v>
      </c>
      <c r="F657" s="10" t="str">
        <f>TEXT(events[[#This Row],[Start Date]],"DDD")</f>
        <v>Wed</v>
      </c>
      <c r="G657" s="10">
        <f>YEAR(events[[#This Row],[Start Date]])</f>
        <v>2025</v>
      </c>
      <c r="H657" s="10" t="str">
        <f>TEXT(events[[#This Row],[Start Date]],"mmm")</f>
        <v>Jul</v>
      </c>
      <c r="I657" s="10" t="str">
        <f>CONCATENATE("WK_",WEEKNUM(events[[#This Row],[Start Date]]))</f>
        <v>WK_31</v>
      </c>
      <c r="J657" s="12">
        <v>45868.686342592591</v>
      </c>
      <c r="K657" s="10">
        <v>33</v>
      </c>
      <c r="L657" s="10" t="s">
        <v>25</v>
      </c>
      <c r="M657" s="10" t="s">
        <v>999</v>
      </c>
      <c r="N657" s="13">
        <f t="shared" si="10"/>
        <v>0.5</v>
      </c>
      <c r="O657" s="14" t="s">
        <v>458</v>
      </c>
      <c r="P657" s="14" t="s">
        <v>458</v>
      </c>
      <c r="Q657" s="14"/>
      <c r="R657" s="14"/>
      <c r="S657" s="14" t="s">
        <v>2333</v>
      </c>
      <c r="T657" s="14" t="s">
        <v>2334</v>
      </c>
      <c r="U657" s="15">
        <v>0.30080000000000001</v>
      </c>
      <c r="V657" s="10">
        <v>1</v>
      </c>
    </row>
    <row r="658" spans="1:22" ht="18" customHeight="1" x14ac:dyDescent="0.35">
      <c r="A658" s="10" t="s">
        <v>86</v>
      </c>
      <c r="B658" s="10" t="s">
        <v>3205</v>
      </c>
      <c r="C658" s="11" t="s">
        <v>2973</v>
      </c>
      <c r="D658" s="11" t="s">
        <v>24</v>
      </c>
      <c r="E658" s="12">
        <v>45868.664479166669</v>
      </c>
      <c r="F658" s="10" t="str">
        <f>TEXT(events[[#This Row],[Start Date]],"DDD")</f>
        <v>Wed</v>
      </c>
      <c r="G658" s="10">
        <f>YEAR(events[[#This Row],[Start Date]])</f>
        <v>2025</v>
      </c>
      <c r="H658" s="10" t="str">
        <f>TEXT(events[[#This Row],[Start Date]],"mmm")</f>
        <v>Jul</v>
      </c>
      <c r="I658" s="10" t="str">
        <f>CONCATENATE("WK_",WEEKNUM(events[[#This Row],[Start Date]]))</f>
        <v>WK_31</v>
      </c>
      <c r="J658" s="12">
        <v>45868.664629629631</v>
      </c>
      <c r="K658" s="10">
        <v>35</v>
      </c>
      <c r="L658" s="10" t="s">
        <v>25</v>
      </c>
      <c r="M658" s="10" t="s">
        <v>167</v>
      </c>
      <c r="N658" s="13">
        <f t="shared" si="10"/>
        <v>0.21666666666666667</v>
      </c>
      <c r="O658" s="14" t="s">
        <v>231</v>
      </c>
      <c r="P658" s="14" t="s">
        <v>231</v>
      </c>
      <c r="Q658" s="14"/>
      <c r="R658" s="14"/>
      <c r="S658" s="14" t="s">
        <v>2363</v>
      </c>
      <c r="T658" s="14" t="s">
        <v>2364</v>
      </c>
      <c r="U658" s="15">
        <v>9.3700000000000006E-2</v>
      </c>
      <c r="V658" s="10">
        <v>1</v>
      </c>
    </row>
    <row r="659" spans="1:22" ht="18" customHeight="1" x14ac:dyDescent="0.35">
      <c r="A659" s="10" t="s">
        <v>47</v>
      </c>
      <c r="B659" s="10" t="s">
        <v>3321</v>
      </c>
      <c r="C659" s="11" t="s">
        <v>3110</v>
      </c>
      <c r="D659" s="11" t="s">
        <v>74</v>
      </c>
      <c r="E659" s="12">
        <v>45868.565185185187</v>
      </c>
      <c r="F659" s="10" t="str">
        <f>TEXT(events[[#This Row],[Start Date]],"DDD")</f>
        <v>Wed</v>
      </c>
      <c r="G659" s="10">
        <f>YEAR(events[[#This Row],[Start Date]])</f>
        <v>2025</v>
      </c>
      <c r="H659" s="10" t="str">
        <f>TEXT(events[[#This Row],[Start Date]],"mmm")</f>
        <v>Jul</v>
      </c>
      <c r="I659" s="10" t="str">
        <f>CONCATENATE("WK_",WEEKNUM(events[[#This Row],[Start Date]]))</f>
        <v>WK_31</v>
      </c>
      <c r="J659" s="12">
        <v>45868.56521990741</v>
      </c>
      <c r="K659" s="10">
        <v>83</v>
      </c>
      <c r="L659" s="10" t="s">
        <v>25</v>
      </c>
      <c r="M659" s="10" t="s">
        <v>75</v>
      </c>
      <c r="N659" s="13">
        <f t="shared" si="10"/>
        <v>0.05</v>
      </c>
      <c r="O659" s="14" t="s">
        <v>92</v>
      </c>
      <c r="P659" s="14" t="s">
        <v>92</v>
      </c>
      <c r="Q659" s="14"/>
      <c r="R659" s="14"/>
      <c r="S659" s="14" t="s">
        <v>2316</v>
      </c>
      <c r="T659" s="14" t="s">
        <v>2317</v>
      </c>
      <c r="U659" s="15">
        <v>9.3700000000000006E-2</v>
      </c>
      <c r="V659" s="10">
        <v>1</v>
      </c>
    </row>
    <row r="660" spans="1:22" ht="18" customHeight="1" x14ac:dyDescent="0.35">
      <c r="A660" s="10" t="s">
        <v>86</v>
      </c>
      <c r="B660" s="10" t="s">
        <v>3188</v>
      </c>
      <c r="C660" s="11" t="s">
        <v>2956</v>
      </c>
      <c r="D660" s="11" t="s">
        <v>24</v>
      </c>
      <c r="E660" s="12">
        <v>45868.34039351852</v>
      </c>
      <c r="F660" s="10" t="str">
        <f>TEXT(events[[#This Row],[Start Date]],"DDD")</f>
        <v>Wed</v>
      </c>
      <c r="G660" s="10">
        <f>YEAR(events[[#This Row],[Start Date]])</f>
        <v>2025</v>
      </c>
      <c r="H660" s="10" t="str">
        <f>TEXT(events[[#This Row],[Start Date]],"mmm")</f>
        <v>Jul</v>
      </c>
      <c r="I660" s="10" t="str">
        <f>CONCATENATE("WK_",WEEKNUM(events[[#This Row],[Start Date]]))</f>
        <v>WK_31</v>
      </c>
      <c r="J660" s="12">
        <v>45868.340416666666</v>
      </c>
      <c r="K660" s="10">
        <v>31</v>
      </c>
      <c r="L660" s="10" t="s">
        <v>25</v>
      </c>
      <c r="M660" s="10" t="s">
        <v>31</v>
      </c>
      <c r="N660" s="13">
        <f t="shared" si="10"/>
        <v>3.3333333333333333E-2</v>
      </c>
      <c r="O660" s="14" t="s">
        <v>27</v>
      </c>
      <c r="P660" s="14" t="s">
        <v>27</v>
      </c>
      <c r="Q660" s="14"/>
      <c r="R660" s="14"/>
      <c r="S660" s="14" t="s">
        <v>2331</v>
      </c>
      <c r="T660" s="14" t="s">
        <v>2332</v>
      </c>
      <c r="U660" s="15">
        <v>0</v>
      </c>
      <c r="V660" s="10">
        <v>1</v>
      </c>
    </row>
    <row r="661" spans="1:22" ht="18" customHeight="1" x14ac:dyDescent="0.35">
      <c r="A661" s="10" t="s">
        <v>47</v>
      </c>
      <c r="B661" s="10" t="s">
        <v>3322</v>
      </c>
      <c r="C661" s="11" t="s">
        <v>3111</v>
      </c>
      <c r="D661" s="11" t="s">
        <v>24</v>
      </c>
      <c r="E661" s="12">
        <v>45867.507245370369</v>
      </c>
      <c r="F661" s="10" t="str">
        <f>TEXT(events[[#This Row],[Start Date]],"DDD")</f>
        <v>Tue</v>
      </c>
      <c r="G661" s="10">
        <f>YEAR(events[[#This Row],[Start Date]])</f>
        <v>2025</v>
      </c>
      <c r="H661" s="10" t="str">
        <f>TEXT(events[[#This Row],[Start Date]],"mmm")</f>
        <v>Jul</v>
      </c>
      <c r="I661" s="10" t="str">
        <f>CONCATENATE("WK_",WEEKNUM(events[[#This Row],[Start Date]]))</f>
        <v>WK_31</v>
      </c>
      <c r="J661" s="12">
        <v>45867.507314814815</v>
      </c>
      <c r="K661" s="10">
        <v>46</v>
      </c>
      <c r="L661" s="10" t="s">
        <v>25</v>
      </c>
      <c r="M661" s="10" t="s">
        <v>328</v>
      </c>
      <c r="N661" s="13">
        <f t="shared" si="10"/>
        <v>0.1</v>
      </c>
      <c r="O661" s="14" t="s">
        <v>92</v>
      </c>
      <c r="P661" s="14" t="s">
        <v>92</v>
      </c>
      <c r="Q661" s="14"/>
      <c r="R661" s="14"/>
      <c r="S661" s="14" t="s">
        <v>2318</v>
      </c>
      <c r="T661" s="14" t="s">
        <v>2319</v>
      </c>
      <c r="U661" s="15">
        <v>0.10929999999999999</v>
      </c>
      <c r="V661" s="10">
        <v>1</v>
      </c>
    </row>
    <row r="662" spans="1:22" ht="18" customHeight="1" x14ac:dyDescent="0.35">
      <c r="A662" s="10" t="s">
        <v>123</v>
      </c>
      <c r="B662" s="10" t="s">
        <v>3312</v>
      </c>
      <c r="C662" s="11" t="s">
        <v>3102</v>
      </c>
      <c r="D662" s="11" t="s">
        <v>74</v>
      </c>
      <c r="E662" s="12">
        <v>45867.313622685186</v>
      </c>
      <c r="F662" s="10" t="str">
        <f>TEXT(events[[#This Row],[Start Date]],"DDD")</f>
        <v>Tue</v>
      </c>
      <c r="G662" s="10">
        <f>YEAR(events[[#This Row],[Start Date]])</f>
        <v>2025</v>
      </c>
      <c r="H662" s="10" t="str">
        <f>TEXT(events[[#This Row],[Start Date]],"mmm")</f>
        <v>Jul</v>
      </c>
      <c r="I662" s="10" t="str">
        <f>CONCATENATE("WK_",WEEKNUM(events[[#This Row],[Start Date]]))</f>
        <v>WK_31</v>
      </c>
      <c r="J662" s="12">
        <v>45867.314432870371</v>
      </c>
      <c r="K662" s="10">
        <v>102</v>
      </c>
      <c r="L662" s="10" t="s">
        <v>36</v>
      </c>
      <c r="M662" s="10" t="s">
        <v>712</v>
      </c>
      <c r="N662" s="13">
        <f t="shared" si="10"/>
        <v>1.1499999999999999</v>
      </c>
      <c r="O662" s="14"/>
      <c r="P662" s="14"/>
      <c r="Q662" s="14"/>
      <c r="R662" s="14"/>
      <c r="S662" s="14" t="s">
        <v>2387</v>
      </c>
      <c r="T662" s="14" t="s">
        <v>2388</v>
      </c>
      <c r="U662" s="15">
        <v>2</v>
      </c>
      <c r="V662" s="10">
        <v>1</v>
      </c>
    </row>
    <row r="663" spans="1:22" ht="18" customHeight="1" x14ac:dyDescent="0.35">
      <c r="A663" s="10" t="s">
        <v>86</v>
      </c>
      <c r="B663" s="10" t="s">
        <v>3313</v>
      </c>
      <c r="C663" s="11" t="s">
        <v>3112</v>
      </c>
      <c r="D663" s="11" t="s">
        <v>35</v>
      </c>
      <c r="E663" s="12">
        <v>45866.984618055554</v>
      </c>
      <c r="F663" s="10" t="str">
        <f>TEXT(events[[#This Row],[Start Date]],"DDD")</f>
        <v>Mon</v>
      </c>
      <c r="G663" s="10">
        <f>YEAR(events[[#This Row],[Start Date]])</f>
        <v>2025</v>
      </c>
      <c r="H663" s="10" t="str">
        <f>TEXT(events[[#This Row],[Start Date]],"mmm")</f>
        <v>Jul</v>
      </c>
      <c r="I663" s="10" t="str">
        <f>CONCATENATE("WK_",WEEKNUM(events[[#This Row],[Start Date]]))</f>
        <v>WK_31</v>
      </c>
      <c r="J663" s="12">
        <v>45867.01666666667</v>
      </c>
      <c r="K663" s="10">
        <v>8</v>
      </c>
      <c r="L663" s="10" t="s">
        <v>36</v>
      </c>
      <c r="M663" s="10" t="s">
        <v>2360</v>
      </c>
      <c r="N663" s="13">
        <f t="shared" si="10"/>
        <v>46.15</v>
      </c>
      <c r="O663" s="14" t="s">
        <v>209</v>
      </c>
      <c r="P663" s="14" t="s">
        <v>205</v>
      </c>
      <c r="Q663" s="14"/>
      <c r="R663" s="14"/>
      <c r="S663" s="14" t="s">
        <v>2361</v>
      </c>
      <c r="T663" s="14" t="s">
        <v>2362</v>
      </c>
      <c r="U663" s="15">
        <v>8</v>
      </c>
      <c r="V663" s="10">
        <v>1</v>
      </c>
    </row>
    <row r="664" spans="1:22" ht="18" customHeight="1" x14ac:dyDescent="0.35">
      <c r="A664" s="10" t="s">
        <v>86</v>
      </c>
      <c r="B664" s="10" t="s">
        <v>3313</v>
      </c>
      <c r="C664" s="11" t="s">
        <v>3112</v>
      </c>
      <c r="D664" s="11" t="s">
        <v>35</v>
      </c>
      <c r="E664" s="12">
        <v>45866.969178240739</v>
      </c>
      <c r="F664" s="10" t="str">
        <f>TEXT(events[[#This Row],[Start Date]],"DDD")</f>
        <v>Mon</v>
      </c>
      <c r="G664" s="10">
        <f>YEAR(events[[#This Row],[Start Date]])</f>
        <v>2025</v>
      </c>
      <c r="H664" s="10" t="str">
        <f>TEXT(events[[#This Row],[Start Date]],"mmm")</f>
        <v>Jul</v>
      </c>
      <c r="I664" s="10" t="str">
        <f>CONCATENATE("WK_",WEEKNUM(events[[#This Row],[Start Date]]))</f>
        <v>WK_31</v>
      </c>
      <c r="J664" s="12">
        <v>45866.979895833334</v>
      </c>
      <c r="K664" s="10">
        <v>1</v>
      </c>
      <c r="L664" s="10" t="s">
        <v>36</v>
      </c>
      <c r="M664" s="10" t="s">
        <v>2357</v>
      </c>
      <c r="N664" s="13">
        <f t="shared" si="10"/>
        <v>15.433333333333334</v>
      </c>
      <c r="O664" s="14" t="s">
        <v>209</v>
      </c>
      <c r="P664" s="14" t="s">
        <v>209</v>
      </c>
      <c r="Q664" s="14"/>
      <c r="R664" s="14"/>
      <c r="S664" s="14" t="s">
        <v>2358</v>
      </c>
      <c r="T664" s="14" t="s">
        <v>2359</v>
      </c>
      <c r="U664" s="15">
        <v>0</v>
      </c>
      <c r="V664" s="10">
        <v>1</v>
      </c>
    </row>
    <row r="665" spans="1:22" ht="18" customHeight="1" x14ac:dyDescent="0.35">
      <c r="A665" s="10" t="s">
        <v>86</v>
      </c>
      <c r="B665" s="10" t="s">
        <v>3236</v>
      </c>
      <c r="C665" s="11" t="s">
        <v>3113</v>
      </c>
      <c r="D665" s="11" t="s">
        <v>24</v>
      </c>
      <c r="E665" s="12">
        <v>45866.823113425926</v>
      </c>
      <c r="F665" s="10" t="str">
        <f>TEXT(events[[#This Row],[Start Date]],"DDD")</f>
        <v>Mon</v>
      </c>
      <c r="G665" s="10">
        <f>YEAR(events[[#This Row],[Start Date]])</f>
        <v>2025</v>
      </c>
      <c r="H665" s="10" t="str">
        <f>TEXT(events[[#This Row],[Start Date]],"mmm")</f>
        <v>Jul</v>
      </c>
      <c r="I665" s="10" t="str">
        <f>CONCATENATE("WK_",WEEKNUM(events[[#This Row],[Start Date]]))</f>
        <v>WK_31</v>
      </c>
      <c r="J665" s="12">
        <v>45866.823113425926</v>
      </c>
      <c r="K665" s="10">
        <v>34</v>
      </c>
      <c r="L665" s="10" t="s">
        <v>25</v>
      </c>
      <c r="M665" s="10" t="s">
        <v>87</v>
      </c>
      <c r="N665" s="13">
        <f t="shared" si="10"/>
        <v>0</v>
      </c>
      <c r="O665" s="14" t="s">
        <v>138</v>
      </c>
      <c r="P665" s="14" t="s">
        <v>138</v>
      </c>
      <c r="Q665" s="14"/>
      <c r="R665" s="14"/>
      <c r="S665" s="14" t="s">
        <v>2356</v>
      </c>
      <c r="T665" s="14" t="s">
        <v>2356</v>
      </c>
      <c r="U665" s="15">
        <v>0</v>
      </c>
      <c r="V665" s="10">
        <v>1</v>
      </c>
    </row>
    <row r="666" spans="1:22" ht="18" customHeight="1" x14ac:dyDescent="0.35">
      <c r="A666" s="10" t="s">
        <v>23</v>
      </c>
      <c r="B666" s="10" t="s">
        <v>3202</v>
      </c>
      <c r="C666" s="11" t="s">
        <v>2969</v>
      </c>
      <c r="D666" s="11" t="s">
        <v>24</v>
      </c>
      <c r="E666" s="12">
        <v>45866.642233796294</v>
      </c>
      <c r="F666" s="10" t="str">
        <f>TEXT(events[[#This Row],[Start Date]],"DDD")</f>
        <v>Mon</v>
      </c>
      <c r="G666" s="10">
        <f>YEAR(events[[#This Row],[Start Date]])</f>
        <v>2025</v>
      </c>
      <c r="H666" s="10" t="str">
        <f>TEXT(events[[#This Row],[Start Date]],"mmm")</f>
        <v>Jul</v>
      </c>
      <c r="I666" s="10" t="str">
        <f>CONCATENATE("WK_",WEEKNUM(events[[#This Row],[Start Date]]))</f>
        <v>WK_31</v>
      </c>
      <c r="J666" s="12">
        <v>45866.642245370371</v>
      </c>
      <c r="K666" s="10">
        <v>34</v>
      </c>
      <c r="L666" s="10" t="s">
        <v>25</v>
      </c>
      <c r="M666" s="10" t="s">
        <v>26</v>
      </c>
      <c r="N666" s="13">
        <f t="shared" si="10"/>
        <v>1.6666666666666666E-2</v>
      </c>
      <c r="O666" s="14" t="s">
        <v>38</v>
      </c>
      <c r="P666" s="14" t="s">
        <v>38</v>
      </c>
      <c r="Q666" s="14"/>
      <c r="R666" s="14"/>
      <c r="S666" s="14" t="s">
        <v>2314</v>
      </c>
      <c r="T666" s="14" t="s">
        <v>2315</v>
      </c>
      <c r="U666" s="15">
        <v>0</v>
      </c>
      <c r="V666" s="10">
        <v>1</v>
      </c>
    </row>
    <row r="667" spans="1:22" ht="18" customHeight="1" x14ac:dyDescent="0.35">
      <c r="A667" s="10" t="s">
        <v>86</v>
      </c>
      <c r="B667" s="10" t="s">
        <v>3176</v>
      </c>
      <c r="C667" s="11" t="s">
        <v>2989</v>
      </c>
      <c r="D667" s="11" t="s">
        <v>24</v>
      </c>
      <c r="E667" s="12">
        <v>45865.664629629631</v>
      </c>
      <c r="F667" s="10" t="str">
        <f>TEXT(events[[#This Row],[Start Date]],"DDD")</f>
        <v>Sun</v>
      </c>
      <c r="G667" s="10">
        <f>YEAR(events[[#This Row],[Start Date]])</f>
        <v>2025</v>
      </c>
      <c r="H667" s="10" t="str">
        <f>TEXT(events[[#This Row],[Start Date]],"mmm")</f>
        <v>Jul</v>
      </c>
      <c r="I667" s="10" t="str">
        <f>CONCATENATE("WK_",WEEKNUM(events[[#This Row],[Start Date]]))</f>
        <v>WK_31</v>
      </c>
      <c r="J667" s="12">
        <v>45865.66474537037</v>
      </c>
      <c r="K667" s="10">
        <v>44</v>
      </c>
      <c r="L667" s="10" t="s">
        <v>25</v>
      </c>
      <c r="M667" s="10" t="s">
        <v>250</v>
      </c>
      <c r="N667" s="13">
        <f t="shared" si="10"/>
        <v>0.16666666666666666</v>
      </c>
      <c r="O667" s="14" t="s">
        <v>65</v>
      </c>
      <c r="P667" s="14" t="s">
        <v>65</v>
      </c>
      <c r="Q667" s="14"/>
      <c r="R667" s="14"/>
      <c r="S667" s="14" t="s">
        <v>2347</v>
      </c>
      <c r="T667" s="14" t="s">
        <v>2348</v>
      </c>
      <c r="U667" s="15">
        <v>6.25E-2</v>
      </c>
      <c r="V667" s="10">
        <v>1</v>
      </c>
    </row>
    <row r="668" spans="1:22" ht="18" customHeight="1" x14ac:dyDescent="0.35">
      <c r="A668" s="10" t="s">
        <v>86</v>
      </c>
      <c r="B668" s="10" t="s">
        <v>3176</v>
      </c>
      <c r="C668" s="11" t="s">
        <v>2989</v>
      </c>
      <c r="D668" s="11" t="s">
        <v>24</v>
      </c>
      <c r="E668" s="12">
        <v>45865.663900462961</v>
      </c>
      <c r="F668" s="10" t="str">
        <f>TEXT(events[[#This Row],[Start Date]],"DDD")</f>
        <v>Sun</v>
      </c>
      <c r="G668" s="10">
        <f>YEAR(events[[#This Row],[Start Date]])</f>
        <v>2025</v>
      </c>
      <c r="H668" s="10" t="str">
        <f>TEXT(events[[#This Row],[Start Date]],"mmm")</f>
        <v>Jul</v>
      </c>
      <c r="I668" s="10" t="str">
        <f>CONCATENATE("WK_",WEEKNUM(events[[#This Row],[Start Date]]))</f>
        <v>WK_31</v>
      </c>
      <c r="J668" s="12">
        <v>45865.664502314816</v>
      </c>
      <c r="K668" s="10">
        <v>42</v>
      </c>
      <c r="L668" s="10" t="s">
        <v>25</v>
      </c>
      <c r="M668" s="10" t="s">
        <v>2344</v>
      </c>
      <c r="N668" s="13">
        <f t="shared" si="10"/>
        <v>0.8666666666666667</v>
      </c>
      <c r="O668" s="14" t="s">
        <v>65</v>
      </c>
      <c r="P668" s="14" t="s">
        <v>65</v>
      </c>
      <c r="Q668" s="14"/>
      <c r="R668" s="14"/>
      <c r="S668" s="14" t="s">
        <v>2345</v>
      </c>
      <c r="T668" s="14" t="s">
        <v>2346</v>
      </c>
      <c r="U668" s="15">
        <v>0.5625</v>
      </c>
      <c r="V668" s="10">
        <v>1</v>
      </c>
    </row>
    <row r="669" spans="1:22" ht="18" customHeight="1" x14ac:dyDescent="0.35">
      <c r="A669" s="10" t="s">
        <v>86</v>
      </c>
      <c r="B669" s="10" t="s">
        <v>3213</v>
      </c>
      <c r="C669" s="11" t="s">
        <v>3015</v>
      </c>
      <c r="D669" s="11" t="s">
        <v>35</v>
      </c>
      <c r="E669" s="12">
        <v>45865.042453703703</v>
      </c>
      <c r="F669" s="10" t="str">
        <f>TEXT(events[[#This Row],[Start Date]],"DDD")</f>
        <v>Sun</v>
      </c>
      <c r="G669" s="10">
        <f>YEAR(events[[#This Row],[Start Date]])</f>
        <v>2025</v>
      </c>
      <c r="H669" s="10" t="str">
        <f>TEXT(events[[#This Row],[Start Date]],"mmm")</f>
        <v>Jul</v>
      </c>
      <c r="I669" s="10" t="str">
        <f>CONCATENATE("WK_",WEEKNUM(events[[#This Row],[Start Date]]))</f>
        <v>WK_31</v>
      </c>
      <c r="J669" s="12">
        <v>45865.054537037038</v>
      </c>
      <c r="K669" s="10">
        <v>5</v>
      </c>
      <c r="L669" s="10" t="s">
        <v>36</v>
      </c>
      <c r="M669" s="10" t="s">
        <v>2341</v>
      </c>
      <c r="N669" s="13">
        <f t="shared" si="10"/>
        <v>17.399999999999999</v>
      </c>
      <c r="O669" s="14" t="s">
        <v>50</v>
      </c>
      <c r="P669" s="14" t="s">
        <v>50</v>
      </c>
      <c r="Q669" s="14"/>
      <c r="R669" s="14"/>
      <c r="S669" s="14" t="s">
        <v>2342</v>
      </c>
      <c r="T669" s="14" t="s">
        <v>2343</v>
      </c>
      <c r="U669" s="15">
        <v>4</v>
      </c>
      <c r="V669" s="10">
        <v>1</v>
      </c>
    </row>
    <row r="670" spans="1:22" ht="18" customHeight="1" x14ac:dyDescent="0.35">
      <c r="A670" s="10" t="s">
        <v>86</v>
      </c>
      <c r="B670" s="10" t="s">
        <v>3213</v>
      </c>
      <c r="C670" s="11" t="s">
        <v>3015</v>
      </c>
      <c r="D670" s="11" t="s">
        <v>35</v>
      </c>
      <c r="E670" s="12">
        <v>45865.004629629628</v>
      </c>
      <c r="F670" s="10" t="str">
        <f>TEXT(events[[#This Row],[Start Date]],"DDD")</f>
        <v>Sun</v>
      </c>
      <c r="G670" s="10">
        <f>YEAR(events[[#This Row],[Start Date]])</f>
        <v>2025</v>
      </c>
      <c r="H670" s="10" t="str">
        <f>TEXT(events[[#This Row],[Start Date]],"mmm")</f>
        <v>Jul</v>
      </c>
      <c r="I670" s="10" t="str">
        <f>CONCATENATE("WK_",WEEKNUM(events[[#This Row],[Start Date]]))</f>
        <v>WK_31</v>
      </c>
      <c r="J670" s="12">
        <v>45865.041932870372</v>
      </c>
      <c r="K670" s="10">
        <v>35</v>
      </c>
      <c r="L670" s="10" t="s">
        <v>36</v>
      </c>
      <c r="M670" s="10" t="s">
        <v>2338</v>
      </c>
      <c r="N670" s="13">
        <f t="shared" si="10"/>
        <v>53.716666666666669</v>
      </c>
      <c r="O670" s="14" t="s">
        <v>50</v>
      </c>
      <c r="P670" s="14" t="s">
        <v>50</v>
      </c>
      <c r="Q670" s="14"/>
      <c r="R670" s="14"/>
      <c r="S670" s="14" t="s">
        <v>2339</v>
      </c>
      <c r="T670" s="14" t="s">
        <v>2340</v>
      </c>
      <c r="U670" s="15">
        <v>35</v>
      </c>
      <c r="V670" s="10">
        <v>1</v>
      </c>
    </row>
    <row r="671" spans="1:22" ht="18" customHeight="1" x14ac:dyDescent="0.35">
      <c r="A671" s="10" t="s">
        <v>86</v>
      </c>
      <c r="B671" s="10" t="s">
        <v>3213</v>
      </c>
      <c r="C671" s="11" t="s">
        <v>3015</v>
      </c>
      <c r="D671" s="11" t="s">
        <v>35</v>
      </c>
      <c r="E671" s="12">
        <v>45864.958344907405</v>
      </c>
      <c r="F671" s="10" t="str">
        <f>TEXT(events[[#This Row],[Start Date]],"DDD")</f>
        <v>Sat</v>
      </c>
      <c r="G671" s="10">
        <f>YEAR(events[[#This Row],[Start Date]])</f>
        <v>2025</v>
      </c>
      <c r="H671" s="10" t="str">
        <f>TEXT(events[[#This Row],[Start Date]],"mmm")</f>
        <v>Jul</v>
      </c>
      <c r="I671" s="10" t="str">
        <f>CONCATENATE("WK_",WEEKNUM(events[[#This Row],[Start Date]]))</f>
        <v>WK_30</v>
      </c>
      <c r="J671" s="12">
        <v>45865.004120370373</v>
      </c>
      <c r="K671" s="10">
        <v>68</v>
      </c>
      <c r="L671" s="10" t="s">
        <v>36</v>
      </c>
      <c r="M671" s="10" t="s">
        <v>2335</v>
      </c>
      <c r="N671" s="13">
        <f t="shared" si="10"/>
        <v>65.916666666666671</v>
      </c>
      <c r="O671" s="14" t="s">
        <v>965</v>
      </c>
      <c r="P671" s="14" t="s">
        <v>50</v>
      </c>
      <c r="Q671" s="14"/>
      <c r="R671" s="14"/>
      <c r="S671" s="14" t="s">
        <v>2336</v>
      </c>
      <c r="T671" s="14" t="s">
        <v>2337</v>
      </c>
      <c r="U671" s="15">
        <v>40</v>
      </c>
      <c r="V671" s="10">
        <v>1</v>
      </c>
    </row>
    <row r="672" spans="1:22" ht="18" customHeight="1" x14ac:dyDescent="0.35">
      <c r="A672" s="10" t="s">
        <v>86</v>
      </c>
      <c r="B672" s="10" t="s">
        <v>3193</v>
      </c>
      <c r="C672" s="11" t="s">
        <v>3036</v>
      </c>
      <c r="D672" s="11" t="s">
        <v>35</v>
      </c>
      <c r="E672" s="12">
        <v>45864.958344907405</v>
      </c>
      <c r="F672" s="10" t="str">
        <f>TEXT(events[[#This Row],[Start Date]],"DDD")</f>
        <v>Sat</v>
      </c>
      <c r="G672" s="10">
        <f>YEAR(events[[#This Row],[Start Date]])</f>
        <v>2025</v>
      </c>
      <c r="H672" s="10" t="str">
        <f>TEXT(events[[#This Row],[Start Date]],"mmm")</f>
        <v>Jul</v>
      </c>
      <c r="I672" s="10" t="str">
        <f>CONCATENATE("WK_",WEEKNUM(events[[#This Row],[Start Date]]))</f>
        <v>WK_30</v>
      </c>
      <c r="J672" s="12">
        <v>45865.056585648148</v>
      </c>
      <c r="K672" s="10">
        <v>236</v>
      </c>
      <c r="L672" s="10" t="s">
        <v>36</v>
      </c>
      <c r="M672" s="10" t="s">
        <v>2349</v>
      </c>
      <c r="N672" s="13">
        <f t="shared" si="10"/>
        <v>141.46666666666667</v>
      </c>
      <c r="O672" s="14" t="s">
        <v>965</v>
      </c>
      <c r="P672" s="14" t="s">
        <v>50</v>
      </c>
      <c r="Q672" s="14"/>
      <c r="R672" s="14"/>
      <c r="S672" s="14" t="s">
        <v>2350</v>
      </c>
      <c r="T672" s="14" t="s">
        <v>2351</v>
      </c>
      <c r="U672" s="15">
        <v>89</v>
      </c>
      <c r="V672" s="10">
        <v>1</v>
      </c>
    </row>
    <row r="673" spans="1:22" ht="18" customHeight="1" x14ac:dyDescent="0.35">
      <c r="A673" s="10" t="s">
        <v>123</v>
      </c>
      <c r="B673" s="10" t="s">
        <v>3312</v>
      </c>
      <c r="C673" s="11" t="s">
        <v>3102</v>
      </c>
      <c r="D673" s="11" t="s">
        <v>74</v>
      </c>
      <c r="E673" s="12">
        <v>45864.872789351852</v>
      </c>
      <c r="F673" s="10" t="str">
        <f>TEXT(events[[#This Row],[Start Date]],"DDD")</f>
        <v>Sat</v>
      </c>
      <c r="G673" s="10">
        <f>YEAR(events[[#This Row],[Start Date]])</f>
        <v>2025</v>
      </c>
      <c r="H673" s="10" t="str">
        <f>TEXT(events[[#This Row],[Start Date]],"mmm")</f>
        <v>Jul</v>
      </c>
      <c r="I673" s="10" t="str">
        <f>CONCATENATE("WK_",WEEKNUM(events[[#This Row],[Start Date]]))</f>
        <v>WK_30</v>
      </c>
      <c r="J673" s="12">
        <v>45864.873252314814</v>
      </c>
      <c r="K673" s="10">
        <v>99</v>
      </c>
      <c r="L673" s="10" t="s">
        <v>36</v>
      </c>
      <c r="M673" s="10" t="s">
        <v>823</v>
      </c>
      <c r="N673" s="13">
        <f t="shared" si="10"/>
        <v>0.65</v>
      </c>
      <c r="O673" s="14"/>
      <c r="P673" s="14"/>
      <c r="Q673" s="14"/>
      <c r="R673" s="14"/>
      <c r="S673" s="14" t="s">
        <v>2369</v>
      </c>
      <c r="T673" s="14" t="s">
        <v>2370</v>
      </c>
      <c r="U673" s="15">
        <v>1</v>
      </c>
      <c r="V673" s="10">
        <v>1</v>
      </c>
    </row>
    <row r="674" spans="1:22" ht="18" customHeight="1" x14ac:dyDescent="0.35">
      <c r="A674" s="10" t="s">
        <v>86</v>
      </c>
      <c r="B674" s="10" t="s">
        <v>3299</v>
      </c>
      <c r="C674" s="11" t="s">
        <v>2979</v>
      </c>
      <c r="D674" s="11" t="s">
        <v>24</v>
      </c>
      <c r="E674" s="12">
        <v>45864.50335648148</v>
      </c>
      <c r="F674" s="10" t="str">
        <f>TEXT(events[[#This Row],[Start Date]],"DDD")</f>
        <v>Sat</v>
      </c>
      <c r="G674" s="10">
        <f>YEAR(events[[#This Row],[Start Date]])</f>
        <v>2025</v>
      </c>
      <c r="H674" s="10" t="str">
        <f>TEXT(events[[#This Row],[Start Date]],"mmm")</f>
        <v>Jul</v>
      </c>
      <c r="I674" s="10" t="str">
        <f>CONCATENATE("WK_",WEEKNUM(events[[#This Row],[Start Date]]))</f>
        <v>WK_30</v>
      </c>
      <c r="J674" s="12">
        <v>45864.503449074073</v>
      </c>
      <c r="K674" s="10">
        <v>50</v>
      </c>
      <c r="L674" s="10" t="s">
        <v>25</v>
      </c>
      <c r="M674" s="10" t="s">
        <v>357</v>
      </c>
      <c r="N674" s="13">
        <f t="shared" si="10"/>
        <v>0.13333333333333333</v>
      </c>
      <c r="O674" s="14" t="s">
        <v>27</v>
      </c>
      <c r="P674" s="14" t="s">
        <v>27</v>
      </c>
      <c r="Q674" s="14"/>
      <c r="R674" s="14"/>
      <c r="S674" s="14" t="s">
        <v>2365</v>
      </c>
      <c r="T674" s="14" t="s">
        <v>2366</v>
      </c>
      <c r="U674" s="15">
        <v>0</v>
      </c>
      <c r="V674" s="10">
        <v>1</v>
      </c>
    </row>
    <row r="675" spans="1:22" ht="18" customHeight="1" x14ac:dyDescent="0.35">
      <c r="A675" s="10" t="s">
        <v>123</v>
      </c>
      <c r="B675" s="10" t="s">
        <v>3312</v>
      </c>
      <c r="C675" s="11" t="s">
        <v>3102</v>
      </c>
      <c r="D675" s="11" t="s">
        <v>74</v>
      </c>
      <c r="E675" s="12">
        <v>45864.294675925928</v>
      </c>
      <c r="F675" s="10" t="str">
        <f>TEXT(events[[#This Row],[Start Date]],"DDD")</f>
        <v>Sat</v>
      </c>
      <c r="G675" s="10">
        <f>YEAR(events[[#This Row],[Start Date]])</f>
        <v>2025</v>
      </c>
      <c r="H675" s="10" t="str">
        <f>TEXT(events[[#This Row],[Start Date]],"mmm")</f>
        <v>Jul</v>
      </c>
      <c r="I675" s="10" t="str">
        <f>CONCATENATE("WK_",WEEKNUM(events[[#This Row],[Start Date]]))</f>
        <v>WK_30</v>
      </c>
      <c r="J675" s="12">
        <v>45864.296527777777</v>
      </c>
      <c r="K675" s="10">
        <v>111</v>
      </c>
      <c r="L675" s="10" t="s">
        <v>36</v>
      </c>
      <c r="M675" s="10" t="s">
        <v>1567</v>
      </c>
      <c r="N675" s="13">
        <f t="shared" si="10"/>
        <v>2.6666666666666665</v>
      </c>
      <c r="O675" s="14"/>
      <c r="P675" s="14"/>
      <c r="Q675" s="14"/>
      <c r="R675" s="14"/>
      <c r="S675" s="14" t="s">
        <v>2367</v>
      </c>
      <c r="T675" s="14" t="s">
        <v>2368</v>
      </c>
      <c r="U675" s="15">
        <v>4</v>
      </c>
      <c r="V675" s="10">
        <v>1</v>
      </c>
    </row>
    <row r="676" spans="1:22" ht="18" customHeight="1" x14ac:dyDescent="0.35">
      <c r="A676" s="10" t="s">
        <v>47</v>
      </c>
      <c r="B676" s="10" t="s">
        <v>3157</v>
      </c>
      <c r="C676" s="11" t="s">
        <v>2923</v>
      </c>
      <c r="D676" s="11" t="s">
        <v>24</v>
      </c>
      <c r="E676" s="12">
        <v>45864.270682870374</v>
      </c>
      <c r="F676" s="10" t="str">
        <f>TEXT(events[[#This Row],[Start Date]],"DDD")</f>
        <v>Sat</v>
      </c>
      <c r="G676" s="10">
        <f>YEAR(events[[#This Row],[Start Date]])</f>
        <v>2025</v>
      </c>
      <c r="H676" s="10" t="str">
        <f>TEXT(events[[#This Row],[Start Date]],"mmm")</f>
        <v>Jul</v>
      </c>
      <c r="I676" s="10" t="str">
        <f>CONCATENATE("WK_",WEEKNUM(events[[#This Row],[Start Date]]))</f>
        <v>WK_30</v>
      </c>
      <c r="J676" s="12">
        <v>45864.270729166667</v>
      </c>
      <c r="K676" s="10">
        <v>41</v>
      </c>
      <c r="L676" s="10" t="s">
        <v>25</v>
      </c>
      <c r="M676" s="10" t="s">
        <v>275</v>
      </c>
      <c r="N676" s="13">
        <f t="shared" si="10"/>
        <v>6.6666666666666666E-2</v>
      </c>
      <c r="O676" s="14" t="s">
        <v>65</v>
      </c>
      <c r="P676" s="14" t="s">
        <v>65</v>
      </c>
      <c r="Q676" s="14"/>
      <c r="R676" s="14"/>
      <c r="S676" s="14" t="s">
        <v>2326</v>
      </c>
      <c r="T676" s="14" t="s">
        <v>2327</v>
      </c>
      <c r="U676" s="15">
        <v>0.125</v>
      </c>
      <c r="V676" s="10">
        <v>1</v>
      </c>
    </row>
    <row r="677" spans="1:22" ht="18" customHeight="1" x14ac:dyDescent="0.35">
      <c r="A677" s="10" t="s">
        <v>123</v>
      </c>
      <c r="B677" s="10" t="s">
        <v>3314</v>
      </c>
      <c r="C677" s="11" t="s">
        <v>3103</v>
      </c>
      <c r="D677" s="11" t="s">
        <v>74</v>
      </c>
      <c r="E677" s="12">
        <v>45864.267557870371</v>
      </c>
      <c r="F677" s="10" t="str">
        <f>TEXT(events[[#This Row],[Start Date]],"DDD")</f>
        <v>Sat</v>
      </c>
      <c r="G677" s="10">
        <f>YEAR(events[[#This Row],[Start Date]])</f>
        <v>2025</v>
      </c>
      <c r="H677" s="10" t="str">
        <f>TEXT(events[[#This Row],[Start Date]],"mmm")</f>
        <v>Jul</v>
      </c>
      <c r="I677" s="10" t="str">
        <f>CONCATENATE("WK_",WEEKNUM(events[[#This Row],[Start Date]]))</f>
        <v>WK_30</v>
      </c>
      <c r="J677" s="12">
        <v>45864.268020833333</v>
      </c>
      <c r="K677" s="10">
        <v>109</v>
      </c>
      <c r="L677" s="10" t="s">
        <v>36</v>
      </c>
      <c r="M677" s="10" t="s">
        <v>823</v>
      </c>
      <c r="N677" s="13">
        <f t="shared" si="10"/>
        <v>0.65</v>
      </c>
      <c r="O677" s="14"/>
      <c r="P677" s="14"/>
      <c r="Q677" s="14"/>
      <c r="R677" s="14"/>
      <c r="S677" s="14" t="s">
        <v>2371</v>
      </c>
      <c r="T677" s="14" t="s">
        <v>2372</v>
      </c>
      <c r="U677" s="15">
        <v>1</v>
      </c>
      <c r="V677" s="10">
        <v>1</v>
      </c>
    </row>
    <row r="678" spans="1:22" ht="18" customHeight="1" x14ac:dyDescent="0.35">
      <c r="A678" s="10" t="s">
        <v>86</v>
      </c>
      <c r="B678" s="10" t="s">
        <v>3189</v>
      </c>
      <c r="C678" s="11" t="s">
        <v>3114</v>
      </c>
      <c r="D678" s="11" t="s">
        <v>24</v>
      </c>
      <c r="E678" s="12">
        <v>45864.264618055553</v>
      </c>
      <c r="F678" s="10" t="str">
        <f>TEXT(events[[#This Row],[Start Date]],"DDD")</f>
        <v>Sat</v>
      </c>
      <c r="G678" s="10">
        <f>YEAR(events[[#This Row],[Start Date]])</f>
        <v>2025</v>
      </c>
      <c r="H678" s="10" t="str">
        <f>TEXT(events[[#This Row],[Start Date]],"mmm")</f>
        <v>Jul</v>
      </c>
      <c r="I678" s="10" t="str">
        <f>CONCATENATE("WK_",WEEKNUM(events[[#This Row],[Start Date]]))</f>
        <v>WK_30</v>
      </c>
      <c r="J678" s="12">
        <v>45864.264641203707</v>
      </c>
      <c r="K678" s="10">
        <v>41</v>
      </c>
      <c r="L678" s="10" t="s">
        <v>25</v>
      </c>
      <c r="M678" s="10" t="s">
        <v>31</v>
      </c>
      <c r="N678" s="13">
        <f t="shared" si="10"/>
        <v>3.3333333333333333E-2</v>
      </c>
      <c r="O678" s="14" t="s">
        <v>142</v>
      </c>
      <c r="P678" s="14" t="s">
        <v>142</v>
      </c>
      <c r="Q678" s="14"/>
      <c r="R678" s="14"/>
      <c r="S678" s="14" t="s">
        <v>2352</v>
      </c>
      <c r="T678" s="14" t="s">
        <v>2353</v>
      </c>
      <c r="U678" s="15">
        <v>0</v>
      </c>
      <c r="V678" s="10">
        <v>1</v>
      </c>
    </row>
    <row r="679" spans="1:22" ht="18" customHeight="1" x14ac:dyDescent="0.35">
      <c r="A679" s="10" t="s">
        <v>47</v>
      </c>
      <c r="B679" s="10" t="s">
        <v>3252</v>
      </c>
      <c r="C679" s="11" t="s">
        <v>3022</v>
      </c>
      <c r="D679" s="11" t="s">
        <v>24</v>
      </c>
      <c r="E679" s="12">
        <v>45864.087268518517</v>
      </c>
      <c r="F679" s="10" t="str">
        <f>TEXT(events[[#This Row],[Start Date]],"DDD")</f>
        <v>Sat</v>
      </c>
      <c r="G679" s="10">
        <f>YEAR(events[[#This Row],[Start Date]])</f>
        <v>2025</v>
      </c>
      <c r="H679" s="10" t="str">
        <f>TEXT(events[[#This Row],[Start Date]],"mmm")</f>
        <v>Jul</v>
      </c>
      <c r="I679" s="10" t="str">
        <f>CONCATENATE("WK_",WEEKNUM(events[[#This Row],[Start Date]]))</f>
        <v>WK_30</v>
      </c>
      <c r="J679" s="12">
        <v>45864.087291666663</v>
      </c>
      <c r="K679" s="10">
        <v>39</v>
      </c>
      <c r="L679" s="10" t="s">
        <v>25</v>
      </c>
      <c r="M679" s="10" t="s">
        <v>31</v>
      </c>
      <c r="N679" s="13">
        <f t="shared" si="10"/>
        <v>3.3333333333333333E-2</v>
      </c>
      <c r="O679" s="14" t="s">
        <v>108</v>
      </c>
      <c r="P679" s="14" t="s">
        <v>108</v>
      </c>
      <c r="Q679" s="14"/>
      <c r="R679" s="14"/>
      <c r="S679" s="14" t="s">
        <v>2320</v>
      </c>
      <c r="T679" s="14" t="s">
        <v>2321</v>
      </c>
      <c r="U679" s="15">
        <v>0</v>
      </c>
      <c r="V679" s="10">
        <v>1</v>
      </c>
    </row>
    <row r="680" spans="1:22" ht="18" customHeight="1" x14ac:dyDescent="0.35">
      <c r="A680" s="10" t="s">
        <v>123</v>
      </c>
      <c r="B680" s="10" t="s">
        <v>3312</v>
      </c>
      <c r="C680" s="11" t="s">
        <v>3102</v>
      </c>
      <c r="D680" s="11" t="s">
        <v>74</v>
      </c>
      <c r="E680" s="12">
        <v>45863.993159722224</v>
      </c>
      <c r="F680" s="10" t="str">
        <f>TEXT(events[[#This Row],[Start Date]],"DDD")</f>
        <v>Fri</v>
      </c>
      <c r="G680" s="10">
        <f>YEAR(events[[#This Row],[Start Date]])</f>
        <v>2025</v>
      </c>
      <c r="H680" s="10" t="str">
        <f>TEXT(events[[#This Row],[Start Date]],"mmm")</f>
        <v>Jul</v>
      </c>
      <c r="I680" s="10" t="str">
        <f>CONCATENATE("WK_",WEEKNUM(events[[#This Row],[Start Date]]))</f>
        <v>WK_30</v>
      </c>
      <c r="J680" s="12">
        <v>45863.993819444448</v>
      </c>
      <c r="K680" s="10">
        <v>106</v>
      </c>
      <c r="L680" s="10" t="s">
        <v>36</v>
      </c>
      <c r="M680" s="10" t="s">
        <v>59</v>
      </c>
      <c r="N680" s="13">
        <f t="shared" si="10"/>
        <v>0.93333333333333335</v>
      </c>
      <c r="O680" s="14"/>
      <c r="P680" s="14"/>
      <c r="Q680" s="14"/>
      <c r="R680" s="14"/>
      <c r="S680" s="14" t="s">
        <v>2379</v>
      </c>
      <c r="T680" s="14" t="s">
        <v>2380</v>
      </c>
      <c r="U680" s="15">
        <v>1</v>
      </c>
      <c r="V680" s="10">
        <v>1</v>
      </c>
    </row>
    <row r="681" spans="1:22" ht="18" customHeight="1" x14ac:dyDescent="0.35">
      <c r="A681" s="10" t="s">
        <v>123</v>
      </c>
      <c r="B681" s="10" t="s">
        <v>3314</v>
      </c>
      <c r="C681" s="11" t="s">
        <v>3103</v>
      </c>
      <c r="D681" s="11" t="s">
        <v>74</v>
      </c>
      <c r="E681" s="12">
        <v>45863.644282407404</v>
      </c>
      <c r="F681" s="10" t="str">
        <f>TEXT(events[[#This Row],[Start Date]],"DDD")</f>
        <v>Fri</v>
      </c>
      <c r="G681" s="10">
        <f>YEAR(events[[#This Row],[Start Date]])</f>
        <v>2025</v>
      </c>
      <c r="H681" s="10" t="str">
        <f>TEXT(events[[#This Row],[Start Date]],"mmm")</f>
        <v>Jul</v>
      </c>
      <c r="I681" s="10" t="str">
        <f>CONCATENATE("WK_",WEEKNUM(events[[#This Row],[Start Date]]))</f>
        <v>WK_30</v>
      </c>
      <c r="J681" s="12">
        <v>45863.644687499997</v>
      </c>
      <c r="K681" s="10">
        <v>97</v>
      </c>
      <c r="L681" s="10" t="s">
        <v>36</v>
      </c>
      <c r="M681" s="10" t="s">
        <v>215</v>
      </c>
      <c r="N681" s="13">
        <f t="shared" si="10"/>
        <v>0.58333333333333337</v>
      </c>
      <c r="O681" s="14"/>
      <c r="P681" s="14"/>
      <c r="Q681" s="14"/>
      <c r="R681" s="14"/>
      <c r="S681" s="14" t="s">
        <v>2383</v>
      </c>
      <c r="T681" s="14" t="s">
        <v>2384</v>
      </c>
      <c r="U681" s="15">
        <v>1</v>
      </c>
      <c r="V681" s="10">
        <v>1</v>
      </c>
    </row>
    <row r="682" spans="1:22" ht="18" customHeight="1" x14ac:dyDescent="0.35">
      <c r="A682" s="10" t="s">
        <v>123</v>
      </c>
      <c r="B682" s="10" t="s">
        <v>3303</v>
      </c>
      <c r="C682" s="11" t="s">
        <v>3089</v>
      </c>
      <c r="D682" s="11" t="s">
        <v>74</v>
      </c>
      <c r="E682" s="12">
        <v>45863.574259259258</v>
      </c>
      <c r="F682" s="10" t="str">
        <f>TEXT(events[[#This Row],[Start Date]],"DDD")</f>
        <v>Fri</v>
      </c>
      <c r="G682" s="10">
        <f>YEAR(events[[#This Row],[Start Date]])</f>
        <v>2025</v>
      </c>
      <c r="H682" s="10" t="str">
        <f>TEXT(events[[#This Row],[Start Date]],"mmm")</f>
        <v>Jul</v>
      </c>
      <c r="I682" s="10" t="str">
        <f>CONCATENATE("WK_",WEEKNUM(events[[#This Row],[Start Date]]))</f>
        <v>WK_30</v>
      </c>
      <c r="J682" s="12">
        <v>45863.574548611112</v>
      </c>
      <c r="K682" s="10">
        <v>94</v>
      </c>
      <c r="L682" s="10" t="s">
        <v>36</v>
      </c>
      <c r="M682" s="10" t="s">
        <v>128</v>
      </c>
      <c r="N682" s="13">
        <f t="shared" si="10"/>
        <v>0.41666666666666669</v>
      </c>
      <c r="O682" s="14"/>
      <c r="P682" s="14"/>
      <c r="Q682" s="14"/>
      <c r="R682" s="14"/>
      <c r="S682" s="14" t="s">
        <v>2385</v>
      </c>
      <c r="T682" s="14" t="s">
        <v>2386</v>
      </c>
      <c r="U682" s="15">
        <v>1</v>
      </c>
      <c r="V682" s="10">
        <v>1</v>
      </c>
    </row>
    <row r="683" spans="1:22" ht="18" customHeight="1" x14ac:dyDescent="0.35">
      <c r="A683" s="10" t="s">
        <v>123</v>
      </c>
      <c r="B683" s="10" t="s">
        <v>3323</v>
      </c>
      <c r="C683" s="11" t="s">
        <v>3115</v>
      </c>
      <c r="D683" s="11" t="s">
        <v>74</v>
      </c>
      <c r="E683" s="12">
        <v>45863.509421296294</v>
      </c>
      <c r="F683" s="10" t="str">
        <f>TEXT(events[[#This Row],[Start Date]],"DDD")</f>
        <v>Fri</v>
      </c>
      <c r="G683" s="10">
        <f>YEAR(events[[#This Row],[Start Date]])</f>
        <v>2025</v>
      </c>
      <c r="H683" s="10" t="str">
        <f>TEXT(events[[#This Row],[Start Date]],"mmm")</f>
        <v>Jul</v>
      </c>
      <c r="I683" s="10" t="str">
        <f>CONCATENATE("WK_",WEEKNUM(events[[#This Row],[Start Date]]))</f>
        <v>WK_30</v>
      </c>
      <c r="J683" s="12">
        <v>45863.509687500002</v>
      </c>
      <c r="K683" s="10">
        <v>89</v>
      </c>
      <c r="L683" s="10" t="s">
        <v>36</v>
      </c>
      <c r="M683" s="10" t="s">
        <v>1079</v>
      </c>
      <c r="N683" s="13">
        <f t="shared" si="10"/>
        <v>0.36666666666666664</v>
      </c>
      <c r="O683" s="14"/>
      <c r="P683" s="14"/>
      <c r="Q683" s="14"/>
      <c r="R683" s="14"/>
      <c r="S683" s="14" t="s">
        <v>2381</v>
      </c>
      <c r="T683" s="14" t="s">
        <v>2382</v>
      </c>
      <c r="U683" s="15">
        <v>1</v>
      </c>
      <c r="V683" s="10">
        <v>1</v>
      </c>
    </row>
    <row r="684" spans="1:22" ht="18" customHeight="1" x14ac:dyDescent="0.35">
      <c r="A684" s="10" t="s">
        <v>23</v>
      </c>
      <c r="B684" s="10" t="s">
        <v>3202</v>
      </c>
      <c r="C684" s="11" t="s">
        <v>2969</v>
      </c>
      <c r="D684" s="11" t="s">
        <v>24</v>
      </c>
      <c r="E684" s="12">
        <v>45862.68440972222</v>
      </c>
      <c r="F684" s="10" t="str">
        <f>TEXT(events[[#This Row],[Start Date]],"DDD")</f>
        <v>Thu</v>
      </c>
      <c r="G684" s="10">
        <f>YEAR(events[[#This Row],[Start Date]])</f>
        <v>2025</v>
      </c>
      <c r="H684" s="10" t="str">
        <f>TEXT(events[[#This Row],[Start Date]],"mmm")</f>
        <v>Jul</v>
      </c>
      <c r="I684" s="10" t="str">
        <f>CONCATENATE("WK_",WEEKNUM(events[[#This Row],[Start Date]]))</f>
        <v>WK_30</v>
      </c>
      <c r="J684" s="12">
        <v>45862.68445601852</v>
      </c>
      <c r="K684" s="10">
        <v>34</v>
      </c>
      <c r="L684" s="10" t="s">
        <v>25</v>
      </c>
      <c r="M684" s="10" t="s">
        <v>275</v>
      </c>
      <c r="N684" s="13">
        <f t="shared" si="10"/>
        <v>6.6666666666666666E-2</v>
      </c>
      <c r="O684" s="14" t="s">
        <v>142</v>
      </c>
      <c r="P684" s="14" t="s">
        <v>142</v>
      </c>
      <c r="Q684" s="14"/>
      <c r="R684" s="14"/>
      <c r="S684" s="14" t="s">
        <v>2312</v>
      </c>
      <c r="T684" s="14" t="s">
        <v>2313</v>
      </c>
      <c r="U684" s="15">
        <v>0</v>
      </c>
      <c r="V684" s="10">
        <v>1</v>
      </c>
    </row>
    <row r="685" spans="1:22" ht="18" customHeight="1" x14ac:dyDescent="0.35">
      <c r="A685" s="10" t="s">
        <v>47</v>
      </c>
      <c r="B685" s="10" t="s">
        <v>3324</v>
      </c>
      <c r="C685" s="11" t="s">
        <v>3116</v>
      </c>
      <c r="D685" s="11" t="s">
        <v>82</v>
      </c>
      <c r="E685" s="12">
        <v>45862.6171412037</v>
      </c>
      <c r="F685" s="10" t="str">
        <f>TEXT(events[[#This Row],[Start Date]],"DDD")</f>
        <v>Thu</v>
      </c>
      <c r="G685" s="10">
        <f>YEAR(events[[#This Row],[Start Date]])</f>
        <v>2025</v>
      </c>
      <c r="H685" s="10" t="str">
        <f>TEXT(events[[#This Row],[Start Date]],"mmm")</f>
        <v>Jul</v>
      </c>
      <c r="I685" s="10" t="str">
        <f>CONCATENATE("WK_",WEEKNUM(events[[#This Row],[Start Date]]))</f>
        <v>WK_30</v>
      </c>
      <c r="J685" s="12">
        <v>45862.617152777777</v>
      </c>
      <c r="K685" s="10">
        <v>16</v>
      </c>
      <c r="L685" s="10" t="s">
        <v>83</v>
      </c>
      <c r="M685" s="10" t="s">
        <v>26</v>
      </c>
      <c r="N685" s="13">
        <f t="shared" si="10"/>
        <v>1.6666666666666666E-2</v>
      </c>
      <c r="O685" s="14" t="s">
        <v>65</v>
      </c>
      <c r="P685" s="14"/>
      <c r="Q685" s="14"/>
      <c r="R685" s="14"/>
      <c r="S685" s="14" t="s">
        <v>2330</v>
      </c>
      <c r="T685" s="14"/>
      <c r="U685" s="15">
        <v>0</v>
      </c>
      <c r="V685" s="10">
        <v>1</v>
      </c>
    </row>
    <row r="686" spans="1:22" ht="18" customHeight="1" x14ac:dyDescent="0.35">
      <c r="A686" s="10" t="s">
        <v>47</v>
      </c>
      <c r="B686" s="10" t="s">
        <v>3324</v>
      </c>
      <c r="C686" s="11" t="s">
        <v>3116</v>
      </c>
      <c r="D686" s="11" t="s">
        <v>24</v>
      </c>
      <c r="E686" s="12">
        <v>45862.614340277774</v>
      </c>
      <c r="F686" s="10" t="str">
        <f>TEXT(events[[#This Row],[Start Date]],"DDD")</f>
        <v>Thu</v>
      </c>
      <c r="G686" s="10">
        <f>YEAR(events[[#This Row],[Start Date]])</f>
        <v>2025</v>
      </c>
      <c r="H686" s="10" t="str">
        <f>TEXT(events[[#This Row],[Start Date]],"mmm")</f>
        <v>Jul</v>
      </c>
      <c r="I686" s="10" t="str">
        <f>CONCATENATE("WK_",WEEKNUM(events[[#This Row],[Start Date]]))</f>
        <v>WK_30</v>
      </c>
      <c r="J686" s="12">
        <v>45862.615046296298</v>
      </c>
      <c r="K686" s="10">
        <v>72</v>
      </c>
      <c r="L686" s="10" t="s">
        <v>25</v>
      </c>
      <c r="M686" s="10" t="s">
        <v>1166</v>
      </c>
      <c r="N686" s="13">
        <f t="shared" si="10"/>
        <v>1.0166666666666666</v>
      </c>
      <c r="O686" s="14" t="s">
        <v>65</v>
      </c>
      <c r="P686" s="14" t="s">
        <v>65</v>
      </c>
      <c r="Q686" s="14"/>
      <c r="R686" s="14"/>
      <c r="S686" s="14" t="s">
        <v>2328</v>
      </c>
      <c r="T686" s="14" t="s">
        <v>2329</v>
      </c>
      <c r="U686" s="15">
        <v>1</v>
      </c>
      <c r="V686" s="10">
        <v>1</v>
      </c>
    </row>
    <row r="687" spans="1:22" ht="18" customHeight="1" x14ac:dyDescent="0.35">
      <c r="A687" s="10" t="s">
        <v>47</v>
      </c>
      <c r="B687" s="10" t="s">
        <v>3325</v>
      </c>
      <c r="C687" s="11" t="s">
        <v>3117</v>
      </c>
      <c r="D687" s="11" t="s">
        <v>74</v>
      </c>
      <c r="E687" s="12">
        <v>45862.341041666667</v>
      </c>
      <c r="F687" s="10" t="str">
        <f>TEXT(events[[#This Row],[Start Date]],"DDD")</f>
        <v>Thu</v>
      </c>
      <c r="G687" s="10">
        <f>YEAR(events[[#This Row],[Start Date]])</f>
        <v>2025</v>
      </c>
      <c r="H687" s="10" t="str">
        <f>TEXT(events[[#This Row],[Start Date]],"mmm")</f>
        <v>Jul</v>
      </c>
      <c r="I687" s="10" t="str">
        <f>CONCATENATE("WK_",WEEKNUM(events[[#This Row],[Start Date]]))</f>
        <v>WK_30</v>
      </c>
      <c r="J687" s="12">
        <v>45862.341064814813</v>
      </c>
      <c r="K687" s="10">
        <v>82</v>
      </c>
      <c r="L687" s="10" t="s">
        <v>25</v>
      </c>
      <c r="M687" s="10" t="s">
        <v>31</v>
      </c>
      <c r="N687" s="13">
        <f t="shared" si="10"/>
        <v>3.3333333333333333E-2</v>
      </c>
      <c r="O687" s="14" t="s">
        <v>65</v>
      </c>
      <c r="P687" s="14" t="s">
        <v>65</v>
      </c>
      <c r="Q687" s="14"/>
      <c r="R687" s="14"/>
      <c r="S687" s="14" t="s">
        <v>2324</v>
      </c>
      <c r="T687" s="14" t="s">
        <v>2325</v>
      </c>
      <c r="U687" s="15">
        <v>0.10150000000000001</v>
      </c>
      <c r="V687" s="10">
        <v>1</v>
      </c>
    </row>
    <row r="688" spans="1:22" ht="18" customHeight="1" x14ac:dyDescent="0.35">
      <c r="A688" s="10" t="s">
        <v>123</v>
      </c>
      <c r="B688" s="10" t="s">
        <v>3302</v>
      </c>
      <c r="C688" s="11" t="s">
        <v>3088</v>
      </c>
      <c r="D688" s="11" t="s">
        <v>74</v>
      </c>
      <c r="E688" s="12">
        <v>45862.340555555558</v>
      </c>
      <c r="F688" s="10" t="str">
        <f>TEXT(events[[#This Row],[Start Date]],"DDD")</f>
        <v>Thu</v>
      </c>
      <c r="G688" s="10">
        <f>YEAR(events[[#This Row],[Start Date]])</f>
        <v>2025</v>
      </c>
      <c r="H688" s="10" t="str">
        <f>TEXT(events[[#This Row],[Start Date]],"mmm")</f>
        <v>Jul</v>
      </c>
      <c r="I688" s="10" t="str">
        <f>CONCATENATE("WK_",WEEKNUM(events[[#This Row],[Start Date]]))</f>
        <v>WK_30</v>
      </c>
      <c r="J688" s="12">
        <v>45862.340752314813</v>
      </c>
      <c r="K688" s="10">
        <v>91</v>
      </c>
      <c r="L688" s="10" t="s">
        <v>36</v>
      </c>
      <c r="M688" s="10" t="s">
        <v>353</v>
      </c>
      <c r="N688" s="13">
        <f t="shared" si="10"/>
        <v>0.26666666666666666</v>
      </c>
      <c r="O688" s="14"/>
      <c r="P688" s="14"/>
      <c r="Q688" s="14"/>
      <c r="R688" s="14"/>
      <c r="S688" s="14" t="s">
        <v>2377</v>
      </c>
      <c r="T688" s="14" t="s">
        <v>2378</v>
      </c>
      <c r="U688" s="15">
        <v>0</v>
      </c>
      <c r="V688" s="10">
        <v>1</v>
      </c>
    </row>
    <row r="689" spans="1:22" ht="18" customHeight="1" x14ac:dyDescent="0.35">
      <c r="A689" s="10" t="s">
        <v>47</v>
      </c>
      <c r="B689" s="10" t="s">
        <v>3325</v>
      </c>
      <c r="C689" s="11" t="s">
        <v>3117</v>
      </c>
      <c r="D689" s="11" t="s">
        <v>74</v>
      </c>
      <c r="E689" s="12">
        <v>45862.34002314815</v>
      </c>
      <c r="F689" s="10" t="str">
        <f>TEXT(events[[#This Row],[Start Date]],"DDD")</f>
        <v>Thu</v>
      </c>
      <c r="G689" s="10">
        <f>YEAR(events[[#This Row],[Start Date]])</f>
        <v>2025</v>
      </c>
      <c r="H689" s="10" t="str">
        <f>TEXT(events[[#This Row],[Start Date]],"mmm")</f>
        <v>Jul</v>
      </c>
      <c r="I689" s="10" t="str">
        <f>CONCATENATE("WK_",WEEKNUM(events[[#This Row],[Start Date]]))</f>
        <v>WK_30</v>
      </c>
      <c r="J689" s="12">
        <v>45862.340115740742</v>
      </c>
      <c r="K689" s="10">
        <v>83</v>
      </c>
      <c r="L689" s="10" t="s">
        <v>25</v>
      </c>
      <c r="M689" s="10" t="s">
        <v>357</v>
      </c>
      <c r="N689" s="13">
        <f t="shared" si="10"/>
        <v>0.13333333333333333</v>
      </c>
      <c r="O689" s="14" t="s">
        <v>65</v>
      </c>
      <c r="P689" s="14" t="s">
        <v>65</v>
      </c>
      <c r="Q689" s="14"/>
      <c r="R689" s="14"/>
      <c r="S689" s="14" t="s">
        <v>2322</v>
      </c>
      <c r="T689" s="14" t="s">
        <v>2323</v>
      </c>
      <c r="U689" s="15">
        <v>0.1953</v>
      </c>
      <c r="V689" s="10">
        <v>1</v>
      </c>
    </row>
    <row r="690" spans="1:22" ht="18" customHeight="1" x14ac:dyDescent="0.35">
      <c r="A690" s="10" t="s">
        <v>123</v>
      </c>
      <c r="B690" s="10" t="s">
        <v>3239</v>
      </c>
      <c r="C690" s="11" t="s">
        <v>3006</v>
      </c>
      <c r="D690" s="11" t="s">
        <v>74</v>
      </c>
      <c r="E690" s="12">
        <v>45862.303923611114</v>
      </c>
      <c r="F690" s="10" t="str">
        <f>TEXT(events[[#This Row],[Start Date]],"DDD")</f>
        <v>Thu</v>
      </c>
      <c r="G690" s="10">
        <f>YEAR(events[[#This Row],[Start Date]])</f>
        <v>2025</v>
      </c>
      <c r="H690" s="10" t="str">
        <f>TEXT(events[[#This Row],[Start Date]],"mmm")</f>
        <v>Jul</v>
      </c>
      <c r="I690" s="10" t="str">
        <f>CONCATENATE("WK_",WEEKNUM(events[[#This Row],[Start Date]]))</f>
        <v>WK_30</v>
      </c>
      <c r="J690" s="12">
        <v>45862.304618055554</v>
      </c>
      <c r="K690" s="10">
        <v>88</v>
      </c>
      <c r="L690" s="10" t="s">
        <v>36</v>
      </c>
      <c r="M690" s="10" t="s">
        <v>177</v>
      </c>
      <c r="N690" s="13">
        <f t="shared" si="10"/>
        <v>1</v>
      </c>
      <c r="O690" s="14"/>
      <c r="P690" s="14"/>
      <c r="Q690" s="14"/>
      <c r="R690" s="14"/>
      <c r="S690" s="14" t="s">
        <v>2375</v>
      </c>
      <c r="T690" s="14" t="s">
        <v>2376</v>
      </c>
      <c r="U690" s="15">
        <v>2</v>
      </c>
      <c r="V690" s="10">
        <v>1</v>
      </c>
    </row>
    <row r="691" spans="1:22" ht="18" customHeight="1" x14ac:dyDescent="0.35">
      <c r="A691" s="10" t="s">
        <v>86</v>
      </c>
      <c r="B691" s="10" t="s">
        <v>3246</v>
      </c>
      <c r="C691" s="11" t="s">
        <v>2937</v>
      </c>
      <c r="D691" s="11" t="s">
        <v>74</v>
      </c>
      <c r="E691" s="12">
        <v>45862.260381944441</v>
      </c>
      <c r="F691" s="10" t="str">
        <f>TEXT(events[[#This Row],[Start Date]],"DDD")</f>
        <v>Thu</v>
      </c>
      <c r="G691" s="10">
        <f>YEAR(events[[#This Row],[Start Date]])</f>
        <v>2025</v>
      </c>
      <c r="H691" s="10" t="str">
        <f>TEXT(events[[#This Row],[Start Date]],"mmm")</f>
        <v>Jul</v>
      </c>
      <c r="I691" s="10" t="str">
        <f>CONCATENATE("WK_",WEEKNUM(events[[#This Row],[Start Date]]))</f>
        <v>WK_30</v>
      </c>
      <c r="J691" s="12">
        <v>45862.260428240741</v>
      </c>
      <c r="K691" s="10">
        <v>82</v>
      </c>
      <c r="L691" s="10" t="s">
        <v>25</v>
      </c>
      <c r="M691" s="10" t="s">
        <v>275</v>
      </c>
      <c r="N691" s="13">
        <f t="shared" si="10"/>
        <v>6.6666666666666666E-2</v>
      </c>
      <c r="O691" s="14" t="s">
        <v>1423</v>
      </c>
      <c r="P691" s="14" t="s">
        <v>1423</v>
      </c>
      <c r="Q691" s="14"/>
      <c r="R691" s="14"/>
      <c r="S691" s="14" t="s">
        <v>2354</v>
      </c>
      <c r="T691" s="14" t="s">
        <v>2355</v>
      </c>
      <c r="U691" s="15">
        <v>0.125</v>
      </c>
      <c r="V691" s="10">
        <v>1</v>
      </c>
    </row>
    <row r="692" spans="1:22" ht="18" customHeight="1" x14ac:dyDescent="0.35">
      <c r="A692" s="10" t="s">
        <v>123</v>
      </c>
      <c r="B692" s="10" t="s">
        <v>3326</v>
      </c>
      <c r="C692" s="11" t="s">
        <v>3118</v>
      </c>
      <c r="D692" s="11" t="s">
        <v>35</v>
      </c>
      <c r="E692" s="12">
        <v>45862.148993055554</v>
      </c>
      <c r="F692" s="10" t="str">
        <f>TEXT(events[[#This Row],[Start Date]],"DDD")</f>
        <v>Thu</v>
      </c>
      <c r="G692" s="10">
        <f>YEAR(events[[#This Row],[Start Date]])</f>
        <v>2025</v>
      </c>
      <c r="H692" s="10" t="str">
        <f>TEXT(events[[#This Row],[Start Date]],"mmm")</f>
        <v>Jul</v>
      </c>
      <c r="I692" s="10" t="str">
        <f>CONCATENATE("WK_",WEEKNUM(events[[#This Row],[Start Date]]))</f>
        <v>WK_30</v>
      </c>
      <c r="J692" s="12">
        <v>45862.165243055555</v>
      </c>
      <c r="K692" s="10"/>
      <c r="L692" s="10" t="s">
        <v>36</v>
      </c>
      <c r="M692" s="10" t="s">
        <v>2389</v>
      </c>
      <c r="N692" s="13">
        <f t="shared" si="10"/>
        <v>23.4</v>
      </c>
      <c r="O692" s="14"/>
      <c r="P692" s="14"/>
      <c r="Q692" s="14"/>
      <c r="R692" s="14"/>
      <c r="S692" s="14" t="s">
        <v>2390</v>
      </c>
      <c r="T692" s="14" t="s">
        <v>2391</v>
      </c>
      <c r="U692" s="15">
        <v>11</v>
      </c>
      <c r="V692" s="10">
        <v>1</v>
      </c>
    </row>
    <row r="693" spans="1:22" ht="18" customHeight="1" x14ac:dyDescent="0.35">
      <c r="A693" s="10" t="s">
        <v>86</v>
      </c>
      <c r="B693" s="10" t="s">
        <v>3236</v>
      </c>
      <c r="C693" s="11" t="s">
        <v>3113</v>
      </c>
      <c r="D693" s="11" t="s">
        <v>24</v>
      </c>
      <c r="E693" s="12">
        <v>45861.626192129632</v>
      </c>
      <c r="F693" s="10" t="str">
        <f>TEXT(events[[#This Row],[Start Date]],"DDD")</f>
        <v>Wed</v>
      </c>
      <c r="G693" s="10">
        <f>YEAR(events[[#This Row],[Start Date]])</f>
        <v>2025</v>
      </c>
      <c r="H693" s="10" t="str">
        <f>TEXT(events[[#This Row],[Start Date]],"mmm")</f>
        <v>Jul</v>
      </c>
      <c r="I693" s="10" t="str">
        <f>CONCATENATE("WK_",WEEKNUM(events[[#This Row],[Start Date]]))</f>
        <v>WK_30</v>
      </c>
      <c r="J693" s="12">
        <v>45861.626192129632</v>
      </c>
      <c r="K693" s="10">
        <v>40</v>
      </c>
      <c r="L693" s="10" t="s">
        <v>25</v>
      </c>
      <c r="M693" s="10" t="s">
        <v>87</v>
      </c>
      <c r="N693" s="13">
        <f t="shared" si="10"/>
        <v>0</v>
      </c>
      <c r="O693" s="14" t="s">
        <v>50</v>
      </c>
      <c r="P693" s="14" t="s">
        <v>50</v>
      </c>
      <c r="Q693" s="14"/>
      <c r="R693" s="14"/>
      <c r="S693" s="14" t="s">
        <v>2480</v>
      </c>
      <c r="T693" s="14" t="s">
        <v>2480</v>
      </c>
      <c r="U693" s="15">
        <v>0</v>
      </c>
      <c r="V693" s="10">
        <v>1</v>
      </c>
    </row>
    <row r="694" spans="1:22" ht="18" customHeight="1" x14ac:dyDescent="0.35">
      <c r="A694" s="10" t="s">
        <v>86</v>
      </c>
      <c r="B694" s="10" t="s">
        <v>3236</v>
      </c>
      <c r="C694" s="11" t="s">
        <v>3113</v>
      </c>
      <c r="D694" s="11" t="s">
        <v>24</v>
      </c>
      <c r="E694" s="12">
        <v>45861.592858796299</v>
      </c>
      <c r="F694" s="10" t="str">
        <f>TEXT(events[[#This Row],[Start Date]],"DDD")</f>
        <v>Wed</v>
      </c>
      <c r="G694" s="10">
        <f>YEAR(events[[#This Row],[Start Date]])</f>
        <v>2025</v>
      </c>
      <c r="H694" s="10" t="str">
        <f>TEXT(events[[#This Row],[Start Date]],"mmm")</f>
        <v>Jul</v>
      </c>
      <c r="I694" s="10" t="str">
        <f>CONCATENATE("WK_",WEEKNUM(events[[#This Row],[Start Date]]))</f>
        <v>WK_30</v>
      </c>
      <c r="J694" s="12">
        <v>45861.592881944445</v>
      </c>
      <c r="K694" s="10">
        <v>40</v>
      </c>
      <c r="L694" s="10" t="s">
        <v>25</v>
      </c>
      <c r="M694" s="10" t="s">
        <v>31</v>
      </c>
      <c r="N694" s="13">
        <f t="shared" si="10"/>
        <v>3.3333333333333333E-2</v>
      </c>
      <c r="O694" s="14" t="s">
        <v>49</v>
      </c>
      <c r="P694" s="14" t="s">
        <v>49</v>
      </c>
      <c r="Q694" s="14"/>
      <c r="R694" s="14"/>
      <c r="S694" s="14" t="s">
        <v>2478</v>
      </c>
      <c r="T694" s="14" t="s">
        <v>2479</v>
      </c>
      <c r="U694" s="15">
        <v>0</v>
      </c>
      <c r="V694" s="10">
        <v>1</v>
      </c>
    </row>
    <row r="695" spans="1:22" ht="18" customHeight="1" x14ac:dyDescent="0.35">
      <c r="A695" s="10" t="s">
        <v>123</v>
      </c>
      <c r="B695" s="10" t="s">
        <v>3312</v>
      </c>
      <c r="C695" s="11" t="s">
        <v>3102</v>
      </c>
      <c r="D695" s="11" t="s">
        <v>74</v>
      </c>
      <c r="E695" s="12">
        <v>45861.413668981484</v>
      </c>
      <c r="F695" s="10" t="str">
        <f>TEXT(events[[#This Row],[Start Date]],"DDD")</f>
        <v>Wed</v>
      </c>
      <c r="G695" s="10">
        <f>YEAR(events[[#This Row],[Start Date]])</f>
        <v>2025</v>
      </c>
      <c r="H695" s="10" t="str">
        <f>TEXT(events[[#This Row],[Start Date]],"mmm")</f>
        <v>Jul</v>
      </c>
      <c r="I695" s="10" t="str">
        <f>CONCATENATE("WK_",WEEKNUM(events[[#This Row],[Start Date]]))</f>
        <v>WK_30</v>
      </c>
      <c r="J695" s="12">
        <v>45861.416446759256</v>
      </c>
      <c r="K695" s="10">
        <v>112</v>
      </c>
      <c r="L695" s="10" t="s">
        <v>25</v>
      </c>
      <c r="M695" s="10" t="s">
        <v>2499</v>
      </c>
      <c r="N695" s="13">
        <f t="shared" si="10"/>
        <v>3.9833333333333334</v>
      </c>
      <c r="O695" s="14"/>
      <c r="P695" s="14"/>
      <c r="Q695" s="14"/>
      <c r="R695" s="14"/>
      <c r="S695" s="14" t="s">
        <v>2500</v>
      </c>
      <c r="T695" s="14" t="s">
        <v>2501</v>
      </c>
      <c r="U695" s="15">
        <v>6.5</v>
      </c>
      <c r="V695" s="10">
        <v>1</v>
      </c>
    </row>
    <row r="696" spans="1:22" ht="18" customHeight="1" x14ac:dyDescent="0.35">
      <c r="A696" s="10" t="s">
        <v>86</v>
      </c>
      <c r="B696" s="10" t="s">
        <v>3205</v>
      </c>
      <c r="C696" s="11" t="s">
        <v>2973</v>
      </c>
      <c r="D696" s="11" t="s">
        <v>24</v>
      </c>
      <c r="E696" s="12">
        <v>45860.672662037039</v>
      </c>
      <c r="F696" s="10" t="str">
        <f>TEXT(events[[#This Row],[Start Date]],"DDD")</f>
        <v>Tue</v>
      </c>
      <c r="G696" s="10">
        <f>YEAR(events[[#This Row],[Start Date]])</f>
        <v>2025</v>
      </c>
      <c r="H696" s="10" t="str">
        <f>TEXT(events[[#This Row],[Start Date]],"mmm")</f>
        <v>Jul</v>
      </c>
      <c r="I696" s="10" t="str">
        <f>CONCATENATE("WK_",WEEKNUM(events[[#This Row],[Start Date]]))</f>
        <v>WK_30</v>
      </c>
      <c r="J696" s="12">
        <v>45860.67291666667</v>
      </c>
      <c r="K696" s="10">
        <v>38</v>
      </c>
      <c r="L696" s="10" t="s">
        <v>25</v>
      </c>
      <c r="M696" s="10" t="s">
        <v>1079</v>
      </c>
      <c r="N696" s="13">
        <f t="shared" si="10"/>
        <v>0.36666666666666664</v>
      </c>
      <c r="O696" s="14" t="s">
        <v>27</v>
      </c>
      <c r="P696" s="14" t="s">
        <v>27</v>
      </c>
      <c r="Q696" s="14"/>
      <c r="R696" s="14"/>
      <c r="S696" s="14" t="s">
        <v>2484</v>
      </c>
      <c r="T696" s="14" t="s">
        <v>2485</v>
      </c>
      <c r="U696" s="15">
        <v>0.3125</v>
      </c>
      <c r="V696" s="10">
        <v>1</v>
      </c>
    </row>
    <row r="697" spans="1:22" ht="18" customHeight="1" x14ac:dyDescent="0.35">
      <c r="A697" s="10" t="s">
        <v>123</v>
      </c>
      <c r="B697" s="10" t="s">
        <v>3323</v>
      </c>
      <c r="C697" s="11" t="s">
        <v>3115</v>
      </c>
      <c r="D697" s="11" t="s">
        <v>74</v>
      </c>
      <c r="E697" s="12">
        <v>45860.54142361111</v>
      </c>
      <c r="F697" s="10" t="str">
        <f>TEXT(events[[#This Row],[Start Date]],"DDD")</f>
        <v>Tue</v>
      </c>
      <c r="G697" s="10">
        <f>YEAR(events[[#This Row],[Start Date]])</f>
        <v>2025</v>
      </c>
      <c r="H697" s="10" t="str">
        <f>TEXT(events[[#This Row],[Start Date]],"mmm")</f>
        <v>Jul</v>
      </c>
      <c r="I697" s="10" t="str">
        <f>CONCATENATE("WK_",WEEKNUM(events[[#This Row],[Start Date]]))</f>
        <v>WK_30</v>
      </c>
      <c r="J697" s="12">
        <v>45860.541724537034</v>
      </c>
      <c r="K697" s="10">
        <v>88</v>
      </c>
      <c r="L697" s="10" t="s">
        <v>25</v>
      </c>
      <c r="M697" s="10" t="s">
        <v>222</v>
      </c>
      <c r="N697" s="13">
        <f t="shared" si="10"/>
        <v>0.43333333333333335</v>
      </c>
      <c r="O697" s="14"/>
      <c r="P697" s="14"/>
      <c r="Q697" s="14"/>
      <c r="R697" s="14"/>
      <c r="S697" s="14" t="s">
        <v>2495</v>
      </c>
      <c r="T697" s="14" t="s">
        <v>2496</v>
      </c>
      <c r="U697" s="15">
        <v>0.7</v>
      </c>
      <c r="V697" s="10">
        <v>1</v>
      </c>
    </row>
    <row r="698" spans="1:22" ht="18" customHeight="1" x14ac:dyDescent="0.35">
      <c r="A698" s="10" t="s">
        <v>23</v>
      </c>
      <c r="B698" s="10" t="s">
        <v>3295</v>
      </c>
      <c r="C698" s="11" t="s">
        <v>3081</v>
      </c>
      <c r="D698" s="11" t="s">
        <v>24</v>
      </c>
      <c r="E698" s="12">
        <v>45860.320439814815</v>
      </c>
      <c r="F698" s="10" t="str">
        <f>TEXT(events[[#This Row],[Start Date]],"DDD")</f>
        <v>Tue</v>
      </c>
      <c r="G698" s="10">
        <f>YEAR(events[[#This Row],[Start Date]])</f>
        <v>2025</v>
      </c>
      <c r="H698" s="10" t="str">
        <f>TEXT(events[[#This Row],[Start Date]],"mmm")</f>
        <v>Jul</v>
      </c>
      <c r="I698" s="10" t="str">
        <f>CONCATENATE("WK_",WEEKNUM(events[[#This Row],[Start Date]]))</f>
        <v>WK_30</v>
      </c>
      <c r="J698" s="12">
        <v>45860.320497685185</v>
      </c>
      <c r="K698" s="10">
        <v>36</v>
      </c>
      <c r="L698" s="10" t="s">
        <v>25</v>
      </c>
      <c r="M698" s="10" t="s">
        <v>431</v>
      </c>
      <c r="N698" s="13">
        <f t="shared" si="10"/>
        <v>8.3333333333333329E-2</v>
      </c>
      <c r="O698" s="14" t="s">
        <v>142</v>
      </c>
      <c r="P698" s="14" t="s">
        <v>142</v>
      </c>
      <c r="Q698" s="14"/>
      <c r="R698" s="14"/>
      <c r="S698" s="14" t="s">
        <v>2450</v>
      </c>
      <c r="T698" s="14" t="s">
        <v>2451</v>
      </c>
      <c r="U698" s="15">
        <v>0</v>
      </c>
      <c r="V698" s="10">
        <v>1</v>
      </c>
    </row>
    <row r="699" spans="1:22" ht="18" customHeight="1" x14ac:dyDescent="0.35">
      <c r="A699" s="10" t="s">
        <v>47</v>
      </c>
      <c r="B699" s="10" t="s">
        <v>3157</v>
      </c>
      <c r="C699" s="11" t="s">
        <v>3043</v>
      </c>
      <c r="D699" s="11" t="s">
        <v>24</v>
      </c>
      <c r="E699" s="12">
        <v>45860.294918981483</v>
      </c>
      <c r="F699" s="10" t="str">
        <f>TEXT(events[[#This Row],[Start Date]],"DDD")</f>
        <v>Tue</v>
      </c>
      <c r="G699" s="10">
        <f>YEAR(events[[#This Row],[Start Date]])</f>
        <v>2025</v>
      </c>
      <c r="H699" s="10" t="str">
        <f>TEXT(events[[#This Row],[Start Date]],"mmm")</f>
        <v>Jul</v>
      </c>
      <c r="I699" s="10" t="str">
        <f>CONCATENATE("WK_",WEEKNUM(events[[#This Row],[Start Date]]))</f>
        <v>WK_30</v>
      </c>
      <c r="J699" s="12">
        <v>45860.294965277775</v>
      </c>
      <c r="K699" s="10">
        <v>58</v>
      </c>
      <c r="L699" s="10" t="s">
        <v>25</v>
      </c>
      <c r="M699" s="10" t="s">
        <v>275</v>
      </c>
      <c r="N699" s="13">
        <f t="shared" si="10"/>
        <v>6.6666666666666666E-2</v>
      </c>
      <c r="O699" s="14" t="s">
        <v>65</v>
      </c>
      <c r="P699" s="14" t="s">
        <v>65</v>
      </c>
      <c r="Q699" s="14"/>
      <c r="R699" s="14"/>
      <c r="S699" s="14" t="s">
        <v>2461</v>
      </c>
      <c r="T699" s="14" t="s">
        <v>2462</v>
      </c>
      <c r="U699" s="15">
        <v>6.25E-2</v>
      </c>
      <c r="V699" s="10">
        <v>1</v>
      </c>
    </row>
    <row r="700" spans="1:22" ht="18" customHeight="1" x14ac:dyDescent="0.35">
      <c r="A700" s="10" t="s">
        <v>86</v>
      </c>
      <c r="B700" s="10" t="s">
        <v>3236</v>
      </c>
      <c r="C700" s="11" t="s">
        <v>3113</v>
      </c>
      <c r="D700" s="11" t="s">
        <v>24</v>
      </c>
      <c r="E700" s="12">
        <v>45860.266423611109</v>
      </c>
      <c r="F700" s="10" t="str">
        <f>TEXT(events[[#This Row],[Start Date]],"DDD")</f>
        <v>Tue</v>
      </c>
      <c r="G700" s="10">
        <f>YEAR(events[[#This Row],[Start Date]])</f>
        <v>2025</v>
      </c>
      <c r="H700" s="10" t="str">
        <f>TEXT(events[[#This Row],[Start Date]],"mmm")</f>
        <v>Jul</v>
      </c>
      <c r="I700" s="10" t="str">
        <f>CONCATENATE("WK_",WEEKNUM(events[[#This Row],[Start Date]]))</f>
        <v>WK_30</v>
      </c>
      <c r="J700" s="12">
        <v>45860.266435185185</v>
      </c>
      <c r="K700" s="10">
        <v>40</v>
      </c>
      <c r="L700" s="10" t="s">
        <v>25</v>
      </c>
      <c r="M700" s="10" t="s">
        <v>26</v>
      </c>
      <c r="N700" s="13">
        <f t="shared" si="10"/>
        <v>1.6666666666666666E-2</v>
      </c>
      <c r="O700" s="14" t="s">
        <v>205</v>
      </c>
      <c r="P700" s="14" t="s">
        <v>205</v>
      </c>
      <c r="Q700" s="14"/>
      <c r="R700" s="14"/>
      <c r="S700" s="14" t="s">
        <v>2476</v>
      </c>
      <c r="T700" s="14" t="s">
        <v>2477</v>
      </c>
      <c r="U700" s="15">
        <v>0</v>
      </c>
      <c r="V700" s="10">
        <v>1</v>
      </c>
    </row>
    <row r="701" spans="1:22" ht="18" customHeight="1" x14ac:dyDescent="0.35">
      <c r="A701" s="10" t="s">
        <v>23</v>
      </c>
      <c r="B701" s="10" t="s">
        <v>3202</v>
      </c>
      <c r="C701" s="11" t="s">
        <v>2969</v>
      </c>
      <c r="D701" s="11" t="s">
        <v>24</v>
      </c>
      <c r="E701" s="12">
        <v>45860.214155092595</v>
      </c>
      <c r="F701" s="10" t="str">
        <f>TEXT(events[[#This Row],[Start Date]],"DDD")</f>
        <v>Tue</v>
      </c>
      <c r="G701" s="10">
        <f>YEAR(events[[#This Row],[Start Date]])</f>
        <v>2025</v>
      </c>
      <c r="H701" s="10" t="str">
        <f>TEXT(events[[#This Row],[Start Date]],"mmm")</f>
        <v>Jul</v>
      </c>
      <c r="I701" s="10" t="str">
        <f>CONCATENATE("WK_",WEEKNUM(events[[#This Row],[Start Date]]))</f>
        <v>WK_30</v>
      </c>
      <c r="J701" s="12">
        <v>45860.214189814818</v>
      </c>
      <c r="K701" s="10">
        <v>37</v>
      </c>
      <c r="L701" s="10" t="s">
        <v>25</v>
      </c>
      <c r="M701" s="10" t="s">
        <v>75</v>
      </c>
      <c r="N701" s="13">
        <f t="shared" si="10"/>
        <v>0.05</v>
      </c>
      <c r="O701" s="14" t="s">
        <v>458</v>
      </c>
      <c r="P701" s="14" t="s">
        <v>458</v>
      </c>
      <c r="Q701" s="14"/>
      <c r="R701" s="14"/>
      <c r="S701" s="14" t="s">
        <v>2452</v>
      </c>
      <c r="T701" s="14" t="s">
        <v>2453</v>
      </c>
      <c r="U701" s="15">
        <v>0</v>
      </c>
      <c r="V701" s="10">
        <v>1</v>
      </c>
    </row>
    <row r="702" spans="1:22" ht="18" customHeight="1" x14ac:dyDescent="0.35">
      <c r="A702" s="10" t="s">
        <v>123</v>
      </c>
      <c r="B702" s="10" t="s">
        <v>3312</v>
      </c>
      <c r="C702" s="11" t="s">
        <v>3102</v>
      </c>
      <c r="D702" s="11" t="s">
        <v>74</v>
      </c>
      <c r="E702" s="12">
        <v>45860.041087962964</v>
      </c>
      <c r="F702" s="10" t="str">
        <f>TEXT(events[[#This Row],[Start Date]],"DDD")</f>
        <v>Tue</v>
      </c>
      <c r="G702" s="10">
        <f>YEAR(events[[#This Row],[Start Date]])</f>
        <v>2025</v>
      </c>
      <c r="H702" s="10" t="str">
        <f>TEXT(events[[#This Row],[Start Date]],"mmm")</f>
        <v>Jul</v>
      </c>
      <c r="I702" s="10" t="str">
        <f>CONCATENATE("WK_",WEEKNUM(events[[#This Row],[Start Date]]))</f>
        <v>WK_30</v>
      </c>
      <c r="J702" s="12">
        <v>45860.041747685187</v>
      </c>
      <c r="K702" s="10">
        <v>107</v>
      </c>
      <c r="L702" s="10" t="s">
        <v>25</v>
      </c>
      <c r="M702" s="10" t="s">
        <v>59</v>
      </c>
      <c r="N702" s="13">
        <f t="shared" si="10"/>
        <v>0.93333333333333335</v>
      </c>
      <c r="O702" s="14"/>
      <c r="P702" s="14"/>
      <c r="Q702" s="14"/>
      <c r="R702" s="14"/>
      <c r="S702" s="14" t="s">
        <v>2497</v>
      </c>
      <c r="T702" s="14" t="s">
        <v>2498</v>
      </c>
      <c r="U702" s="15">
        <v>1.6</v>
      </c>
      <c r="V702" s="10">
        <v>1</v>
      </c>
    </row>
    <row r="703" spans="1:22" ht="18" customHeight="1" x14ac:dyDescent="0.35">
      <c r="A703" s="10" t="s">
        <v>86</v>
      </c>
      <c r="B703" s="10" t="s">
        <v>3236</v>
      </c>
      <c r="C703" s="11" t="s">
        <v>3113</v>
      </c>
      <c r="D703" s="11" t="s">
        <v>24</v>
      </c>
      <c r="E703" s="12">
        <v>45859.782824074071</v>
      </c>
      <c r="F703" s="10" t="str">
        <f>TEXT(events[[#This Row],[Start Date]],"DDD")</f>
        <v>Mon</v>
      </c>
      <c r="G703" s="10">
        <f>YEAR(events[[#This Row],[Start Date]])</f>
        <v>2025</v>
      </c>
      <c r="H703" s="10" t="str">
        <f>TEXT(events[[#This Row],[Start Date]],"mmm")</f>
        <v>Jul</v>
      </c>
      <c r="I703" s="10" t="str">
        <f>CONCATENATE("WK_",WEEKNUM(events[[#This Row],[Start Date]]))</f>
        <v>WK_30</v>
      </c>
      <c r="J703" s="12">
        <v>45859.782858796294</v>
      </c>
      <c r="K703" s="10">
        <v>36</v>
      </c>
      <c r="L703" s="10" t="s">
        <v>25</v>
      </c>
      <c r="M703" s="10" t="s">
        <v>75</v>
      </c>
      <c r="N703" s="13">
        <f t="shared" si="10"/>
        <v>0.05</v>
      </c>
      <c r="O703" s="14" t="s">
        <v>49</v>
      </c>
      <c r="P703" s="14" t="s">
        <v>49</v>
      </c>
      <c r="Q703" s="14"/>
      <c r="R703" s="14"/>
      <c r="S703" s="14" t="s">
        <v>2474</v>
      </c>
      <c r="T703" s="14" t="s">
        <v>2475</v>
      </c>
      <c r="U703" s="15">
        <v>0</v>
      </c>
      <c r="V703" s="10">
        <v>1</v>
      </c>
    </row>
    <row r="704" spans="1:22" ht="18" customHeight="1" x14ac:dyDescent="0.35">
      <c r="A704" s="10" t="s">
        <v>47</v>
      </c>
      <c r="B704" s="10" t="s">
        <v>3325</v>
      </c>
      <c r="C704" s="11" t="s">
        <v>3117</v>
      </c>
      <c r="D704" s="11" t="s">
        <v>74</v>
      </c>
      <c r="E704" s="12">
        <v>45859.596493055556</v>
      </c>
      <c r="F704" s="10" t="str">
        <f>TEXT(events[[#This Row],[Start Date]],"DDD")</f>
        <v>Mon</v>
      </c>
      <c r="G704" s="10">
        <f>YEAR(events[[#This Row],[Start Date]])</f>
        <v>2025</v>
      </c>
      <c r="H704" s="10" t="str">
        <f>TEXT(events[[#This Row],[Start Date]],"mmm")</f>
        <v>Jul</v>
      </c>
      <c r="I704" s="10" t="str">
        <f>CONCATENATE("WK_",WEEKNUM(events[[#This Row],[Start Date]]))</f>
        <v>WK_30</v>
      </c>
      <c r="J704" s="12">
        <v>45859.596585648149</v>
      </c>
      <c r="K704" s="10">
        <v>83</v>
      </c>
      <c r="L704" s="10" t="s">
        <v>25</v>
      </c>
      <c r="M704" s="10" t="s">
        <v>357</v>
      </c>
      <c r="N704" s="13">
        <f t="shared" si="10"/>
        <v>0.13333333333333333</v>
      </c>
      <c r="O704" s="14" t="s">
        <v>65</v>
      </c>
      <c r="P704" s="14" t="s">
        <v>65</v>
      </c>
      <c r="Q704" s="14"/>
      <c r="R704" s="14"/>
      <c r="S704" s="14" t="s">
        <v>2459</v>
      </c>
      <c r="T704" s="14" t="s">
        <v>2460</v>
      </c>
      <c r="U704" s="15">
        <v>0.1953</v>
      </c>
      <c r="V704" s="10">
        <v>1</v>
      </c>
    </row>
    <row r="705" spans="1:22" ht="18" customHeight="1" x14ac:dyDescent="0.35">
      <c r="A705" s="10" t="s">
        <v>47</v>
      </c>
      <c r="B705" s="10" t="s">
        <v>3325</v>
      </c>
      <c r="C705" s="11" t="s">
        <v>3117</v>
      </c>
      <c r="D705" s="11" t="s">
        <v>74</v>
      </c>
      <c r="E705" s="12">
        <v>45859.326331018521</v>
      </c>
      <c r="F705" s="10" t="str">
        <f>TEXT(events[[#This Row],[Start Date]],"DDD")</f>
        <v>Mon</v>
      </c>
      <c r="G705" s="10">
        <f>YEAR(events[[#This Row],[Start Date]])</f>
        <v>2025</v>
      </c>
      <c r="H705" s="10" t="str">
        <f>TEXT(events[[#This Row],[Start Date]],"mmm")</f>
        <v>Jul</v>
      </c>
      <c r="I705" s="10" t="str">
        <f>CONCATENATE("WK_",WEEKNUM(events[[#This Row],[Start Date]]))</f>
        <v>WK_30</v>
      </c>
      <c r="J705" s="12">
        <v>45859.326342592591</v>
      </c>
      <c r="K705" s="10">
        <v>81</v>
      </c>
      <c r="L705" s="10" t="s">
        <v>25</v>
      </c>
      <c r="M705" s="10" t="s">
        <v>26</v>
      </c>
      <c r="N705" s="13">
        <f t="shared" si="10"/>
        <v>1.6666666666666666E-2</v>
      </c>
      <c r="O705" s="14" t="s">
        <v>65</v>
      </c>
      <c r="P705" s="14" t="s">
        <v>65</v>
      </c>
      <c r="Q705" s="14"/>
      <c r="R705" s="14"/>
      <c r="S705" s="14" t="s">
        <v>2457</v>
      </c>
      <c r="T705" s="14" t="s">
        <v>2458</v>
      </c>
      <c r="U705" s="15">
        <v>0.1016</v>
      </c>
      <c r="V705" s="10">
        <v>1</v>
      </c>
    </row>
    <row r="706" spans="1:22" ht="18" customHeight="1" x14ac:dyDescent="0.35">
      <c r="A706" s="10" t="s">
        <v>123</v>
      </c>
      <c r="B706" s="10" t="s">
        <v>3327</v>
      </c>
      <c r="C706" s="11" t="s">
        <v>3119</v>
      </c>
      <c r="D706" s="11" t="s">
        <v>74</v>
      </c>
      <c r="E706" s="12">
        <v>45859.207199074073</v>
      </c>
      <c r="F706" s="10" t="str">
        <f>TEXT(events[[#This Row],[Start Date]],"DDD")</f>
        <v>Mon</v>
      </c>
      <c r="G706" s="10">
        <f>YEAR(events[[#This Row],[Start Date]])</f>
        <v>2025</v>
      </c>
      <c r="H706" s="10" t="str">
        <f>TEXT(events[[#This Row],[Start Date]],"mmm")</f>
        <v>Jul</v>
      </c>
      <c r="I706" s="10" t="str">
        <f>CONCATENATE("WK_",WEEKNUM(events[[#This Row],[Start Date]]))</f>
        <v>WK_30</v>
      </c>
      <c r="J706" s="12">
        <v>45859.207499999997</v>
      </c>
      <c r="K706" s="10">
        <v>94</v>
      </c>
      <c r="L706" s="10" t="s">
        <v>25</v>
      </c>
      <c r="M706" s="10" t="s">
        <v>128</v>
      </c>
      <c r="N706" s="13">
        <f t="shared" ref="N706:N769" si="11">HOUR(M706)*60+MINUTE(M706)+SECOND(M706)/60</f>
        <v>0.41666666666666669</v>
      </c>
      <c r="O706" s="14"/>
      <c r="P706" s="14"/>
      <c r="Q706" s="14"/>
      <c r="R706" s="14"/>
      <c r="S706" s="14" t="s">
        <v>2487</v>
      </c>
      <c r="T706" s="14" t="s">
        <v>2466</v>
      </c>
      <c r="U706" s="15">
        <v>0.7</v>
      </c>
      <c r="V706" s="10">
        <v>1</v>
      </c>
    </row>
    <row r="707" spans="1:22" ht="18" customHeight="1" x14ac:dyDescent="0.35">
      <c r="A707" s="10" t="s">
        <v>47</v>
      </c>
      <c r="B707" s="10" t="s">
        <v>3231</v>
      </c>
      <c r="C707" s="11" t="s">
        <v>2998</v>
      </c>
      <c r="D707" s="11" t="s">
        <v>24</v>
      </c>
      <c r="E707" s="12">
        <v>45858.520451388889</v>
      </c>
      <c r="F707" s="10" t="str">
        <f>TEXT(events[[#This Row],[Start Date]],"DDD")</f>
        <v>Sun</v>
      </c>
      <c r="G707" s="10">
        <f>YEAR(events[[#This Row],[Start Date]])</f>
        <v>2025</v>
      </c>
      <c r="H707" s="10" t="str">
        <f>TEXT(events[[#This Row],[Start Date]],"mmm")</f>
        <v>Jul</v>
      </c>
      <c r="I707" s="10" t="str">
        <f>CONCATENATE("WK_",WEEKNUM(events[[#This Row],[Start Date]]))</f>
        <v>WK_30</v>
      </c>
      <c r="J707" s="12">
        <v>45858.520532407405</v>
      </c>
      <c r="K707" s="10">
        <v>63</v>
      </c>
      <c r="L707" s="10" t="s">
        <v>25</v>
      </c>
      <c r="M707" s="10" t="s">
        <v>115</v>
      </c>
      <c r="N707" s="13">
        <f t="shared" si="11"/>
        <v>0.11666666666666667</v>
      </c>
      <c r="O707" s="14" t="s">
        <v>65</v>
      </c>
      <c r="P707" s="14" t="s">
        <v>65</v>
      </c>
      <c r="Q707" s="14"/>
      <c r="R707" s="14"/>
      <c r="S707" s="14" t="s">
        <v>2463</v>
      </c>
      <c r="T707" s="14" t="s">
        <v>2464</v>
      </c>
      <c r="U707" s="15">
        <v>0.125</v>
      </c>
      <c r="V707" s="10">
        <v>1</v>
      </c>
    </row>
    <row r="708" spans="1:22" ht="18" customHeight="1" x14ac:dyDescent="0.35">
      <c r="A708" s="10" t="s">
        <v>123</v>
      </c>
      <c r="B708" s="10" t="s">
        <v>3328</v>
      </c>
      <c r="C708" s="11" t="s">
        <v>3120</v>
      </c>
      <c r="D708" s="11" t="s">
        <v>74</v>
      </c>
      <c r="E708" s="12">
        <v>45857.986886574072</v>
      </c>
      <c r="F708" s="10" t="str">
        <f>TEXT(events[[#This Row],[Start Date]],"DDD")</f>
        <v>Sat</v>
      </c>
      <c r="G708" s="10">
        <f>YEAR(events[[#This Row],[Start Date]])</f>
        <v>2025</v>
      </c>
      <c r="H708" s="10" t="str">
        <f>TEXT(events[[#This Row],[Start Date]],"mmm")</f>
        <v>Jul</v>
      </c>
      <c r="I708" s="10" t="str">
        <f>CONCATENATE("WK_",WEEKNUM(events[[#This Row],[Start Date]]))</f>
        <v>WK_29</v>
      </c>
      <c r="J708" s="12">
        <v>45857.98746527778</v>
      </c>
      <c r="K708" s="10">
        <v>93</v>
      </c>
      <c r="L708" s="10" t="s">
        <v>25</v>
      </c>
      <c r="M708" s="10" t="s">
        <v>580</v>
      </c>
      <c r="N708" s="13">
        <f t="shared" si="11"/>
        <v>0.83333333333333337</v>
      </c>
      <c r="O708" s="14"/>
      <c r="P708" s="14"/>
      <c r="Q708" s="14"/>
      <c r="R708" s="14"/>
      <c r="S708" s="14" t="s">
        <v>2493</v>
      </c>
      <c r="T708" s="14" t="s">
        <v>2494</v>
      </c>
      <c r="U708" s="15">
        <v>1.2</v>
      </c>
      <c r="V708" s="10">
        <v>1</v>
      </c>
    </row>
    <row r="709" spans="1:22" ht="18" customHeight="1" x14ac:dyDescent="0.35">
      <c r="A709" s="10" t="s">
        <v>86</v>
      </c>
      <c r="B709" s="10" t="s">
        <v>3205</v>
      </c>
      <c r="C709" s="11" t="s">
        <v>2943</v>
      </c>
      <c r="D709" s="11" t="s">
        <v>678</v>
      </c>
      <c r="E709" s="12">
        <v>45857.691932870373</v>
      </c>
      <c r="F709" s="10" t="str">
        <f>TEXT(events[[#This Row],[Start Date]],"DDD")</f>
        <v>Sat</v>
      </c>
      <c r="G709" s="10">
        <f>YEAR(events[[#This Row],[Start Date]])</f>
        <v>2025</v>
      </c>
      <c r="H709" s="10" t="str">
        <f>TEXT(events[[#This Row],[Start Date]],"mmm")</f>
        <v>Jul</v>
      </c>
      <c r="I709" s="10" t="str">
        <f>CONCATENATE("WK_",WEEKNUM(events[[#This Row],[Start Date]]))</f>
        <v>WK_29</v>
      </c>
      <c r="J709" s="12">
        <v>45857.69195601852</v>
      </c>
      <c r="K709" s="10">
        <v>15</v>
      </c>
      <c r="L709" s="10" t="s">
        <v>83</v>
      </c>
      <c r="M709" s="10" t="s">
        <v>31</v>
      </c>
      <c r="N709" s="13">
        <f t="shared" si="11"/>
        <v>3.3333333333333333E-2</v>
      </c>
      <c r="O709" s="14" t="s">
        <v>231</v>
      </c>
      <c r="P709" s="14"/>
      <c r="Q709" s="14"/>
      <c r="R709" s="14"/>
      <c r="S709" s="14" t="s">
        <v>2486</v>
      </c>
      <c r="T709" s="14"/>
      <c r="U709" s="15">
        <v>0</v>
      </c>
      <c r="V709" s="10">
        <v>1</v>
      </c>
    </row>
    <row r="710" spans="1:22" ht="18" customHeight="1" x14ac:dyDescent="0.35">
      <c r="A710" s="10" t="s">
        <v>86</v>
      </c>
      <c r="B710" s="10" t="s">
        <v>3204</v>
      </c>
      <c r="C710" s="11" t="s">
        <v>3008</v>
      </c>
      <c r="D710" s="11" t="s">
        <v>24</v>
      </c>
      <c r="E710" s="12">
        <v>45857.661793981482</v>
      </c>
      <c r="F710" s="10" t="str">
        <f>TEXT(events[[#This Row],[Start Date]],"DDD")</f>
        <v>Sat</v>
      </c>
      <c r="G710" s="10">
        <f>YEAR(events[[#This Row],[Start Date]])</f>
        <v>2025</v>
      </c>
      <c r="H710" s="10" t="str">
        <f>TEXT(events[[#This Row],[Start Date]],"mmm")</f>
        <v>Jul</v>
      </c>
      <c r="I710" s="10" t="str">
        <f>CONCATENATE("WK_",WEEKNUM(events[[#This Row],[Start Date]]))</f>
        <v>WK_29</v>
      </c>
      <c r="J710" s="12">
        <v>45857.661944444444</v>
      </c>
      <c r="K710" s="10">
        <v>40</v>
      </c>
      <c r="L710" s="10" t="s">
        <v>25</v>
      </c>
      <c r="M710" s="10" t="s">
        <v>167</v>
      </c>
      <c r="N710" s="13">
        <f t="shared" si="11"/>
        <v>0.21666666666666667</v>
      </c>
      <c r="O710" s="14" t="s">
        <v>1436</v>
      </c>
      <c r="P710" s="14" t="s">
        <v>1436</v>
      </c>
      <c r="Q710" s="14"/>
      <c r="R710" s="14"/>
      <c r="S710" s="14" t="s">
        <v>2470</v>
      </c>
      <c r="T710" s="14" t="s">
        <v>2471</v>
      </c>
      <c r="U710" s="15">
        <v>0.25</v>
      </c>
      <c r="V710" s="10">
        <v>1</v>
      </c>
    </row>
    <row r="711" spans="1:22" ht="18" customHeight="1" x14ac:dyDescent="0.35">
      <c r="A711" s="10" t="s">
        <v>123</v>
      </c>
      <c r="B711" s="10" t="s">
        <v>3329</v>
      </c>
      <c r="C711" s="11" t="s">
        <v>3121</v>
      </c>
      <c r="D711" s="11" t="s">
        <v>74</v>
      </c>
      <c r="E711" s="12">
        <v>45856.932083333333</v>
      </c>
      <c r="F711" s="10" t="str">
        <f>TEXT(events[[#This Row],[Start Date]],"DDD")</f>
        <v>Fri</v>
      </c>
      <c r="G711" s="10">
        <f>YEAR(events[[#This Row],[Start Date]])</f>
        <v>2025</v>
      </c>
      <c r="H711" s="10" t="str">
        <f>TEXT(events[[#This Row],[Start Date]],"mmm")</f>
        <v>Jul</v>
      </c>
      <c r="I711" s="10" t="str">
        <f>CONCATENATE("WK_",WEEKNUM(events[[#This Row],[Start Date]]))</f>
        <v>WK_29</v>
      </c>
      <c r="J711" s="12">
        <v>45856.932858796295</v>
      </c>
      <c r="K711" s="10">
        <v>90</v>
      </c>
      <c r="L711" s="10" t="s">
        <v>25</v>
      </c>
      <c r="M711" s="10" t="s">
        <v>2490</v>
      </c>
      <c r="N711" s="13">
        <f t="shared" si="11"/>
        <v>1.1000000000000001</v>
      </c>
      <c r="O711" s="14"/>
      <c r="P711" s="14"/>
      <c r="Q711" s="14"/>
      <c r="R711" s="14"/>
      <c r="S711" s="14" t="s">
        <v>2491</v>
      </c>
      <c r="T711" s="14" t="s">
        <v>2492</v>
      </c>
      <c r="U711" s="15">
        <v>1.6</v>
      </c>
      <c r="V711" s="10">
        <v>1</v>
      </c>
    </row>
    <row r="712" spans="1:22" ht="18" customHeight="1" x14ac:dyDescent="0.35">
      <c r="A712" s="10" t="s">
        <v>86</v>
      </c>
      <c r="B712" s="10" t="s">
        <v>3210</v>
      </c>
      <c r="C712" s="11" t="s">
        <v>2979</v>
      </c>
      <c r="D712" s="11" t="s">
        <v>678</v>
      </c>
      <c r="E712" s="12">
        <v>45856.757824074077</v>
      </c>
      <c r="F712" s="10" t="str">
        <f>TEXT(events[[#This Row],[Start Date]],"DDD")</f>
        <v>Fri</v>
      </c>
      <c r="G712" s="10">
        <f>YEAR(events[[#This Row],[Start Date]])</f>
        <v>2025</v>
      </c>
      <c r="H712" s="10" t="str">
        <f>TEXT(events[[#This Row],[Start Date]],"mmm")</f>
        <v>Jul</v>
      </c>
      <c r="I712" s="10" t="str">
        <f>CONCATENATE("WK_",WEEKNUM(events[[#This Row],[Start Date]]))</f>
        <v>WK_29</v>
      </c>
      <c r="J712" s="12">
        <v>45856.757824074077</v>
      </c>
      <c r="K712" s="10">
        <v>16</v>
      </c>
      <c r="L712" s="10" t="s">
        <v>83</v>
      </c>
      <c r="M712" s="10" t="s">
        <v>87</v>
      </c>
      <c r="N712" s="13">
        <f t="shared" si="11"/>
        <v>0</v>
      </c>
      <c r="O712" s="14" t="s">
        <v>92</v>
      </c>
      <c r="P712" s="14" t="s">
        <v>92</v>
      </c>
      <c r="Q712" s="14" t="s">
        <v>2467</v>
      </c>
      <c r="R712" s="14" t="s">
        <v>2467</v>
      </c>
      <c r="S712" s="14" t="s">
        <v>2468</v>
      </c>
      <c r="T712" s="14" t="s">
        <v>2468</v>
      </c>
      <c r="U712" s="15">
        <v>0</v>
      </c>
      <c r="V712" s="10">
        <v>1</v>
      </c>
    </row>
    <row r="713" spans="1:22" ht="18" customHeight="1" x14ac:dyDescent="0.35">
      <c r="A713" s="10" t="s">
        <v>23</v>
      </c>
      <c r="B713" s="10" t="s">
        <v>3295</v>
      </c>
      <c r="C713" s="11" t="s">
        <v>3081</v>
      </c>
      <c r="D713" s="11" t="s">
        <v>24</v>
      </c>
      <c r="E713" s="12">
        <v>45856.660601851851</v>
      </c>
      <c r="F713" s="10" t="str">
        <f>TEXT(events[[#This Row],[Start Date]],"DDD")</f>
        <v>Fri</v>
      </c>
      <c r="G713" s="10">
        <f>YEAR(events[[#This Row],[Start Date]])</f>
        <v>2025</v>
      </c>
      <c r="H713" s="10" t="str">
        <f>TEXT(events[[#This Row],[Start Date]],"mmm")</f>
        <v>Jul</v>
      </c>
      <c r="I713" s="10" t="str">
        <f>CONCATENATE("WK_",WEEKNUM(events[[#This Row],[Start Date]]))</f>
        <v>WK_29</v>
      </c>
      <c r="J713" s="12">
        <v>45856.660775462966</v>
      </c>
      <c r="K713" s="10">
        <v>66</v>
      </c>
      <c r="L713" s="10" t="s">
        <v>25</v>
      </c>
      <c r="M713" s="10" t="s">
        <v>394</v>
      </c>
      <c r="N713" s="13">
        <f t="shared" si="11"/>
        <v>0.25</v>
      </c>
      <c r="O713" s="14" t="s">
        <v>142</v>
      </c>
      <c r="P713" s="14" t="s">
        <v>142</v>
      </c>
      <c r="Q713" s="14"/>
      <c r="R713" s="14"/>
      <c r="S713" s="14" t="s">
        <v>2448</v>
      </c>
      <c r="T713" s="14" t="s">
        <v>2449</v>
      </c>
      <c r="U713" s="15">
        <v>0.28129999999999999</v>
      </c>
      <c r="V713" s="10">
        <v>1</v>
      </c>
    </row>
    <row r="714" spans="1:22" ht="18" customHeight="1" x14ac:dyDescent="0.35">
      <c r="A714" s="10" t="s">
        <v>86</v>
      </c>
      <c r="B714" s="10" t="s">
        <v>3213</v>
      </c>
      <c r="C714" s="11" t="s">
        <v>3054</v>
      </c>
      <c r="D714" s="11" t="s">
        <v>678</v>
      </c>
      <c r="E714" s="12">
        <v>45856.467210648145</v>
      </c>
      <c r="F714" s="10" t="str">
        <f>TEXT(events[[#This Row],[Start Date]],"DDD")</f>
        <v>Fri</v>
      </c>
      <c r="G714" s="10">
        <f>YEAR(events[[#This Row],[Start Date]])</f>
        <v>2025</v>
      </c>
      <c r="H714" s="10" t="str">
        <f>TEXT(events[[#This Row],[Start Date]],"mmm")</f>
        <v>Jul</v>
      </c>
      <c r="I714" s="10" t="str">
        <f>CONCATENATE("WK_",WEEKNUM(events[[#This Row],[Start Date]]))</f>
        <v>WK_29</v>
      </c>
      <c r="J714" s="12">
        <v>45856.467210648145</v>
      </c>
      <c r="K714" s="10">
        <v>11</v>
      </c>
      <c r="L714" s="10" t="s">
        <v>83</v>
      </c>
      <c r="M714" s="10" t="s">
        <v>87</v>
      </c>
      <c r="N714" s="13">
        <f t="shared" si="11"/>
        <v>0</v>
      </c>
      <c r="O714" s="14" t="s">
        <v>92</v>
      </c>
      <c r="P714" s="14" t="s">
        <v>92</v>
      </c>
      <c r="Q714" s="14"/>
      <c r="R714" s="14"/>
      <c r="S714" s="14" t="s">
        <v>2469</v>
      </c>
      <c r="T714" s="14" t="s">
        <v>2469</v>
      </c>
      <c r="U714" s="15">
        <v>0</v>
      </c>
      <c r="V714" s="10">
        <v>1</v>
      </c>
    </row>
    <row r="715" spans="1:22" ht="18" customHeight="1" x14ac:dyDescent="0.35">
      <c r="A715" s="10" t="s">
        <v>123</v>
      </c>
      <c r="B715" s="10" t="s">
        <v>3330</v>
      </c>
      <c r="C715" s="11" t="s">
        <v>3122</v>
      </c>
      <c r="D715" s="11" t="s">
        <v>74</v>
      </c>
      <c r="E715" s="12">
        <v>45856.436736111114</v>
      </c>
      <c r="F715" s="10" t="str">
        <f>TEXT(events[[#This Row],[Start Date]],"DDD")</f>
        <v>Fri</v>
      </c>
      <c r="G715" s="10">
        <f>YEAR(events[[#This Row],[Start Date]])</f>
        <v>2025</v>
      </c>
      <c r="H715" s="10" t="str">
        <f>TEXT(events[[#This Row],[Start Date]],"mmm")</f>
        <v>Jul</v>
      </c>
      <c r="I715" s="10" t="str">
        <f>CONCATENATE("WK_",WEEKNUM(events[[#This Row],[Start Date]]))</f>
        <v>WK_29</v>
      </c>
      <c r="J715" s="12">
        <v>45856.437777777777</v>
      </c>
      <c r="K715" s="10">
        <v>90</v>
      </c>
      <c r="L715" s="10" t="s">
        <v>25</v>
      </c>
      <c r="M715" s="10" t="s">
        <v>365</v>
      </c>
      <c r="N715" s="13">
        <f t="shared" si="11"/>
        <v>1.5</v>
      </c>
      <c r="O715" s="14"/>
      <c r="P715" s="14"/>
      <c r="Q715" s="14"/>
      <c r="R715" s="14"/>
      <c r="S715" s="14" t="s">
        <v>2488</v>
      </c>
      <c r="T715" s="14" t="s">
        <v>2489</v>
      </c>
      <c r="U715" s="15">
        <v>2.1</v>
      </c>
      <c r="V715" s="10">
        <v>1</v>
      </c>
    </row>
    <row r="716" spans="1:22" ht="18" customHeight="1" x14ac:dyDescent="0.35">
      <c r="A716" s="10" t="s">
        <v>47</v>
      </c>
      <c r="B716" s="10" t="s">
        <v>3325</v>
      </c>
      <c r="C716" s="11" t="s">
        <v>3117</v>
      </c>
      <c r="D716" s="11" t="s">
        <v>74</v>
      </c>
      <c r="E716" s="12">
        <v>45856.291087962964</v>
      </c>
      <c r="F716" s="10" t="str">
        <f>TEXT(events[[#This Row],[Start Date]],"DDD")</f>
        <v>Fri</v>
      </c>
      <c r="G716" s="10">
        <f>YEAR(events[[#This Row],[Start Date]])</f>
        <v>2025</v>
      </c>
      <c r="H716" s="10" t="str">
        <f>TEXT(events[[#This Row],[Start Date]],"mmm")</f>
        <v>Jul</v>
      </c>
      <c r="I716" s="10" t="str">
        <f>CONCATENATE("WK_",WEEKNUM(events[[#This Row],[Start Date]]))</f>
        <v>WK_29</v>
      </c>
      <c r="J716" s="12">
        <v>45856.29115740741</v>
      </c>
      <c r="K716" s="10">
        <v>83</v>
      </c>
      <c r="L716" s="10" t="s">
        <v>25</v>
      </c>
      <c r="M716" s="10" t="s">
        <v>328</v>
      </c>
      <c r="N716" s="13">
        <f t="shared" si="11"/>
        <v>0.1</v>
      </c>
      <c r="O716" s="14" t="s">
        <v>138</v>
      </c>
      <c r="P716" s="14" t="s">
        <v>138</v>
      </c>
      <c r="Q716" s="14"/>
      <c r="R716" s="14"/>
      <c r="S716" s="14" t="s">
        <v>2455</v>
      </c>
      <c r="T716" s="14" t="s">
        <v>2456</v>
      </c>
      <c r="U716" s="15">
        <v>0.1016</v>
      </c>
      <c r="V716" s="10">
        <v>1</v>
      </c>
    </row>
    <row r="717" spans="1:22" ht="18" customHeight="1" x14ac:dyDescent="0.35">
      <c r="A717" s="10" t="s">
        <v>123</v>
      </c>
      <c r="B717" s="10" t="s">
        <v>3312</v>
      </c>
      <c r="C717" s="11" t="s">
        <v>3102</v>
      </c>
      <c r="D717" s="11" t="s">
        <v>74</v>
      </c>
      <c r="E717" s="12">
        <v>45855.985138888886</v>
      </c>
      <c r="F717" s="10" t="str">
        <f>TEXT(events[[#This Row],[Start Date]],"DDD")</f>
        <v>Thu</v>
      </c>
      <c r="G717" s="10">
        <f>YEAR(events[[#This Row],[Start Date]])</f>
        <v>2025</v>
      </c>
      <c r="H717" s="10" t="str">
        <f>TEXT(events[[#This Row],[Start Date]],"mmm")</f>
        <v>Jul</v>
      </c>
      <c r="I717" s="10" t="str">
        <f>CONCATENATE("WK_",WEEKNUM(events[[#This Row],[Start Date]]))</f>
        <v>WK_29</v>
      </c>
      <c r="J717" s="12">
        <v>45855.985949074071</v>
      </c>
      <c r="K717" s="10">
        <v>113</v>
      </c>
      <c r="L717" s="10" t="s">
        <v>25</v>
      </c>
      <c r="M717" s="10" t="s">
        <v>712</v>
      </c>
      <c r="N717" s="13">
        <f t="shared" si="11"/>
        <v>1.1499999999999999</v>
      </c>
      <c r="O717" s="14"/>
      <c r="P717" s="14"/>
      <c r="Q717" s="14"/>
      <c r="R717" s="14"/>
      <c r="S717" s="14" t="s">
        <v>2504</v>
      </c>
      <c r="T717" s="14" t="s">
        <v>2505</v>
      </c>
      <c r="U717" s="15">
        <v>2</v>
      </c>
      <c r="V717" s="10">
        <v>1</v>
      </c>
    </row>
    <row r="718" spans="1:22" ht="18" customHeight="1" x14ac:dyDescent="0.35">
      <c r="A718" s="10" t="s">
        <v>47</v>
      </c>
      <c r="B718" s="10" t="s">
        <v>3270</v>
      </c>
      <c r="C718" s="11" t="s">
        <v>3046</v>
      </c>
      <c r="D718" s="11" t="s">
        <v>82</v>
      </c>
      <c r="E718" s="12">
        <v>45855.764999999999</v>
      </c>
      <c r="F718" s="10" t="str">
        <f>TEXT(events[[#This Row],[Start Date]],"DDD")</f>
        <v>Thu</v>
      </c>
      <c r="G718" s="10">
        <f>YEAR(events[[#This Row],[Start Date]])</f>
        <v>2025</v>
      </c>
      <c r="H718" s="10" t="str">
        <f>TEXT(events[[#This Row],[Start Date]],"mmm")</f>
        <v>Jul</v>
      </c>
      <c r="I718" s="10" t="str">
        <f>CONCATENATE("WK_",WEEKNUM(events[[#This Row],[Start Date]]))</f>
        <v>WK_29</v>
      </c>
      <c r="J718" s="12">
        <v>45855.765011574076</v>
      </c>
      <c r="K718" s="10">
        <v>18</v>
      </c>
      <c r="L718" s="10" t="s">
        <v>83</v>
      </c>
      <c r="M718" s="10" t="s">
        <v>26</v>
      </c>
      <c r="N718" s="13">
        <f t="shared" si="11"/>
        <v>1.6666666666666666E-2</v>
      </c>
      <c r="O718" s="14" t="s">
        <v>92</v>
      </c>
      <c r="P718" s="14"/>
      <c r="Q718" s="14"/>
      <c r="R718" s="14"/>
      <c r="S718" s="14" t="s">
        <v>2465</v>
      </c>
      <c r="T718" s="14" t="s">
        <v>2466</v>
      </c>
      <c r="U718" s="15">
        <v>0</v>
      </c>
      <c r="V718" s="10">
        <v>1</v>
      </c>
    </row>
    <row r="719" spans="1:22" ht="18" customHeight="1" x14ac:dyDescent="0.35">
      <c r="A719" s="10" t="s">
        <v>86</v>
      </c>
      <c r="B719" s="10" t="s">
        <v>3236</v>
      </c>
      <c r="C719" s="11" t="s">
        <v>3113</v>
      </c>
      <c r="D719" s="11" t="s">
        <v>24</v>
      </c>
      <c r="E719" s="12">
        <v>45855.694293981483</v>
      </c>
      <c r="F719" s="10" t="str">
        <f>TEXT(events[[#This Row],[Start Date]],"DDD")</f>
        <v>Thu</v>
      </c>
      <c r="G719" s="10">
        <f>YEAR(events[[#This Row],[Start Date]])</f>
        <v>2025</v>
      </c>
      <c r="H719" s="10" t="str">
        <f>TEXT(events[[#This Row],[Start Date]],"mmm")</f>
        <v>Jul</v>
      </c>
      <c r="I719" s="10" t="str">
        <f>CONCATENATE("WK_",WEEKNUM(events[[#This Row],[Start Date]]))</f>
        <v>WK_29</v>
      </c>
      <c r="J719" s="12">
        <v>45855.69431712963</v>
      </c>
      <c r="K719" s="10">
        <v>40</v>
      </c>
      <c r="L719" s="10" t="s">
        <v>25</v>
      </c>
      <c r="M719" s="10" t="s">
        <v>31</v>
      </c>
      <c r="N719" s="13">
        <f t="shared" si="11"/>
        <v>3.3333333333333333E-2</v>
      </c>
      <c r="O719" s="14" t="s">
        <v>231</v>
      </c>
      <c r="P719" s="14" t="s">
        <v>231</v>
      </c>
      <c r="Q719" s="14"/>
      <c r="R719" s="14"/>
      <c r="S719" s="14" t="s">
        <v>2472</v>
      </c>
      <c r="T719" s="14" t="s">
        <v>2473</v>
      </c>
      <c r="U719" s="15">
        <v>9.3700000000000006E-2</v>
      </c>
      <c r="V719" s="10">
        <v>1</v>
      </c>
    </row>
    <row r="720" spans="1:22" ht="18" customHeight="1" x14ac:dyDescent="0.35">
      <c r="A720" s="10" t="s">
        <v>47</v>
      </c>
      <c r="B720" s="10" t="s">
        <v>3322</v>
      </c>
      <c r="C720" s="11" t="s">
        <v>3111</v>
      </c>
      <c r="D720" s="11" t="s">
        <v>24</v>
      </c>
      <c r="E720" s="12">
        <v>45855.442766203705</v>
      </c>
      <c r="F720" s="10" t="str">
        <f>TEXT(events[[#This Row],[Start Date]],"DDD")</f>
        <v>Thu</v>
      </c>
      <c r="G720" s="10">
        <f>YEAR(events[[#This Row],[Start Date]])</f>
        <v>2025</v>
      </c>
      <c r="H720" s="10" t="str">
        <f>TEXT(events[[#This Row],[Start Date]],"mmm")</f>
        <v>Jul</v>
      </c>
      <c r="I720" s="10" t="str">
        <f>CONCATENATE("WK_",WEEKNUM(events[[#This Row],[Start Date]]))</f>
        <v>WK_29</v>
      </c>
      <c r="J720" s="12">
        <v>45855.442766203705</v>
      </c>
      <c r="K720" s="10">
        <v>59</v>
      </c>
      <c r="L720" s="10" t="s">
        <v>25</v>
      </c>
      <c r="M720" s="10" t="s">
        <v>87</v>
      </c>
      <c r="N720" s="13">
        <f t="shared" si="11"/>
        <v>0</v>
      </c>
      <c r="O720" s="14" t="s">
        <v>92</v>
      </c>
      <c r="P720" s="14" t="s">
        <v>92</v>
      </c>
      <c r="Q720" s="14"/>
      <c r="R720" s="14"/>
      <c r="S720" s="14" t="s">
        <v>2454</v>
      </c>
      <c r="T720" s="14" t="s">
        <v>2454</v>
      </c>
      <c r="U720" s="15">
        <v>0</v>
      </c>
      <c r="V720" s="10">
        <v>1</v>
      </c>
    </row>
    <row r="721" spans="1:22" ht="18" customHeight="1" x14ac:dyDescent="0.35">
      <c r="A721" s="10" t="s">
        <v>86</v>
      </c>
      <c r="B721" s="10" t="s">
        <v>3205</v>
      </c>
      <c r="C721" s="11" t="s">
        <v>2973</v>
      </c>
      <c r="D721" s="11" t="s">
        <v>24</v>
      </c>
      <c r="E721" s="12">
        <v>45855.335787037038</v>
      </c>
      <c r="F721" s="10" t="str">
        <f>TEXT(events[[#This Row],[Start Date]],"DDD")</f>
        <v>Thu</v>
      </c>
      <c r="G721" s="10">
        <f>YEAR(events[[#This Row],[Start Date]])</f>
        <v>2025</v>
      </c>
      <c r="H721" s="10" t="str">
        <f>TEXT(events[[#This Row],[Start Date]],"mmm")</f>
        <v>Jul</v>
      </c>
      <c r="I721" s="10" t="str">
        <f>CONCATENATE("WK_",WEEKNUM(events[[#This Row],[Start Date]]))</f>
        <v>WK_29</v>
      </c>
      <c r="J721" s="12">
        <v>45855.335787037038</v>
      </c>
      <c r="K721" s="10">
        <v>38</v>
      </c>
      <c r="L721" s="10" t="s">
        <v>25</v>
      </c>
      <c r="M721" s="10" t="s">
        <v>87</v>
      </c>
      <c r="N721" s="13">
        <f t="shared" si="11"/>
        <v>0</v>
      </c>
      <c r="O721" s="14" t="s">
        <v>38</v>
      </c>
      <c r="P721" s="14" t="s">
        <v>38</v>
      </c>
      <c r="Q721" s="14"/>
      <c r="R721" s="14"/>
      <c r="S721" s="14" t="s">
        <v>2483</v>
      </c>
      <c r="T721" s="14" t="s">
        <v>2483</v>
      </c>
      <c r="U721" s="15">
        <v>0</v>
      </c>
      <c r="V721" s="10">
        <v>1</v>
      </c>
    </row>
    <row r="722" spans="1:22" ht="18" customHeight="1" x14ac:dyDescent="0.35">
      <c r="A722" s="10" t="s">
        <v>86</v>
      </c>
      <c r="B722" s="10" t="s">
        <v>3205</v>
      </c>
      <c r="C722" s="11" t="s">
        <v>2973</v>
      </c>
      <c r="D722" s="11" t="s">
        <v>24</v>
      </c>
      <c r="E722" s="12">
        <v>45855.312372685185</v>
      </c>
      <c r="F722" s="10" t="str">
        <f>TEXT(events[[#This Row],[Start Date]],"DDD")</f>
        <v>Thu</v>
      </c>
      <c r="G722" s="10">
        <f>YEAR(events[[#This Row],[Start Date]])</f>
        <v>2025</v>
      </c>
      <c r="H722" s="10" t="str">
        <f>TEXT(events[[#This Row],[Start Date]],"mmm")</f>
        <v>Jul</v>
      </c>
      <c r="I722" s="10" t="str">
        <f>CONCATENATE("WK_",WEEKNUM(events[[#This Row],[Start Date]]))</f>
        <v>WK_29</v>
      </c>
      <c r="J722" s="12">
        <v>45855.312662037039</v>
      </c>
      <c r="K722" s="10">
        <v>34</v>
      </c>
      <c r="L722" s="10" t="s">
        <v>25</v>
      </c>
      <c r="M722" s="10" t="s">
        <v>128</v>
      </c>
      <c r="N722" s="13">
        <f t="shared" si="11"/>
        <v>0.41666666666666669</v>
      </c>
      <c r="O722" s="14" t="s">
        <v>38</v>
      </c>
      <c r="P722" s="14" t="s">
        <v>38</v>
      </c>
      <c r="Q722" s="14"/>
      <c r="R722" s="14"/>
      <c r="S722" s="14" t="s">
        <v>2481</v>
      </c>
      <c r="T722" s="14" t="s">
        <v>2482</v>
      </c>
      <c r="U722" s="15">
        <v>0.1875</v>
      </c>
      <c r="V722" s="10">
        <v>1</v>
      </c>
    </row>
    <row r="723" spans="1:22" ht="18" customHeight="1" x14ac:dyDescent="0.35">
      <c r="A723" s="10" t="s">
        <v>123</v>
      </c>
      <c r="B723" s="10" t="s">
        <v>3312</v>
      </c>
      <c r="C723" s="11" t="s">
        <v>3102</v>
      </c>
      <c r="D723" s="11" t="s">
        <v>74</v>
      </c>
      <c r="E723" s="12">
        <v>45855.258090277777</v>
      </c>
      <c r="F723" s="10" t="str">
        <f>TEXT(events[[#This Row],[Start Date]],"DDD")</f>
        <v>Thu</v>
      </c>
      <c r="G723" s="10">
        <f>YEAR(events[[#This Row],[Start Date]])</f>
        <v>2025</v>
      </c>
      <c r="H723" s="10" t="str">
        <f>TEXT(events[[#This Row],[Start Date]],"mmm")</f>
        <v>Jul</v>
      </c>
      <c r="I723" s="10" t="str">
        <f>CONCATENATE("WK_",WEEKNUM(events[[#This Row],[Start Date]]))</f>
        <v>WK_29</v>
      </c>
      <c r="J723" s="12">
        <v>45855.258784722224</v>
      </c>
      <c r="K723" s="10">
        <v>105</v>
      </c>
      <c r="L723" s="10" t="s">
        <v>25</v>
      </c>
      <c r="M723" s="10" t="s">
        <v>538</v>
      </c>
      <c r="N723" s="13">
        <f t="shared" si="11"/>
        <v>0.98333333333333328</v>
      </c>
      <c r="O723" s="14"/>
      <c r="P723" s="14"/>
      <c r="Q723" s="14"/>
      <c r="R723" s="14"/>
      <c r="S723" s="14" t="s">
        <v>2502</v>
      </c>
      <c r="T723" s="14" t="s">
        <v>2503</v>
      </c>
      <c r="U723" s="15">
        <v>1.5</v>
      </c>
      <c r="V723" s="10">
        <v>1</v>
      </c>
    </row>
    <row r="724" spans="1:22" ht="18" customHeight="1" x14ac:dyDescent="0.35">
      <c r="A724" s="10" t="s">
        <v>86</v>
      </c>
      <c r="B724" s="10" t="s">
        <v>3169</v>
      </c>
      <c r="C724" s="11" t="s">
        <v>3101</v>
      </c>
      <c r="D724" s="11" t="s">
        <v>24</v>
      </c>
      <c r="E724" s="12">
        <v>45854.848703703705</v>
      </c>
      <c r="F724" s="10" t="str">
        <f>TEXT(events[[#This Row],[Start Date]],"DDD")</f>
        <v>Wed</v>
      </c>
      <c r="G724" s="10">
        <f>YEAR(events[[#This Row],[Start Date]])</f>
        <v>2025</v>
      </c>
      <c r="H724" s="10" t="str">
        <f>TEXT(events[[#This Row],[Start Date]],"mmm")</f>
        <v>Jul</v>
      </c>
      <c r="I724" s="10" t="str">
        <f>CONCATENATE("WK_",WEEKNUM(events[[#This Row],[Start Date]]))</f>
        <v>WK_29</v>
      </c>
      <c r="J724" s="12">
        <v>45854.848761574074</v>
      </c>
      <c r="K724" s="10">
        <v>39</v>
      </c>
      <c r="L724" s="10" t="s">
        <v>25</v>
      </c>
      <c r="M724" s="10" t="s">
        <v>431</v>
      </c>
      <c r="N724" s="13">
        <f t="shared" si="11"/>
        <v>8.3333333333333329E-2</v>
      </c>
      <c r="O724" s="14" t="s">
        <v>321</v>
      </c>
      <c r="P724" s="14" t="s">
        <v>321</v>
      </c>
      <c r="Q724" s="14"/>
      <c r="R724" s="14"/>
      <c r="S724" s="14" t="s">
        <v>2550</v>
      </c>
      <c r="T724" s="14" t="s">
        <v>2551</v>
      </c>
      <c r="U724" s="15">
        <v>0</v>
      </c>
      <c r="V724" s="10">
        <v>1</v>
      </c>
    </row>
    <row r="725" spans="1:22" ht="18" customHeight="1" x14ac:dyDescent="0.35">
      <c r="A725" s="10" t="s">
        <v>123</v>
      </c>
      <c r="B725" s="10" t="s">
        <v>3247</v>
      </c>
      <c r="C725" s="11" t="s">
        <v>3016</v>
      </c>
      <c r="D725" s="11" t="s">
        <v>74</v>
      </c>
      <c r="E725" s="12">
        <v>45854.788159722222</v>
      </c>
      <c r="F725" s="10" t="str">
        <f>TEXT(events[[#This Row],[Start Date]],"DDD")</f>
        <v>Wed</v>
      </c>
      <c r="G725" s="10">
        <f>YEAR(events[[#This Row],[Start Date]])</f>
        <v>2025</v>
      </c>
      <c r="H725" s="10" t="str">
        <f>TEXT(events[[#This Row],[Start Date]],"mmm")</f>
        <v>Jul</v>
      </c>
      <c r="I725" s="10" t="str">
        <f>CONCATENATE("WK_",WEEKNUM(events[[#This Row],[Start Date]]))</f>
        <v>WK_29</v>
      </c>
      <c r="J725" s="12">
        <v>45854.789525462962</v>
      </c>
      <c r="K725" s="10">
        <v>88</v>
      </c>
      <c r="L725" s="10" t="s">
        <v>25</v>
      </c>
      <c r="M725" s="10" t="s">
        <v>408</v>
      </c>
      <c r="N725" s="13">
        <f t="shared" si="11"/>
        <v>1.9666666666666668</v>
      </c>
      <c r="O725" s="14"/>
      <c r="P725" s="14"/>
      <c r="Q725" s="14"/>
      <c r="R725" s="14"/>
      <c r="S725" s="14" t="s">
        <v>2579</v>
      </c>
      <c r="T725" s="14" t="s">
        <v>2580</v>
      </c>
      <c r="U725" s="15">
        <v>3</v>
      </c>
      <c r="V725" s="10">
        <v>1</v>
      </c>
    </row>
    <row r="726" spans="1:22" ht="18" customHeight="1" x14ac:dyDescent="0.35">
      <c r="A726" s="10" t="s">
        <v>86</v>
      </c>
      <c r="B726" s="10" t="s">
        <v>3236</v>
      </c>
      <c r="C726" s="11" t="s">
        <v>3113</v>
      </c>
      <c r="D726" s="11" t="s">
        <v>24</v>
      </c>
      <c r="E726" s="12">
        <v>45854.751759259256</v>
      </c>
      <c r="F726" s="10" t="str">
        <f>TEXT(events[[#This Row],[Start Date]],"DDD")</f>
        <v>Wed</v>
      </c>
      <c r="G726" s="10">
        <f>YEAR(events[[#This Row],[Start Date]])</f>
        <v>2025</v>
      </c>
      <c r="H726" s="10" t="str">
        <f>TEXT(events[[#This Row],[Start Date]],"mmm")</f>
        <v>Jul</v>
      </c>
      <c r="I726" s="10" t="str">
        <f>CONCATENATE("WK_",WEEKNUM(events[[#This Row],[Start Date]]))</f>
        <v>WK_29</v>
      </c>
      <c r="J726" s="12">
        <v>45854.751851851855</v>
      </c>
      <c r="K726" s="10">
        <v>41</v>
      </c>
      <c r="L726" s="10" t="s">
        <v>25</v>
      </c>
      <c r="M726" s="10" t="s">
        <v>357</v>
      </c>
      <c r="N726" s="13">
        <f t="shared" si="11"/>
        <v>0.13333333333333333</v>
      </c>
      <c r="O726" s="14" t="s">
        <v>65</v>
      </c>
      <c r="P726" s="14" t="s">
        <v>65</v>
      </c>
      <c r="Q726" s="14"/>
      <c r="R726" s="14"/>
      <c r="S726" s="14" t="s">
        <v>2553</v>
      </c>
      <c r="T726" s="14" t="s">
        <v>2554</v>
      </c>
      <c r="U726" s="15">
        <v>9.3700000000000006E-2</v>
      </c>
      <c r="V726" s="10">
        <v>1</v>
      </c>
    </row>
    <row r="727" spans="1:22" ht="18" customHeight="1" x14ac:dyDescent="0.35">
      <c r="A727" s="10" t="s">
        <v>23</v>
      </c>
      <c r="B727" s="10" t="s">
        <v>3202</v>
      </c>
      <c r="C727" s="11" t="s">
        <v>2969</v>
      </c>
      <c r="D727" s="11" t="s">
        <v>24</v>
      </c>
      <c r="E727" s="12">
        <v>45854.647141203706</v>
      </c>
      <c r="F727" s="10" t="str">
        <f>TEXT(events[[#This Row],[Start Date]],"DDD")</f>
        <v>Wed</v>
      </c>
      <c r="G727" s="10">
        <f>YEAR(events[[#This Row],[Start Date]])</f>
        <v>2025</v>
      </c>
      <c r="H727" s="10" t="str">
        <f>TEXT(events[[#This Row],[Start Date]],"mmm")</f>
        <v>Jul</v>
      </c>
      <c r="I727" s="10" t="str">
        <f>CONCATENATE("WK_",WEEKNUM(events[[#This Row],[Start Date]]))</f>
        <v>WK_29</v>
      </c>
      <c r="J727" s="12">
        <v>45854.647245370368</v>
      </c>
      <c r="K727" s="10">
        <v>35</v>
      </c>
      <c r="L727" s="10" t="s">
        <v>25</v>
      </c>
      <c r="M727" s="10" t="s">
        <v>414</v>
      </c>
      <c r="N727" s="13">
        <f t="shared" si="11"/>
        <v>0.15</v>
      </c>
      <c r="O727" s="14" t="s">
        <v>38</v>
      </c>
      <c r="P727" s="14" t="s">
        <v>38</v>
      </c>
      <c r="Q727" s="14"/>
      <c r="R727" s="14"/>
      <c r="S727" s="14" t="s">
        <v>2520</v>
      </c>
      <c r="T727" s="14" t="s">
        <v>2521</v>
      </c>
      <c r="U727" s="15">
        <v>0.10929999999999999</v>
      </c>
      <c r="V727" s="10">
        <v>1</v>
      </c>
    </row>
    <row r="728" spans="1:22" ht="18" customHeight="1" x14ac:dyDescent="0.35">
      <c r="A728" s="10" t="s">
        <v>86</v>
      </c>
      <c r="B728" s="10" t="s">
        <v>3205</v>
      </c>
      <c r="C728" s="11" t="s">
        <v>2973</v>
      </c>
      <c r="D728" s="11" t="s">
        <v>24</v>
      </c>
      <c r="E728" s="12">
        <v>45854.602662037039</v>
      </c>
      <c r="F728" s="10" t="str">
        <f>TEXT(events[[#This Row],[Start Date]],"DDD")</f>
        <v>Wed</v>
      </c>
      <c r="G728" s="10">
        <f>YEAR(events[[#This Row],[Start Date]])</f>
        <v>2025</v>
      </c>
      <c r="H728" s="10" t="str">
        <f>TEXT(events[[#This Row],[Start Date]],"mmm")</f>
        <v>Jul</v>
      </c>
      <c r="I728" s="10" t="str">
        <f>CONCATENATE("WK_",WEEKNUM(events[[#This Row],[Start Date]]))</f>
        <v>WK_29</v>
      </c>
      <c r="J728" s="12">
        <v>45854.602662037039</v>
      </c>
      <c r="K728" s="10">
        <v>38</v>
      </c>
      <c r="L728" s="10" t="s">
        <v>25</v>
      </c>
      <c r="M728" s="10" t="s">
        <v>87</v>
      </c>
      <c r="N728" s="13">
        <f t="shared" si="11"/>
        <v>0</v>
      </c>
      <c r="O728" s="14" t="s">
        <v>861</v>
      </c>
      <c r="P728" s="14" t="s">
        <v>861</v>
      </c>
      <c r="Q728" s="14"/>
      <c r="R728" s="14"/>
      <c r="S728" s="14" t="s">
        <v>2570</v>
      </c>
      <c r="T728" s="14" t="s">
        <v>2570</v>
      </c>
      <c r="U728" s="15">
        <v>0</v>
      </c>
      <c r="V728" s="10">
        <v>1</v>
      </c>
    </row>
    <row r="729" spans="1:22" ht="18" customHeight="1" x14ac:dyDescent="0.35">
      <c r="A729" s="10" t="s">
        <v>86</v>
      </c>
      <c r="B729" s="10" t="s">
        <v>3205</v>
      </c>
      <c r="C729" s="11" t="s">
        <v>2973</v>
      </c>
      <c r="D729" s="11" t="s">
        <v>24</v>
      </c>
      <c r="E729" s="12">
        <v>45854.597210648149</v>
      </c>
      <c r="F729" s="10" t="str">
        <f>TEXT(events[[#This Row],[Start Date]],"DDD")</f>
        <v>Wed</v>
      </c>
      <c r="G729" s="10">
        <f>YEAR(events[[#This Row],[Start Date]])</f>
        <v>2025</v>
      </c>
      <c r="H729" s="10" t="str">
        <f>TEXT(events[[#This Row],[Start Date]],"mmm")</f>
        <v>Jul</v>
      </c>
      <c r="I729" s="10" t="str">
        <f>CONCATENATE("WK_",WEEKNUM(events[[#This Row],[Start Date]]))</f>
        <v>WK_29</v>
      </c>
      <c r="J729" s="12">
        <v>45854.597754629627</v>
      </c>
      <c r="K729" s="10">
        <v>37</v>
      </c>
      <c r="L729" s="10" t="s">
        <v>25</v>
      </c>
      <c r="M729" s="10" t="s">
        <v>450</v>
      </c>
      <c r="N729" s="13">
        <f t="shared" si="11"/>
        <v>0.78333333333333333</v>
      </c>
      <c r="O729" s="14" t="s">
        <v>861</v>
      </c>
      <c r="P729" s="14" t="s">
        <v>861</v>
      </c>
      <c r="Q729" s="14"/>
      <c r="R729" s="14"/>
      <c r="S729" s="14" t="s">
        <v>2568</v>
      </c>
      <c r="T729" s="14" t="s">
        <v>2569</v>
      </c>
      <c r="U729" s="15">
        <v>0.5</v>
      </c>
      <c r="V729" s="10">
        <v>1</v>
      </c>
    </row>
    <row r="730" spans="1:22" ht="18" customHeight="1" x14ac:dyDescent="0.35">
      <c r="A730" s="10" t="s">
        <v>23</v>
      </c>
      <c r="B730" s="10" t="s">
        <v>3202</v>
      </c>
      <c r="C730" s="11" t="s">
        <v>2969</v>
      </c>
      <c r="D730" s="11" t="s">
        <v>24</v>
      </c>
      <c r="E730" s="12">
        <v>45854.593541666669</v>
      </c>
      <c r="F730" s="10" t="str">
        <f>TEXT(events[[#This Row],[Start Date]],"DDD")</f>
        <v>Wed</v>
      </c>
      <c r="G730" s="10">
        <f>YEAR(events[[#This Row],[Start Date]])</f>
        <v>2025</v>
      </c>
      <c r="H730" s="10" t="str">
        <f>TEXT(events[[#This Row],[Start Date]],"mmm")</f>
        <v>Jul</v>
      </c>
      <c r="I730" s="10" t="str">
        <f>CONCATENATE("WK_",WEEKNUM(events[[#This Row],[Start Date]]))</f>
        <v>WK_29</v>
      </c>
      <c r="J730" s="12">
        <v>45854.593553240738</v>
      </c>
      <c r="K730" s="10">
        <v>41</v>
      </c>
      <c r="L730" s="10" t="s">
        <v>25</v>
      </c>
      <c r="M730" s="10" t="s">
        <v>26</v>
      </c>
      <c r="N730" s="13">
        <f t="shared" si="11"/>
        <v>1.6666666666666666E-2</v>
      </c>
      <c r="O730" s="14" t="s">
        <v>27</v>
      </c>
      <c r="P730" s="14" t="s">
        <v>27</v>
      </c>
      <c r="Q730" s="14"/>
      <c r="R730" s="14"/>
      <c r="S730" s="14" t="s">
        <v>2518</v>
      </c>
      <c r="T730" s="14" t="s">
        <v>2519</v>
      </c>
      <c r="U730" s="15">
        <v>0</v>
      </c>
      <c r="V730" s="10">
        <v>1</v>
      </c>
    </row>
    <row r="731" spans="1:22" ht="18" customHeight="1" x14ac:dyDescent="0.35">
      <c r="A731" s="10" t="s">
        <v>123</v>
      </c>
      <c r="B731" s="10" t="s">
        <v>3312</v>
      </c>
      <c r="C731" s="11" t="s">
        <v>3102</v>
      </c>
      <c r="D731" s="11" t="s">
        <v>74</v>
      </c>
      <c r="E731" s="12">
        <v>45854.515034722222</v>
      </c>
      <c r="F731" s="10" t="str">
        <f>TEXT(events[[#This Row],[Start Date]],"DDD")</f>
        <v>Wed</v>
      </c>
      <c r="G731" s="10">
        <f>YEAR(events[[#This Row],[Start Date]])</f>
        <v>2025</v>
      </c>
      <c r="H731" s="10" t="str">
        <f>TEXT(events[[#This Row],[Start Date]],"mmm")</f>
        <v>Jul</v>
      </c>
      <c r="I731" s="10" t="str">
        <f>CONCATENATE("WK_",WEEKNUM(events[[#This Row],[Start Date]]))</f>
        <v>WK_29</v>
      </c>
      <c r="J731" s="12">
        <v>45854.516076388885</v>
      </c>
      <c r="K731" s="10">
        <v>105</v>
      </c>
      <c r="L731" s="10" t="s">
        <v>25</v>
      </c>
      <c r="M731" s="10" t="s">
        <v>900</v>
      </c>
      <c r="N731" s="13">
        <f t="shared" si="11"/>
        <v>1.4833333333333334</v>
      </c>
      <c r="O731" s="14"/>
      <c r="P731" s="14"/>
      <c r="Q731" s="14"/>
      <c r="R731" s="14"/>
      <c r="S731" s="14" t="s">
        <v>2577</v>
      </c>
      <c r="T731" s="14" t="s">
        <v>2578</v>
      </c>
      <c r="U731" s="15">
        <v>2</v>
      </c>
      <c r="V731" s="10">
        <v>1</v>
      </c>
    </row>
    <row r="732" spans="1:22" ht="18" customHeight="1" x14ac:dyDescent="0.35">
      <c r="A732" s="10" t="s">
        <v>86</v>
      </c>
      <c r="B732" s="10" t="s">
        <v>3210</v>
      </c>
      <c r="C732" s="11" t="s">
        <v>2979</v>
      </c>
      <c r="D732" s="11" t="s">
        <v>24</v>
      </c>
      <c r="E732" s="12">
        <v>45854.49622685185</v>
      </c>
      <c r="F732" s="10" t="str">
        <f>TEXT(events[[#This Row],[Start Date]],"DDD")</f>
        <v>Wed</v>
      </c>
      <c r="G732" s="10">
        <f>YEAR(events[[#This Row],[Start Date]])</f>
        <v>2025</v>
      </c>
      <c r="H732" s="10" t="str">
        <f>TEXT(events[[#This Row],[Start Date]],"mmm")</f>
        <v>Jul</v>
      </c>
      <c r="I732" s="10" t="str">
        <f>CONCATENATE("WK_",WEEKNUM(events[[#This Row],[Start Date]]))</f>
        <v>WK_29</v>
      </c>
      <c r="J732" s="12">
        <v>45854.496238425927</v>
      </c>
      <c r="K732" s="10">
        <v>55</v>
      </c>
      <c r="L732" s="10" t="s">
        <v>25</v>
      </c>
      <c r="M732" s="10" t="s">
        <v>26</v>
      </c>
      <c r="N732" s="13">
        <f t="shared" si="11"/>
        <v>1.6666666666666666E-2</v>
      </c>
      <c r="O732" s="14" t="s">
        <v>1101</v>
      </c>
      <c r="P732" s="14" t="s">
        <v>1101</v>
      </c>
      <c r="Q732" s="14"/>
      <c r="R732" s="14"/>
      <c r="S732" s="14" t="s">
        <v>2547</v>
      </c>
      <c r="T732" s="14" t="s">
        <v>2548</v>
      </c>
      <c r="U732" s="15">
        <v>0</v>
      </c>
      <c r="V732" s="10">
        <v>1</v>
      </c>
    </row>
    <row r="733" spans="1:22" ht="18" customHeight="1" x14ac:dyDescent="0.35">
      <c r="A733" s="10" t="s">
        <v>86</v>
      </c>
      <c r="B733" s="10" t="s">
        <v>3205</v>
      </c>
      <c r="C733" s="11" t="s">
        <v>2973</v>
      </c>
      <c r="D733" s="11" t="s">
        <v>24</v>
      </c>
      <c r="E733" s="12">
        <v>45854.447951388887</v>
      </c>
      <c r="F733" s="10" t="str">
        <f>TEXT(events[[#This Row],[Start Date]],"DDD")</f>
        <v>Wed</v>
      </c>
      <c r="G733" s="10">
        <f>YEAR(events[[#This Row],[Start Date]])</f>
        <v>2025</v>
      </c>
      <c r="H733" s="10" t="str">
        <f>TEXT(events[[#This Row],[Start Date]],"mmm")</f>
        <v>Jul</v>
      </c>
      <c r="I733" s="10" t="str">
        <f>CONCATENATE("WK_",WEEKNUM(events[[#This Row],[Start Date]]))</f>
        <v>WK_29</v>
      </c>
      <c r="J733" s="12">
        <v>45854.447974537034</v>
      </c>
      <c r="K733" s="10">
        <v>31</v>
      </c>
      <c r="L733" s="10" t="s">
        <v>25</v>
      </c>
      <c r="M733" s="10" t="s">
        <v>31</v>
      </c>
      <c r="N733" s="13">
        <f t="shared" si="11"/>
        <v>3.3333333333333333E-2</v>
      </c>
      <c r="O733" s="14" t="s">
        <v>2563</v>
      </c>
      <c r="P733" s="14" t="s">
        <v>2563</v>
      </c>
      <c r="Q733" s="14"/>
      <c r="R733" s="14"/>
      <c r="S733" s="14" t="s">
        <v>2566</v>
      </c>
      <c r="T733" s="14" t="s">
        <v>2567</v>
      </c>
      <c r="U733" s="15">
        <v>9.3799999999999994E-2</v>
      </c>
      <c r="V733" s="10">
        <v>1</v>
      </c>
    </row>
    <row r="734" spans="1:22" ht="18" customHeight="1" x14ac:dyDescent="0.35">
      <c r="A734" s="10" t="s">
        <v>86</v>
      </c>
      <c r="B734" s="10" t="s">
        <v>3205</v>
      </c>
      <c r="C734" s="11" t="s">
        <v>2973</v>
      </c>
      <c r="D734" s="11" t="s">
        <v>24</v>
      </c>
      <c r="E734" s="12">
        <v>45854.364571759259</v>
      </c>
      <c r="F734" s="10" t="str">
        <f>TEXT(events[[#This Row],[Start Date]],"DDD")</f>
        <v>Wed</v>
      </c>
      <c r="G734" s="10">
        <f>YEAR(events[[#This Row],[Start Date]])</f>
        <v>2025</v>
      </c>
      <c r="H734" s="10" t="str">
        <f>TEXT(events[[#This Row],[Start Date]],"mmm")</f>
        <v>Jul</v>
      </c>
      <c r="I734" s="10" t="str">
        <f>CONCATENATE("WK_",WEEKNUM(events[[#This Row],[Start Date]]))</f>
        <v>WK_29</v>
      </c>
      <c r="J734" s="12">
        <v>45854.364618055559</v>
      </c>
      <c r="K734" s="10">
        <v>37</v>
      </c>
      <c r="L734" s="10" t="s">
        <v>25</v>
      </c>
      <c r="M734" s="10" t="s">
        <v>275</v>
      </c>
      <c r="N734" s="13">
        <f t="shared" si="11"/>
        <v>6.6666666666666666E-2</v>
      </c>
      <c r="O734" s="14" t="s">
        <v>2563</v>
      </c>
      <c r="P734" s="14" t="s">
        <v>2563</v>
      </c>
      <c r="Q734" s="14"/>
      <c r="R734" s="14"/>
      <c r="S734" s="14" t="s">
        <v>2564</v>
      </c>
      <c r="T734" s="14" t="s">
        <v>2565</v>
      </c>
      <c r="U734" s="15">
        <v>9.3799999999999994E-2</v>
      </c>
      <c r="V734" s="10">
        <v>1</v>
      </c>
    </row>
    <row r="735" spans="1:22" ht="18" customHeight="1" x14ac:dyDescent="0.35">
      <c r="A735" s="10" t="s">
        <v>47</v>
      </c>
      <c r="B735" s="10" t="s">
        <v>3331</v>
      </c>
      <c r="C735" s="11" t="s">
        <v>3123</v>
      </c>
      <c r="D735" s="11" t="s">
        <v>74</v>
      </c>
      <c r="E735" s="12">
        <v>45853.786192129628</v>
      </c>
      <c r="F735" s="10" t="str">
        <f>TEXT(events[[#This Row],[Start Date]],"DDD")</f>
        <v>Tue</v>
      </c>
      <c r="G735" s="10">
        <f>YEAR(events[[#This Row],[Start Date]])</f>
        <v>2025</v>
      </c>
      <c r="H735" s="10" t="str">
        <f>TEXT(events[[#This Row],[Start Date]],"mmm")</f>
        <v>Jul</v>
      </c>
      <c r="I735" s="10" t="str">
        <f>CONCATENATE("WK_",WEEKNUM(events[[#This Row],[Start Date]]))</f>
        <v>WK_29</v>
      </c>
      <c r="J735" s="12">
        <v>45853.786215277774</v>
      </c>
      <c r="K735" s="10">
        <v>82</v>
      </c>
      <c r="L735" s="10" t="s">
        <v>25</v>
      </c>
      <c r="M735" s="10" t="s">
        <v>31</v>
      </c>
      <c r="N735" s="13">
        <f t="shared" si="11"/>
        <v>3.3333333333333333E-2</v>
      </c>
      <c r="O735" s="14" t="s">
        <v>65</v>
      </c>
      <c r="P735" s="14" t="s">
        <v>65</v>
      </c>
      <c r="Q735" s="14"/>
      <c r="R735" s="14"/>
      <c r="S735" s="14" t="s">
        <v>2523</v>
      </c>
      <c r="T735" s="14" t="s">
        <v>2524</v>
      </c>
      <c r="U735" s="15">
        <v>0</v>
      </c>
      <c r="V735" s="10">
        <v>1</v>
      </c>
    </row>
    <row r="736" spans="1:22" ht="18" customHeight="1" x14ac:dyDescent="0.35">
      <c r="A736" s="10" t="s">
        <v>86</v>
      </c>
      <c r="B736" s="10" t="s">
        <v>3205</v>
      </c>
      <c r="C736" s="11" t="s">
        <v>2973</v>
      </c>
      <c r="D736" s="11" t="s">
        <v>24</v>
      </c>
      <c r="E736" s="12">
        <v>45853.654629629629</v>
      </c>
      <c r="F736" s="10" t="str">
        <f>TEXT(events[[#This Row],[Start Date]],"DDD")</f>
        <v>Tue</v>
      </c>
      <c r="G736" s="10">
        <f>YEAR(events[[#This Row],[Start Date]])</f>
        <v>2025</v>
      </c>
      <c r="H736" s="10" t="str">
        <f>TEXT(events[[#This Row],[Start Date]],"mmm")</f>
        <v>Jul</v>
      </c>
      <c r="I736" s="10" t="str">
        <f>CONCATENATE("WK_",WEEKNUM(events[[#This Row],[Start Date]]))</f>
        <v>WK_29</v>
      </c>
      <c r="J736" s="12">
        <v>45853.654652777775</v>
      </c>
      <c r="K736" s="10">
        <v>32</v>
      </c>
      <c r="L736" s="10" t="s">
        <v>25</v>
      </c>
      <c r="M736" s="10" t="s">
        <v>31</v>
      </c>
      <c r="N736" s="13">
        <f t="shared" si="11"/>
        <v>3.3333333333333333E-2</v>
      </c>
      <c r="O736" s="14" t="s">
        <v>2557</v>
      </c>
      <c r="P736" s="14" t="s">
        <v>2557</v>
      </c>
      <c r="Q736" s="14"/>
      <c r="R736" s="14"/>
      <c r="S736" s="14" t="s">
        <v>2561</v>
      </c>
      <c r="T736" s="14" t="s">
        <v>2562</v>
      </c>
      <c r="U736" s="15">
        <v>9.3799999999999994E-2</v>
      </c>
      <c r="V736" s="10">
        <v>1</v>
      </c>
    </row>
    <row r="737" spans="1:22" ht="18" customHeight="1" x14ac:dyDescent="0.35">
      <c r="A737" s="10" t="s">
        <v>86</v>
      </c>
      <c r="B737" s="10" t="s">
        <v>3205</v>
      </c>
      <c r="C737" s="11" t="s">
        <v>2973</v>
      </c>
      <c r="D737" s="11" t="s">
        <v>24</v>
      </c>
      <c r="E737" s="12">
        <v>45853.641539351855</v>
      </c>
      <c r="F737" s="10" t="str">
        <f>TEXT(events[[#This Row],[Start Date]],"DDD")</f>
        <v>Tue</v>
      </c>
      <c r="G737" s="10">
        <f>YEAR(events[[#This Row],[Start Date]])</f>
        <v>2025</v>
      </c>
      <c r="H737" s="10" t="str">
        <f>TEXT(events[[#This Row],[Start Date]],"mmm")</f>
        <v>Jul</v>
      </c>
      <c r="I737" s="10" t="str">
        <f>CONCATENATE("WK_",WEEKNUM(events[[#This Row],[Start Date]]))</f>
        <v>WK_29</v>
      </c>
      <c r="J737" s="12">
        <v>45853.641539351855</v>
      </c>
      <c r="K737" s="10">
        <v>35</v>
      </c>
      <c r="L737" s="10" t="s">
        <v>25</v>
      </c>
      <c r="M737" s="10" t="s">
        <v>87</v>
      </c>
      <c r="N737" s="13">
        <f t="shared" si="11"/>
        <v>0</v>
      </c>
      <c r="O737" s="14" t="s">
        <v>2557</v>
      </c>
      <c r="P737" s="14" t="s">
        <v>2557</v>
      </c>
      <c r="Q737" s="14"/>
      <c r="R737" s="14"/>
      <c r="S737" s="14" t="s">
        <v>2560</v>
      </c>
      <c r="T737" s="14" t="s">
        <v>2560</v>
      </c>
      <c r="U737" s="15">
        <v>0</v>
      </c>
      <c r="V737" s="10">
        <v>1</v>
      </c>
    </row>
    <row r="738" spans="1:22" ht="18" customHeight="1" x14ac:dyDescent="0.35">
      <c r="A738" s="10" t="s">
        <v>86</v>
      </c>
      <c r="B738" s="10" t="s">
        <v>3205</v>
      </c>
      <c r="C738" s="11" t="s">
        <v>2973</v>
      </c>
      <c r="D738" s="11" t="s">
        <v>24</v>
      </c>
      <c r="E738" s="12">
        <v>45853.64099537037</v>
      </c>
      <c r="F738" s="10" t="str">
        <f>TEXT(events[[#This Row],[Start Date]],"DDD")</f>
        <v>Tue</v>
      </c>
      <c r="G738" s="10">
        <f>YEAR(events[[#This Row],[Start Date]])</f>
        <v>2025</v>
      </c>
      <c r="H738" s="10" t="str">
        <f>TEXT(events[[#This Row],[Start Date]],"mmm")</f>
        <v>Jul</v>
      </c>
      <c r="I738" s="10" t="str">
        <f>CONCATENATE("WK_",WEEKNUM(events[[#This Row],[Start Date]]))</f>
        <v>WK_29</v>
      </c>
      <c r="J738" s="12">
        <v>45853.641076388885</v>
      </c>
      <c r="K738" s="10">
        <v>38</v>
      </c>
      <c r="L738" s="10" t="s">
        <v>25</v>
      </c>
      <c r="M738" s="10" t="s">
        <v>115</v>
      </c>
      <c r="N738" s="13">
        <f t="shared" si="11"/>
        <v>0.11666666666666667</v>
      </c>
      <c r="O738" s="14" t="s">
        <v>2557</v>
      </c>
      <c r="P738" s="14" t="s">
        <v>2557</v>
      </c>
      <c r="Q738" s="14"/>
      <c r="R738" s="14"/>
      <c r="S738" s="14" t="s">
        <v>2558</v>
      </c>
      <c r="T738" s="14" t="s">
        <v>2559</v>
      </c>
      <c r="U738" s="15">
        <v>9.3700000000000006E-2</v>
      </c>
      <c r="V738" s="10">
        <v>1</v>
      </c>
    </row>
    <row r="739" spans="1:22" ht="18" customHeight="1" x14ac:dyDescent="0.35">
      <c r="A739" s="10" t="s">
        <v>86</v>
      </c>
      <c r="B739" s="10" t="s">
        <v>3246</v>
      </c>
      <c r="C739" s="11" t="s">
        <v>3055</v>
      </c>
      <c r="D739" s="11" t="s">
        <v>678</v>
      </c>
      <c r="E739" s="12">
        <v>45853.633692129632</v>
      </c>
      <c r="F739" s="10" t="str">
        <f>TEXT(events[[#This Row],[Start Date]],"DDD")</f>
        <v>Tue</v>
      </c>
      <c r="G739" s="10">
        <f>YEAR(events[[#This Row],[Start Date]])</f>
        <v>2025</v>
      </c>
      <c r="H739" s="10" t="str">
        <f>TEXT(events[[#This Row],[Start Date]],"mmm")</f>
        <v>Jul</v>
      </c>
      <c r="I739" s="10" t="str">
        <f>CONCATENATE("WK_",WEEKNUM(events[[#This Row],[Start Date]]))</f>
        <v>WK_29</v>
      </c>
      <c r="J739" s="12">
        <v>45853.633692129632</v>
      </c>
      <c r="K739" s="10">
        <v>12</v>
      </c>
      <c r="L739" s="10" t="s">
        <v>83</v>
      </c>
      <c r="M739" s="10" t="s">
        <v>87</v>
      </c>
      <c r="N739" s="13">
        <f t="shared" si="11"/>
        <v>0</v>
      </c>
      <c r="O739" s="14" t="s">
        <v>142</v>
      </c>
      <c r="P739" s="14" t="s">
        <v>142</v>
      </c>
      <c r="Q739" s="14"/>
      <c r="R739" s="14"/>
      <c r="S739" s="14" t="s">
        <v>2552</v>
      </c>
      <c r="T739" s="14" t="s">
        <v>2552</v>
      </c>
      <c r="U739" s="15">
        <v>0</v>
      </c>
      <c r="V739" s="10">
        <v>1</v>
      </c>
    </row>
    <row r="740" spans="1:22" ht="18" customHeight="1" x14ac:dyDescent="0.35">
      <c r="A740" s="10" t="s">
        <v>47</v>
      </c>
      <c r="B740" s="10" t="s">
        <v>3201</v>
      </c>
      <c r="C740" s="11" t="s">
        <v>3124</v>
      </c>
      <c r="D740" s="11" t="s">
        <v>24</v>
      </c>
      <c r="E740" s="12">
        <v>45853.59547453704</v>
      </c>
      <c r="F740" s="10" t="str">
        <f>TEXT(events[[#This Row],[Start Date]],"DDD")</f>
        <v>Tue</v>
      </c>
      <c r="G740" s="10">
        <f>YEAR(events[[#This Row],[Start Date]])</f>
        <v>2025</v>
      </c>
      <c r="H740" s="10" t="str">
        <f>TEXT(events[[#This Row],[Start Date]],"mmm")</f>
        <v>Jul</v>
      </c>
      <c r="I740" s="10" t="str">
        <f>CONCATENATE("WK_",WEEKNUM(events[[#This Row],[Start Date]]))</f>
        <v>WK_29</v>
      </c>
      <c r="J740" s="12">
        <v>45853.595555555556</v>
      </c>
      <c r="K740" s="10">
        <v>43</v>
      </c>
      <c r="L740" s="10" t="s">
        <v>25</v>
      </c>
      <c r="M740" s="10" t="s">
        <v>115</v>
      </c>
      <c r="N740" s="13">
        <f t="shared" si="11"/>
        <v>0.11666666666666667</v>
      </c>
      <c r="O740" s="14" t="s">
        <v>65</v>
      </c>
      <c r="P740" s="14" t="s">
        <v>65</v>
      </c>
      <c r="Q740" s="14"/>
      <c r="R740" s="14"/>
      <c r="S740" s="14" t="s">
        <v>2527</v>
      </c>
      <c r="T740" s="14" t="s">
        <v>2528</v>
      </c>
      <c r="U740" s="15">
        <v>9.3700000000000006E-2</v>
      </c>
      <c r="V740" s="10">
        <v>1</v>
      </c>
    </row>
    <row r="741" spans="1:22" ht="18" customHeight="1" x14ac:dyDescent="0.35">
      <c r="A741" s="10" t="s">
        <v>123</v>
      </c>
      <c r="B741" s="10" t="s">
        <v>3241</v>
      </c>
      <c r="C741" s="11" t="s">
        <v>3009</v>
      </c>
      <c r="D741" s="11" t="s">
        <v>74</v>
      </c>
      <c r="E741" s="12">
        <v>45853.568923611114</v>
      </c>
      <c r="F741" s="10" t="str">
        <f>TEXT(events[[#This Row],[Start Date]],"DDD")</f>
        <v>Tue</v>
      </c>
      <c r="G741" s="10">
        <f>YEAR(events[[#This Row],[Start Date]])</f>
        <v>2025</v>
      </c>
      <c r="H741" s="10" t="str">
        <f>TEXT(events[[#This Row],[Start Date]],"mmm")</f>
        <v>Jul</v>
      </c>
      <c r="I741" s="10" t="str">
        <f>CONCATENATE("WK_",WEEKNUM(events[[#This Row],[Start Date]]))</f>
        <v>WK_29</v>
      </c>
      <c r="J741" s="12">
        <v>45853.569618055553</v>
      </c>
      <c r="K741" s="10">
        <v>98</v>
      </c>
      <c r="L741" s="10" t="s">
        <v>25</v>
      </c>
      <c r="M741" s="10" t="s">
        <v>538</v>
      </c>
      <c r="N741" s="13">
        <f t="shared" si="11"/>
        <v>0.98333333333333328</v>
      </c>
      <c r="O741" s="14"/>
      <c r="P741" s="14"/>
      <c r="Q741" s="14"/>
      <c r="R741" s="14"/>
      <c r="S741" s="14" t="s">
        <v>2593</v>
      </c>
      <c r="T741" s="14" t="s">
        <v>2594</v>
      </c>
      <c r="U741" s="15">
        <v>2</v>
      </c>
      <c r="V741" s="10">
        <v>1</v>
      </c>
    </row>
    <row r="742" spans="1:22" ht="18" customHeight="1" x14ac:dyDescent="0.35">
      <c r="A742" s="10" t="s">
        <v>86</v>
      </c>
      <c r="B742" s="10" t="s">
        <v>3176</v>
      </c>
      <c r="C742" s="11" t="s">
        <v>2979</v>
      </c>
      <c r="D742" s="11" t="s">
        <v>24</v>
      </c>
      <c r="E742" s="12">
        <v>45853.524837962963</v>
      </c>
      <c r="F742" s="10" t="str">
        <f>TEXT(events[[#This Row],[Start Date]],"DDD")</f>
        <v>Tue</v>
      </c>
      <c r="G742" s="10">
        <f>YEAR(events[[#This Row],[Start Date]])</f>
        <v>2025</v>
      </c>
      <c r="H742" s="10" t="str">
        <f>TEXT(events[[#This Row],[Start Date]],"mmm")</f>
        <v>Jul</v>
      </c>
      <c r="I742" s="10" t="str">
        <f>CONCATENATE("WK_",WEEKNUM(events[[#This Row],[Start Date]]))</f>
        <v>WK_29</v>
      </c>
      <c r="J742" s="12">
        <v>45853.524837962963</v>
      </c>
      <c r="K742" s="10">
        <v>43</v>
      </c>
      <c r="L742" s="10" t="s">
        <v>25</v>
      </c>
      <c r="M742" s="10" t="s">
        <v>87</v>
      </c>
      <c r="N742" s="13">
        <f t="shared" si="11"/>
        <v>0</v>
      </c>
      <c r="O742" s="14" t="s">
        <v>92</v>
      </c>
      <c r="P742" s="14" t="s">
        <v>92</v>
      </c>
      <c r="Q742" s="14" t="s">
        <v>93</v>
      </c>
      <c r="R742" s="14" t="s">
        <v>93</v>
      </c>
      <c r="S742" s="14" t="s">
        <v>2549</v>
      </c>
      <c r="T742" s="14" t="s">
        <v>2549</v>
      </c>
      <c r="U742" s="15">
        <v>6.25E-2</v>
      </c>
      <c r="V742" s="10">
        <v>1</v>
      </c>
    </row>
    <row r="743" spans="1:22" ht="18" customHeight="1" x14ac:dyDescent="0.35">
      <c r="A743" s="10" t="s">
        <v>47</v>
      </c>
      <c r="B743" s="10" t="s">
        <v>3263</v>
      </c>
      <c r="C743" s="11" t="s">
        <v>3038</v>
      </c>
      <c r="D743" s="11" t="s">
        <v>678</v>
      </c>
      <c r="E743" s="12">
        <v>45853.302152777775</v>
      </c>
      <c r="F743" s="10" t="str">
        <f>TEXT(events[[#This Row],[Start Date]],"DDD")</f>
        <v>Tue</v>
      </c>
      <c r="G743" s="10">
        <f>YEAR(events[[#This Row],[Start Date]])</f>
        <v>2025</v>
      </c>
      <c r="H743" s="10" t="str">
        <f>TEXT(events[[#This Row],[Start Date]],"mmm")</f>
        <v>Jul</v>
      </c>
      <c r="I743" s="10" t="str">
        <f>CONCATENATE("WK_",WEEKNUM(events[[#This Row],[Start Date]]))</f>
        <v>WK_29</v>
      </c>
      <c r="J743" s="12">
        <v>45853.302164351851</v>
      </c>
      <c r="K743" s="10">
        <v>12</v>
      </c>
      <c r="L743" s="10" t="s">
        <v>83</v>
      </c>
      <c r="M743" s="10" t="s">
        <v>26</v>
      </c>
      <c r="N743" s="13">
        <f t="shared" si="11"/>
        <v>1.6666666666666666E-2</v>
      </c>
      <c r="O743" s="14" t="s">
        <v>138</v>
      </c>
      <c r="P743" s="14"/>
      <c r="Q743" s="14"/>
      <c r="R743" s="14"/>
      <c r="S743" s="14" t="s">
        <v>2522</v>
      </c>
      <c r="T743" s="14"/>
      <c r="U743" s="15">
        <v>0</v>
      </c>
      <c r="V743" s="10">
        <v>1</v>
      </c>
    </row>
    <row r="744" spans="1:22" ht="18" customHeight="1" x14ac:dyDescent="0.35">
      <c r="A744" s="10" t="s">
        <v>123</v>
      </c>
      <c r="B744" s="10" t="s">
        <v>3312</v>
      </c>
      <c r="C744" s="11" t="s">
        <v>3102</v>
      </c>
      <c r="D744" s="11" t="s">
        <v>74</v>
      </c>
      <c r="E744" s="12">
        <v>45853.231828703705</v>
      </c>
      <c r="F744" s="10" t="str">
        <f>TEXT(events[[#This Row],[Start Date]],"DDD")</f>
        <v>Tue</v>
      </c>
      <c r="G744" s="10">
        <f>YEAR(events[[#This Row],[Start Date]])</f>
        <v>2025</v>
      </c>
      <c r="H744" s="10" t="str">
        <f>TEXT(events[[#This Row],[Start Date]],"mmm")</f>
        <v>Jul</v>
      </c>
      <c r="I744" s="10" t="str">
        <f>CONCATENATE("WK_",WEEKNUM(events[[#This Row],[Start Date]]))</f>
        <v>WK_29</v>
      </c>
      <c r="J744" s="12">
        <v>45853.232581018521</v>
      </c>
      <c r="K744" s="10">
        <v>100</v>
      </c>
      <c r="L744" s="10" t="s">
        <v>25</v>
      </c>
      <c r="M744" s="10" t="s">
        <v>1653</v>
      </c>
      <c r="N744" s="13">
        <f t="shared" si="11"/>
        <v>1.0666666666666667</v>
      </c>
      <c r="O744" s="14"/>
      <c r="P744" s="14"/>
      <c r="Q744" s="14"/>
      <c r="R744" s="14"/>
      <c r="S744" s="14" t="s">
        <v>2595</v>
      </c>
      <c r="T744" s="14" t="s">
        <v>2596</v>
      </c>
      <c r="U744" s="15">
        <v>2</v>
      </c>
      <c r="V744" s="10">
        <v>1</v>
      </c>
    </row>
    <row r="745" spans="1:22" ht="18" customHeight="1" x14ac:dyDescent="0.35">
      <c r="A745" s="10" t="s">
        <v>23</v>
      </c>
      <c r="B745" s="10" t="s">
        <v>3211</v>
      </c>
      <c r="C745" s="11" t="s">
        <v>3125</v>
      </c>
      <c r="D745" s="11" t="s">
        <v>24</v>
      </c>
      <c r="E745" s="12">
        <v>45853.209074074075</v>
      </c>
      <c r="F745" s="10" t="str">
        <f>TEXT(events[[#This Row],[Start Date]],"DDD")</f>
        <v>Tue</v>
      </c>
      <c r="G745" s="10">
        <f>YEAR(events[[#This Row],[Start Date]])</f>
        <v>2025</v>
      </c>
      <c r="H745" s="10" t="str">
        <f>TEXT(events[[#This Row],[Start Date]],"mmm")</f>
        <v>Jul</v>
      </c>
      <c r="I745" s="10" t="str">
        <f>CONCATENATE("WK_",WEEKNUM(events[[#This Row],[Start Date]]))</f>
        <v>WK_29</v>
      </c>
      <c r="J745" s="12">
        <v>45853.209085648145</v>
      </c>
      <c r="K745" s="10">
        <v>34</v>
      </c>
      <c r="L745" s="10" t="s">
        <v>25</v>
      </c>
      <c r="M745" s="10" t="s">
        <v>26</v>
      </c>
      <c r="N745" s="13">
        <f t="shared" si="11"/>
        <v>1.6666666666666666E-2</v>
      </c>
      <c r="O745" s="14" t="s">
        <v>38</v>
      </c>
      <c r="P745" s="14" t="s">
        <v>38</v>
      </c>
      <c r="Q745" s="14"/>
      <c r="R745" s="14"/>
      <c r="S745" s="14" t="s">
        <v>2510</v>
      </c>
      <c r="T745" s="14" t="s">
        <v>2511</v>
      </c>
      <c r="U745" s="15">
        <v>0.125</v>
      </c>
      <c r="V745" s="10">
        <v>1</v>
      </c>
    </row>
    <row r="746" spans="1:22" ht="18" customHeight="1" x14ac:dyDescent="0.35">
      <c r="A746" s="10" t="s">
        <v>123</v>
      </c>
      <c r="B746" s="10" t="s">
        <v>3332</v>
      </c>
      <c r="C746" s="11" t="s">
        <v>3126</v>
      </c>
      <c r="D746" s="11" t="s">
        <v>74</v>
      </c>
      <c r="E746" s="12">
        <v>45852.769733796296</v>
      </c>
      <c r="F746" s="10" t="str">
        <f>TEXT(events[[#This Row],[Start Date]],"DDD")</f>
        <v>Mon</v>
      </c>
      <c r="G746" s="10">
        <f>YEAR(events[[#This Row],[Start Date]])</f>
        <v>2025</v>
      </c>
      <c r="H746" s="10" t="str">
        <f>TEXT(events[[#This Row],[Start Date]],"mmm")</f>
        <v>Jul</v>
      </c>
      <c r="I746" s="10" t="str">
        <f>CONCATENATE("WK_",WEEKNUM(events[[#This Row],[Start Date]]))</f>
        <v>WK_29</v>
      </c>
      <c r="J746" s="12">
        <v>45852.770138888889</v>
      </c>
      <c r="K746" s="10">
        <v>84</v>
      </c>
      <c r="L746" s="10" t="s">
        <v>25</v>
      </c>
      <c r="M746" s="10" t="s">
        <v>656</v>
      </c>
      <c r="N746" s="13">
        <f t="shared" si="11"/>
        <v>0.56666666666666665</v>
      </c>
      <c r="O746" s="14"/>
      <c r="P746" s="14"/>
      <c r="Q746" s="14"/>
      <c r="R746" s="14"/>
      <c r="S746" s="14" t="s">
        <v>2581</v>
      </c>
      <c r="T746" s="14" t="s">
        <v>2582</v>
      </c>
      <c r="U746" s="15">
        <v>1</v>
      </c>
      <c r="V746" s="10">
        <v>1</v>
      </c>
    </row>
    <row r="747" spans="1:22" ht="18" customHeight="1" x14ac:dyDescent="0.35">
      <c r="A747" s="10" t="s">
        <v>23</v>
      </c>
      <c r="B747" s="10" t="s">
        <v>3295</v>
      </c>
      <c r="C747" s="11" t="s">
        <v>3081</v>
      </c>
      <c r="D747" s="11" t="s">
        <v>24</v>
      </c>
      <c r="E747" s="12">
        <v>45852.631655092591</v>
      </c>
      <c r="F747" s="10" t="str">
        <f>TEXT(events[[#This Row],[Start Date]],"DDD")</f>
        <v>Mon</v>
      </c>
      <c r="G747" s="10">
        <f>YEAR(events[[#This Row],[Start Date]])</f>
        <v>2025</v>
      </c>
      <c r="H747" s="10" t="str">
        <f>TEXT(events[[#This Row],[Start Date]],"mmm")</f>
        <v>Jul</v>
      </c>
      <c r="I747" s="10" t="str">
        <f>CONCATENATE("WK_",WEEKNUM(events[[#This Row],[Start Date]]))</f>
        <v>WK_29</v>
      </c>
      <c r="J747" s="12">
        <v>45852.631921296299</v>
      </c>
      <c r="K747" s="10">
        <v>46</v>
      </c>
      <c r="L747" s="10" t="s">
        <v>25</v>
      </c>
      <c r="M747" s="10" t="s">
        <v>583</v>
      </c>
      <c r="N747" s="13">
        <f t="shared" si="11"/>
        <v>0.38333333333333336</v>
      </c>
      <c r="O747" s="14" t="s">
        <v>142</v>
      </c>
      <c r="P747" s="14" t="s">
        <v>142</v>
      </c>
      <c r="Q747" s="14"/>
      <c r="R747" s="14"/>
      <c r="S747" s="14" t="s">
        <v>2506</v>
      </c>
      <c r="T747" s="14" t="s">
        <v>2507</v>
      </c>
      <c r="U747" s="15">
        <v>0.1875</v>
      </c>
      <c r="V747" s="10">
        <v>1</v>
      </c>
    </row>
    <row r="748" spans="1:22" ht="18" customHeight="1" x14ac:dyDescent="0.35">
      <c r="A748" s="10" t="s">
        <v>123</v>
      </c>
      <c r="B748" s="10" t="s">
        <v>3221</v>
      </c>
      <c r="C748" s="11" t="s">
        <v>2990</v>
      </c>
      <c r="D748" s="11" t="s">
        <v>74</v>
      </c>
      <c r="E748" s="12">
        <v>45852.629317129627</v>
      </c>
      <c r="F748" s="10" t="str">
        <f>TEXT(events[[#This Row],[Start Date]],"DDD")</f>
        <v>Mon</v>
      </c>
      <c r="G748" s="10">
        <f>YEAR(events[[#This Row],[Start Date]])</f>
        <v>2025</v>
      </c>
      <c r="H748" s="10" t="str">
        <f>TEXT(events[[#This Row],[Start Date]],"mmm")</f>
        <v>Jul</v>
      </c>
      <c r="I748" s="10" t="str">
        <f>CONCATENATE("WK_",WEEKNUM(events[[#This Row],[Start Date]]))</f>
        <v>WK_29</v>
      </c>
      <c r="J748" s="12">
        <v>45852.629780092589</v>
      </c>
      <c r="K748" s="10">
        <v>106</v>
      </c>
      <c r="L748" s="10" t="s">
        <v>25</v>
      </c>
      <c r="M748" s="10" t="s">
        <v>219</v>
      </c>
      <c r="N748" s="13">
        <f t="shared" si="11"/>
        <v>0.66666666666666663</v>
      </c>
      <c r="O748" s="14"/>
      <c r="P748" s="14"/>
      <c r="Q748" s="14"/>
      <c r="R748" s="14"/>
      <c r="S748" s="14" t="s">
        <v>2583</v>
      </c>
      <c r="T748" s="14" t="s">
        <v>2584</v>
      </c>
      <c r="U748" s="15">
        <v>1</v>
      </c>
      <c r="V748" s="10">
        <v>1</v>
      </c>
    </row>
    <row r="749" spans="1:22" ht="18" customHeight="1" x14ac:dyDescent="0.35">
      <c r="A749" s="10" t="s">
        <v>23</v>
      </c>
      <c r="B749" s="10" t="s">
        <v>3202</v>
      </c>
      <c r="C749" s="11" t="s">
        <v>2969</v>
      </c>
      <c r="D749" s="11" t="s">
        <v>24</v>
      </c>
      <c r="E749" s="12">
        <v>45852.629016203704</v>
      </c>
      <c r="F749" s="10" t="str">
        <f>TEXT(events[[#This Row],[Start Date]],"DDD")</f>
        <v>Mon</v>
      </c>
      <c r="G749" s="10">
        <f>YEAR(events[[#This Row],[Start Date]])</f>
        <v>2025</v>
      </c>
      <c r="H749" s="10" t="str">
        <f>TEXT(events[[#This Row],[Start Date]],"mmm")</f>
        <v>Jul</v>
      </c>
      <c r="I749" s="10" t="str">
        <f>CONCATENATE("WK_",WEEKNUM(events[[#This Row],[Start Date]]))</f>
        <v>WK_29</v>
      </c>
      <c r="J749" s="12">
        <v>45852.629027777781</v>
      </c>
      <c r="K749" s="10">
        <v>38</v>
      </c>
      <c r="L749" s="10" t="s">
        <v>25</v>
      </c>
      <c r="M749" s="10" t="s">
        <v>26</v>
      </c>
      <c r="N749" s="13">
        <f t="shared" si="11"/>
        <v>1.6666666666666666E-2</v>
      </c>
      <c r="O749" s="14" t="s">
        <v>1679</v>
      </c>
      <c r="P749" s="14" t="s">
        <v>1679</v>
      </c>
      <c r="Q749" s="14"/>
      <c r="R749" s="14"/>
      <c r="S749" s="14" t="s">
        <v>2516</v>
      </c>
      <c r="T749" s="14" t="s">
        <v>2517</v>
      </c>
      <c r="U749" s="15">
        <v>9.3799999999999994E-2</v>
      </c>
      <c r="V749" s="10">
        <v>1</v>
      </c>
    </row>
    <row r="750" spans="1:22" ht="18" customHeight="1" x14ac:dyDescent="0.35">
      <c r="A750" s="10" t="s">
        <v>47</v>
      </c>
      <c r="B750" s="10" t="s">
        <v>3276</v>
      </c>
      <c r="C750" s="11" t="s">
        <v>3053</v>
      </c>
      <c r="D750" s="11" t="s">
        <v>24</v>
      </c>
      <c r="E750" s="12">
        <v>45852.478379629632</v>
      </c>
      <c r="F750" s="10" t="str">
        <f>TEXT(events[[#This Row],[Start Date]],"DDD")</f>
        <v>Mon</v>
      </c>
      <c r="G750" s="10">
        <f>YEAR(events[[#This Row],[Start Date]])</f>
        <v>2025</v>
      </c>
      <c r="H750" s="10" t="str">
        <f>TEXT(events[[#This Row],[Start Date]],"mmm")</f>
        <v>Jul</v>
      </c>
      <c r="I750" s="10" t="str">
        <f>CONCATENATE("WK_",WEEKNUM(events[[#This Row],[Start Date]]))</f>
        <v>WK_29</v>
      </c>
      <c r="J750" s="12">
        <v>45852.478634259256</v>
      </c>
      <c r="K750" s="10">
        <v>42</v>
      </c>
      <c r="L750" s="10" t="s">
        <v>25</v>
      </c>
      <c r="M750" s="10" t="s">
        <v>1079</v>
      </c>
      <c r="N750" s="13">
        <f t="shared" si="11"/>
        <v>0.36666666666666664</v>
      </c>
      <c r="O750" s="14" t="s">
        <v>92</v>
      </c>
      <c r="P750" s="14" t="s">
        <v>92</v>
      </c>
      <c r="Q750" s="14"/>
      <c r="R750" s="14"/>
      <c r="S750" s="14" t="s">
        <v>2542</v>
      </c>
      <c r="T750" s="14" t="s">
        <v>2543</v>
      </c>
      <c r="U750" s="15">
        <v>0.3125</v>
      </c>
      <c r="V750" s="10">
        <v>1</v>
      </c>
    </row>
    <row r="751" spans="1:22" ht="18" customHeight="1" x14ac:dyDescent="0.35">
      <c r="A751" s="10" t="s">
        <v>47</v>
      </c>
      <c r="B751" s="10" t="s">
        <v>3293</v>
      </c>
      <c r="C751" s="11" t="s">
        <v>3079</v>
      </c>
      <c r="D751" s="11" t="s">
        <v>678</v>
      </c>
      <c r="E751" s="12">
        <v>45852.2265162037</v>
      </c>
      <c r="F751" s="10" t="str">
        <f>TEXT(events[[#This Row],[Start Date]],"DDD")</f>
        <v>Mon</v>
      </c>
      <c r="G751" s="10">
        <f>YEAR(events[[#This Row],[Start Date]])</f>
        <v>2025</v>
      </c>
      <c r="H751" s="10" t="str">
        <f>TEXT(events[[#This Row],[Start Date]],"mmm")</f>
        <v>Jul</v>
      </c>
      <c r="I751" s="10" t="str">
        <f>CONCATENATE("WK_",WEEKNUM(events[[#This Row],[Start Date]]))</f>
        <v>WK_29</v>
      </c>
      <c r="J751" s="12">
        <v>45852.226527777777</v>
      </c>
      <c r="K751" s="10">
        <v>11</v>
      </c>
      <c r="L751" s="10" t="s">
        <v>83</v>
      </c>
      <c r="M751" s="10" t="s">
        <v>26</v>
      </c>
      <c r="N751" s="13">
        <f t="shared" si="11"/>
        <v>1.6666666666666666E-2</v>
      </c>
      <c r="O751" s="14" t="s">
        <v>92</v>
      </c>
      <c r="P751" s="14"/>
      <c r="Q751" s="14" t="s">
        <v>2529</v>
      </c>
      <c r="R751" s="14"/>
      <c r="S751" s="14" t="s">
        <v>2530</v>
      </c>
      <c r="T751" s="14"/>
      <c r="U751" s="15">
        <v>0</v>
      </c>
      <c r="V751" s="10">
        <v>1</v>
      </c>
    </row>
    <row r="752" spans="1:22" ht="18" customHeight="1" x14ac:dyDescent="0.35">
      <c r="A752" s="10" t="s">
        <v>47</v>
      </c>
      <c r="B752" s="10" t="s">
        <v>3333</v>
      </c>
      <c r="C752" s="11" t="s">
        <v>3127</v>
      </c>
      <c r="D752" s="11" t="s">
        <v>678</v>
      </c>
      <c r="E752" s="12">
        <v>45851.896828703706</v>
      </c>
      <c r="F752" s="10" t="str">
        <f>TEXT(events[[#This Row],[Start Date]],"DDD")</f>
        <v>Sun</v>
      </c>
      <c r="G752" s="10">
        <f>YEAR(events[[#This Row],[Start Date]])</f>
        <v>2025</v>
      </c>
      <c r="H752" s="10" t="str">
        <f>TEXT(events[[#This Row],[Start Date]],"mmm")</f>
        <v>Jul</v>
      </c>
      <c r="I752" s="10" t="str">
        <f>CONCATENATE("WK_",WEEKNUM(events[[#This Row],[Start Date]]))</f>
        <v>WK_29</v>
      </c>
      <c r="J752" s="12">
        <v>45851.896828703706</v>
      </c>
      <c r="K752" s="10">
        <v>11</v>
      </c>
      <c r="L752" s="10" t="s">
        <v>83</v>
      </c>
      <c r="M752" s="10" t="s">
        <v>87</v>
      </c>
      <c r="N752" s="13">
        <f t="shared" si="11"/>
        <v>0</v>
      </c>
      <c r="O752" s="14" t="s">
        <v>92</v>
      </c>
      <c r="P752" s="14"/>
      <c r="Q752" s="14" t="s">
        <v>2529</v>
      </c>
      <c r="R752" s="14"/>
      <c r="S752" s="14" t="s">
        <v>2531</v>
      </c>
      <c r="T752" s="14"/>
      <c r="U752" s="15">
        <v>0</v>
      </c>
      <c r="V752" s="10">
        <v>1</v>
      </c>
    </row>
    <row r="753" spans="1:22" ht="18" customHeight="1" x14ac:dyDescent="0.35">
      <c r="A753" s="10" t="s">
        <v>86</v>
      </c>
      <c r="B753" s="10" t="s">
        <v>3299</v>
      </c>
      <c r="C753" s="11" t="s">
        <v>3085</v>
      </c>
      <c r="D753" s="11" t="s">
        <v>24</v>
      </c>
      <c r="E753" s="12">
        <v>45851.818391203706</v>
      </c>
      <c r="F753" s="10" t="str">
        <f>TEXT(events[[#This Row],[Start Date]],"DDD")</f>
        <v>Sun</v>
      </c>
      <c r="G753" s="10">
        <f>YEAR(events[[#This Row],[Start Date]])</f>
        <v>2025</v>
      </c>
      <c r="H753" s="10" t="str">
        <f>TEXT(events[[#This Row],[Start Date]],"mmm")</f>
        <v>Jul</v>
      </c>
      <c r="I753" s="10" t="str">
        <f>CONCATENATE("WK_",WEEKNUM(events[[#This Row],[Start Date]]))</f>
        <v>WK_29</v>
      </c>
      <c r="J753" s="12">
        <v>45851.818414351852</v>
      </c>
      <c r="K753" s="10">
        <v>33</v>
      </c>
      <c r="L753" s="10" t="s">
        <v>25</v>
      </c>
      <c r="M753" s="10" t="s">
        <v>31</v>
      </c>
      <c r="N753" s="13">
        <f t="shared" si="11"/>
        <v>3.3333333333333333E-2</v>
      </c>
      <c r="O753" s="14" t="s">
        <v>965</v>
      </c>
      <c r="P753" s="14" t="s">
        <v>965</v>
      </c>
      <c r="Q753" s="14"/>
      <c r="R753" s="14"/>
      <c r="S753" s="14" t="s">
        <v>2575</v>
      </c>
      <c r="T753" s="14" t="s">
        <v>2576</v>
      </c>
      <c r="U753" s="15">
        <v>0</v>
      </c>
      <c r="V753" s="10">
        <v>1</v>
      </c>
    </row>
    <row r="754" spans="1:22" ht="18" customHeight="1" x14ac:dyDescent="0.35">
      <c r="A754" s="10" t="s">
        <v>86</v>
      </c>
      <c r="B754" s="10" t="s">
        <v>3299</v>
      </c>
      <c r="C754" s="11" t="s">
        <v>3085</v>
      </c>
      <c r="D754" s="11" t="s">
        <v>24</v>
      </c>
      <c r="E754" s="12">
        <v>45851.733993055554</v>
      </c>
      <c r="F754" s="10" t="str">
        <f>TEXT(events[[#This Row],[Start Date]],"DDD")</f>
        <v>Sun</v>
      </c>
      <c r="G754" s="10">
        <f>YEAR(events[[#This Row],[Start Date]])</f>
        <v>2025</v>
      </c>
      <c r="H754" s="10" t="str">
        <f>TEXT(events[[#This Row],[Start Date]],"mmm")</f>
        <v>Jul</v>
      </c>
      <c r="I754" s="10" t="str">
        <f>CONCATENATE("WK_",WEEKNUM(events[[#This Row],[Start Date]]))</f>
        <v>WK_29</v>
      </c>
      <c r="J754" s="12">
        <v>45851.734097222223</v>
      </c>
      <c r="K754" s="10">
        <v>37</v>
      </c>
      <c r="L754" s="10" t="s">
        <v>25</v>
      </c>
      <c r="M754" s="10" t="s">
        <v>414</v>
      </c>
      <c r="N754" s="13">
        <f t="shared" si="11"/>
        <v>0.15</v>
      </c>
      <c r="O754" s="14" t="s">
        <v>50</v>
      </c>
      <c r="P754" s="14" t="s">
        <v>50</v>
      </c>
      <c r="Q754" s="14"/>
      <c r="R754" s="14"/>
      <c r="S754" s="14" t="s">
        <v>2573</v>
      </c>
      <c r="T754" s="14" t="s">
        <v>2574</v>
      </c>
      <c r="U754" s="15">
        <v>0.125</v>
      </c>
      <c r="V754" s="10">
        <v>1</v>
      </c>
    </row>
    <row r="755" spans="1:22" ht="18" customHeight="1" x14ac:dyDescent="0.35">
      <c r="A755" s="10" t="s">
        <v>47</v>
      </c>
      <c r="B755" s="10" t="s">
        <v>3201</v>
      </c>
      <c r="C755" s="11" t="s">
        <v>3124</v>
      </c>
      <c r="D755" s="11" t="s">
        <v>24</v>
      </c>
      <c r="E755" s="12">
        <v>45851.666354166664</v>
      </c>
      <c r="F755" s="10" t="str">
        <f>TEXT(events[[#This Row],[Start Date]],"DDD")</f>
        <v>Sun</v>
      </c>
      <c r="G755" s="10">
        <f>YEAR(events[[#This Row],[Start Date]])</f>
        <v>2025</v>
      </c>
      <c r="H755" s="10" t="str">
        <f>TEXT(events[[#This Row],[Start Date]],"mmm")</f>
        <v>Jul</v>
      </c>
      <c r="I755" s="10" t="str">
        <f>CONCATENATE("WK_",WEEKNUM(events[[#This Row],[Start Date]]))</f>
        <v>WK_29</v>
      </c>
      <c r="J755" s="12">
        <v>45851.666377314818</v>
      </c>
      <c r="K755" s="10">
        <v>35</v>
      </c>
      <c r="L755" s="10" t="s">
        <v>25</v>
      </c>
      <c r="M755" s="10" t="s">
        <v>31</v>
      </c>
      <c r="N755" s="13">
        <f t="shared" si="11"/>
        <v>3.3333333333333333E-2</v>
      </c>
      <c r="O755" s="14" t="s">
        <v>92</v>
      </c>
      <c r="P755" s="14" t="s">
        <v>92</v>
      </c>
      <c r="Q755" s="14"/>
      <c r="R755" s="14"/>
      <c r="S755" s="14" t="s">
        <v>2525</v>
      </c>
      <c r="T755" s="14" t="s">
        <v>2526</v>
      </c>
      <c r="U755" s="15">
        <v>0</v>
      </c>
      <c r="V755" s="10">
        <v>1</v>
      </c>
    </row>
    <row r="756" spans="1:22" ht="18" customHeight="1" x14ac:dyDescent="0.35">
      <c r="A756" s="10" t="s">
        <v>123</v>
      </c>
      <c r="B756" s="10" t="s">
        <v>3177</v>
      </c>
      <c r="C756" s="11" t="s">
        <v>2944</v>
      </c>
      <c r="D756" s="11" t="s">
        <v>74</v>
      </c>
      <c r="E756" s="12">
        <v>45851.53466435185</v>
      </c>
      <c r="F756" s="10" t="str">
        <f>TEXT(events[[#This Row],[Start Date]],"DDD")</f>
        <v>Sun</v>
      </c>
      <c r="G756" s="10">
        <f>YEAR(events[[#This Row],[Start Date]])</f>
        <v>2025</v>
      </c>
      <c r="H756" s="10" t="str">
        <f>TEXT(events[[#This Row],[Start Date]],"mmm")</f>
        <v>Jul</v>
      </c>
      <c r="I756" s="10" t="str">
        <f>CONCATENATE("WK_",WEEKNUM(events[[#This Row],[Start Date]]))</f>
        <v>WK_29</v>
      </c>
      <c r="J756" s="12">
        <v>45851.535358796296</v>
      </c>
      <c r="K756" s="10">
        <v>111</v>
      </c>
      <c r="L756" s="10" t="s">
        <v>25</v>
      </c>
      <c r="M756" s="10" t="s">
        <v>177</v>
      </c>
      <c r="N756" s="13">
        <f t="shared" si="11"/>
        <v>1</v>
      </c>
      <c r="O756" s="14"/>
      <c r="P756" s="14"/>
      <c r="Q756" s="14"/>
      <c r="R756" s="14"/>
      <c r="S756" s="14" t="s">
        <v>2588</v>
      </c>
      <c r="T756" s="14" t="s">
        <v>2589</v>
      </c>
      <c r="U756" s="15">
        <v>2</v>
      </c>
      <c r="V756" s="10">
        <v>1</v>
      </c>
    </row>
    <row r="757" spans="1:22" ht="18" customHeight="1" x14ac:dyDescent="0.35">
      <c r="A757" s="10" t="s">
        <v>23</v>
      </c>
      <c r="B757" s="10" t="s">
        <v>3211</v>
      </c>
      <c r="C757" s="11" t="s">
        <v>3125</v>
      </c>
      <c r="D757" s="11" t="s">
        <v>24</v>
      </c>
      <c r="E757" s="12">
        <v>45851.457361111112</v>
      </c>
      <c r="F757" s="10" t="str">
        <f>TEXT(events[[#This Row],[Start Date]],"DDD")</f>
        <v>Sun</v>
      </c>
      <c r="G757" s="10">
        <f>YEAR(events[[#This Row],[Start Date]])</f>
        <v>2025</v>
      </c>
      <c r="H757" s="10" t="str">
        <f>TEXT(events[[#This Row],[Start Date]],"mmm")</f>
        <v>Jul</v>
      </c>
      <c r="I757" s="10" t="str">
        <f>CONCATENATE("WK_",WEEKNUM(events[[#This Row],[Start Date]]))</f>
        <v>WK_29</v>
      </c>
      <c r="J757" s="12">
        <v>45851.457372685189</v>
      </c>
      <c r="K757" s="10">
        <v>33</v>
      </c>
      <c r="L757" s="10" t="s">
        <v>25</v>
      </c>
      <c r="M757" s="10" t="s">
        <v>26</v>
      </c>
      <c r="N757" s="13">
        <f t="shared" si="11"/>
        <v>1.6666666666666666E-2</v>
      </c>
      <c r="O757" s="14" t="s">
        <v>27</v>
      </c>
      <c r="P757" s="14" t="s">
        <v>27</v>
      </c>
      <c r="Q757" s="14"/>
      <c r="R757" s="14"/>
      <c r="S757" s="14" t="s">
        <v>2508</v>
      </c>
      <c r="T757" s="14" t="s">
        <v>2509</v>
      </c>
      <c r="U757" s="15">
        <v>0</v>
      </c>
      <c r="V757" s="10">
        <v>1</v>
      </c>
    </row>
    <row r="758" spans="1:22" ht="18" customHeight="1" x14ac:dyDescent="0.35">
      <c r="A758" s="10" t="s">
        <v>23</v>
      </c>
      <c r="B758" s="10" t="s">
        <v>3202</v>
      </c>
      <c r="C758" s="11" t="s">
        <v>2969</v>
      </c>
      <c r="D758" s="11" t="s">
        <v>24</v>
      </c>
      <c r="E758" s="12">
        <v>45849.98641203704</v>
      </c>
      <c r="F758" s="10" t="str">
        <f>TEXT(events[[#This Row],[Start Date]],"DDD")</f>
        <v>Fri</v>
      </c>
      <c r="G758" s="10">
        <f>YEAR(events[[#This Row],[Start Date]])</f>
        <v>2025</v>
      </c>
      <c r="H758" s="10" t="str">
        <f>TEXT(events[[#This Row],[Start Date]],"mmm")</f>
        <v>Jul</v>
      </c>
      <c r="I758" s="10" t="str">
        <f>CONCATENATE("WK_",WEEKNUM(events[[#This Row],[Start Date]]))</f>
        <v>WK_28</v>
      </c>
      <c r="J758" s="12">
        <v>45849.986435185187</v>
      </c>
      <c r="K758" s="10">
        <v>37</v>
      </c>
      <c r="L758" s="10" t="s">
        <v>25</v>
      </c>
      <c r="M758" s="10" t="s">
        <v>31</v>
      </c>
      <c r="N758" s="13">
        <f t="shared" si="11"/>
        <v>3.3333333333333333E-2</v>
      </c>
      <c r="O758" s="14" t="s">
        <v>38</v>
      </c>
      <c r="P758" s="14" t="s">
        <v>38</v>
      </c>
      <c r="Q758" s="14"/>
      <c r="R758" s="14"/>
      <c r="S758" s="14" t="s">
        <v>2514</v>
      </c>
      <c r="T758" s="14" t="s">
        <v>2515</v>
      </c>
      <c r="U758" s="15">
        <v>9.3799999999999994E-2</v>
      </c>
      <c r="V758" s="10">
        <v>1</v>
      </c>
    </row>
    <row r="759" spans="1:22" ht="18" customHeight="1" x14ac:dyDescent="0.35">
      <c r="A759" s="10" t="s">
        <v>86</v>
      </c>
      <c r="B759" s="10" t="s">
        <v>3197</v>
      </c>
      <c r="C759" s="11" t="s">
        <v>2964</v>
      </c>
      <c r="D759" s="11" t="s">
        <v>24</v>
      </c>
      <c r="E759" s="12">
        <v>45849.891041666669</v>
      </c>
      <c r="F759" s="10" t="str">
        <f>TEXT(events[[#This Row],[Start Date]],"DDD")</f>
        <v>Fri</v>
      </c>
      <c r="G759" s="10">
        <f>YEAR(events[[#This Row],[Start Date]])</f>
        <v>2025</v>
      </c>
      <c r="H759" s="10" t="str">
        <f>TEXT(events[[#This Row],[Start Date]],"mmm")</f>
        <v>Jul</v>
      </c>
      <c r="I759" s="10" t="str">
        <f>CONCATENATE("WK_",WEEKNUM(events[[#This Row],[Start Date]]))</f>
        <v>WK_28</v>
      </c>
      <c r="J759" s="12">
        <v>45849.891053240739</v>
      </c>
      <c r="K759" s="10">
        <v>37</v>
      </c>
      <c r="L759" s="10" t="s">
        <v>25</v>
      </c>
      <c r="M759" s="10" t="s">
        <v>26</v>
      </c>
      <c r="N759" s="13">
        <f t="shared" si="11"/>
        <v>1.6666666666666666E-2</v>
      </c>
      <c r="O759" s="14" t="s">
        <v>108</v>
      </c>
      <c r="P759" s="14" t="s">
        <v>108</v>
      </c>
      <c r="Q759" s="14"/>
      <c r="R759" s="14"/>
      <c r="S759" s="14" t="s">
        <v>2555</v>
      </c>
      <c r="T759" s="14" t="s">
        <v>2556</v>
      </c>
      <c r="U759" s="15">
        <v>9.3799999999999994E-2</v>
      </c>
      <c r="V759" s="10">
        <v>1</v>
      </c>
    </row>
    <row r="760" spans="1:22" ht="18" customHeight="1" x14ac:dyDescent="0.35">
      <c r="A760" s="10" t="s">
        <v>86</v>
      </c>
      <c r="B760" s="10" t="s">
        <v>3299</v>
      </c>
      <c r="C760" s="11" t="s">
        <v>3085</v>
      </c>
      <c r="D760" s="11" t="s">
        <v>24</v>
      </c>
      <c r="E760" s="12">
        <v>45849.710092592592</v>
      </c>
      <c r="F760" s="10" t="str">
        <f>TEXT(events[[#This Row],[Start Date]],"DDD")</f>
        <v>Fri</v>
      </c>
      <c r="G760" s="10">
        <f>YEAR(events[[#This Row],[Start Date]])</f>
        <v>2025</v>
      </c>
      <c r="H760" s="10" t="str">
        <f>TEXT(events[[#This Row],[Start Date]],"mmm")</f>
        <v>Jul</v>
      </c>
      <c r="I760" s="10" t="str">
        <f>CONCATENATE("WK_",WEEKNUM(events[[#This Row],[Start Date]]))</f>
        <v>WK_28</v>
      </c>
      <c r="J760" s="12">
        <v>45849.710196759261</v>
      </c>
      <c r="K760" s="10">
        <v>37</v>
      </c>
      <c r="L760" s="10" t="s">
        <v>25</v>
      </c>
      <c r="M760" s="10" t="s">
        <v>414</v>
      </c>
      <c r="N760" s="13">
        <f t="shared" si="11"/>
        <v>0.15</v>
      </c>
      <c r="O760" s="14" t="s">
        <v>50</v>
      </c>
      <c r="P760" s="14" t="s">
        <v>50</v>
      </c>
      <c r="Q760" s="14"/>
      <c r="R760" s="14"/>
      <c r="S760" s="14" t="s">
        <v>2571</v>
      </c>
      <c r="T760" s="14" t="s">
        <v>2572</v>
      </c>
      <c r="U760" s="15">
        <v>0.125</v>
      </c>
      <c r="V760" s="10">
        <v>1</v>
      </c>
    </row>
    <row r="761" spans="1:22" ht="18" customHeight="1" x14ac:dyDescent="0.35">
      <c r="A761" s="10" t="s">
        <v>123</v>
      </c>
      <c r="B761" s="10" t="s">
        <v>3300</v>
      </c>
      <c r="C761" s="11" t="s">
        <v>3086</v>
      </c>
      <c r="D761" s="11" t="s">
        <v>74</v>
      </c>
      <c r="E761" s="12">
        <v>45849.461747685185</v>
      </c>
      <c r="F761" s="10" t="str">
        <f>TEXT(events[[#This Row],[Start Date]],"DDD")</f>
        <v>Fri</v>
      </c>
      <c r="G761" s="10">
        <f>YEAR(events[[#This Row],[Start Date]])</f>
        <v>2025</v>
      </c>
      <c r="H761" s="10" t="str">
        <f>TEXT(events[[#This Row],[Start Date]],"mmm")</f>
        <v>Jul</v>
      </c>
      <c r="I761" s="10" t="str">
        <f>CONCATENATE("WK_",WEEKNUM(events[[#This Row],[Start Date]]))</f>
        <v>WK_28</v>
      </c>
      <c r="J761" s="12">
        <v>45849.462314814817</v>
      </c>
      <c r="K761" s="10">
        <v>94</v>
      </c>
      <c r="L761" s="10" t="s">
        <v>25</v>
      </c>
      <c r="M761" s="10" t="s">
        <v>489</v>
      </c>
      <c r="N761" s="13">
        <f t="shared" si="11"/>
        <v>0.81666666666666665</v>
      </c>
      <c r="O761" s="14"/>
      <c r="P761" s="14"/>
      <c r="Q761" s="14"/>
      <c r="R761" s="14"/>
      <c r="S761" s="14" t="s">
        <v>2590</v>
      </c>
      <c r="T761" s="14" t="s">
        <v>827</v>
      </c>
      <c r="U761" s="15">
        <v>1</v>
      </c>
      <c r="V761" s="10">
        <v>1</v>
      </c>
    </row>
    <row r="762" spans="1:22" ht="18" customHeight="1" x14ac:dyDescent="0.35">
      <c r="A762" s="10" t="s">
        <v>47</v>
      </c>
      <c r="B762" s="10" t="s">
        <v>3159</v>
      </c>
      <c r="C762" s="11" t="s">
        <v>3128</v>
      </c>
      <c r="D762" s="11" t="s">
        <v>74</v>
      </c>
      <c r="E762" s="12">
        <v>45849.46025462963</v>
      </c>
      <c r="F762" s="10" t="str">
        <f>TEXT(events[[#This Row],[Start Date]],"DDD")</f>
        <v>Fri</v>
      </c>
      <c r="G762" s="10">
        <f>YEAR(events[[#This Row],[Start Date]])</f>
        <v>2025</v>
      </c>
      <c r="H762" s="10" t="str">
        <f>TEXT(events[[#This Row],[Start Date]],"mmm")</f>
        <v>Jul</v>
      </c>
      <c r="I762" s="10" t="str">
        <f>CONCATENATE("WK_",WEEKNUM(events[[#This Row],[Start Date]]))</f>
        <v>WK_28</v>
      </c>
      <c r="J762" s="12">
        <v>45849.460300925923</v>
      </c>
      <c r="K762" s="10">
        <v>81</v>
      </c>
      <c r="L762" s="10" t="s">
        <v>25</v>
      </c>
      <c r="M762" s="10" t="s">
        <v>275</v>
      </c>
      <c r="N762" s="13">
        <f t="shared" si="11"/>
        <v>6.6666666666666666E-2</v>
      </c>
      <c r="O762" s="14" t="s">
        <v>108</v>
      </c>
      <c r="P762" s="14" t="s">
        <v>108</v>
      </c>
      <c r="Q762" s="14"/>
      <c r="R762" s="14"/>
      <c r="S762" s="14" t="s">
        <v>2540</v>
      </c>
      <c r="T762" s="14" t="s">
        <v>2541</v>
      </c>
      <c r="U762" s="15">
        <v>9.3700000000000006E-2</v>
      </c>
      <c r="V762" s="10">
        <v>1</v>
      </c>
    </row>
    <row r="763" spans="1:22" ht="18" customHeight="1" x14ac:dyDescent="0.35">
      <c r="A763" s="10" t="s">
        <v>47</v>
      </c>
      <c r="B763" s="10" t="s">
        <v>3159</v>
      </c>
      <c r="C763" s="11" t="s">
        <v>3128</v>
      </c>
      <c r="D763" s="11" t="s">
        <v>74</v>
      </c>
      <c r="E763" s="12">
        <v>45849.439733796295</v>
      </c>
      <c r="F763" s="10" t="str">
        <f>TEXT(events[[#This Row],[Start Date]],"DDD")</f>
        <v>Fri</v>
      </c>
      <c r="G763" s="10">
        <f>YEAR(events[[#This Row],[Start Date]])</f>
        <v>2025</v>
      </c>
      <c r="H763" s="10" t="str">
        <f>TEXT(events[[#This Row],[Start Date]],"mmm")</f>
        <v>Jul</v>
      </c>
      <c r="I763" s="10" t="str">
        <f>CONCATENATE("WK_",WEEKNUM(events[[#This Row],[Start Date]]))</f>
        <v>WK_28</v>
      </c>
      <c r="J763" s="12">
        <v>45849.439884259256</v>
      </c>
      <c r="K763" s="10">
        <v>93</v>
      </c>
      <c r="L763" s="10" t="s">
        <v>25</v>
      </c>
      <c r="M763" s="10" t="s">
        <v>167</v>
      </c>
      <c r="N763" s="13">
        <f t="shared" si="11"/>
        <v>0.21666666666666667</v>
      </c>
      <c r="O763" s="14" t="s">
        <v>108</v>
      </c>
      <c r="P763" s="14" t="s">
        <v>108</v>
      </c>
      <c r="Q763" s="14"/>
      <c r="R763" s="14"/>
      <c r="S763" s="14" t="s">
        <v>2538</v>
      </c>
      <c r="T763" s="14" t="s">
        <v>2539</v>
      </c>
      <c r="U763" s="15">
        <v>0.3125</v>
      </c>
      <c r="V763" s="10">
        <v>1</v>
      </c>
    </row>
    <row r="764" spans="1:22" ht="18" customHeight="1" x14ac:dyDescent="0.35">
      <c r="A764" s="10" t="s">
        <v>47</v>
      </c>
      <c r="B764" s="10" t="s">
        <v>3159</v>
      </c>
      <c r="C764" s="11" t="s">
        <v>3128</v>
      </c>
      <c r="D764" s="11" t="s">
        <v>74</v>
      </c>
      <c r="E764" s="12">
        <v>45849.374699074076</v>
      </c>
      <c r="F764" s="10" t="str">
        <f>TEXT(events[[#This Row],[Start Date]],"DDD")</f>
        <v>Fri</v>
      </c>
      <c r="G764" s="10">
        <f>YEAR(events[[#This Row],[Start Date]])</f>
        <v>2025</v>
      </c>
      <c r="H764" s="10" t="str">
        <f>TEXT(events[[#This Row],[Start Date]],"mmm")</f>
        <v>Jul</v>
      </c>
      <c r="I764" s="10" t="str">
        <f>CONCATENATE("WK_",WEEKNUM(events[[#This Row],[Start Date]]))</f>
        <v>WK_28</v>
      </c>
      <c r="J764" s="12">
        <v>45849.374710648146</v>
      </c>
      <c r="K764" s="10">
        <v>81</v>
      </c>
      <c r="L764" s="10" t="s">
        <v>25</v>
      </c>
      <c r="M764" s="10" t="s">
        <v>26</v>
      </c>
      <c r="N764" s="13">
        <f t="shared" si="11"/>
        <v>1.6666666666666666E-2</v>
      </c>
      <c r="O764" s="14" t="s">
        <v>38</v>
      </c>
      <c r="P764" s="14" t="s">
        <v>38</v>
      </c>
      <c r="Q764" s="14"/>
      <c r="R764" s="14"/>
      <c r="S764" s="14" t="s">
        <v>2536</v>
      </c>
      <c r="T764" s="14" t="s">
        <v>2537</v>
      </c>
      <c r="U764" s="15">
        <v>9.3700000000000006E-2</v>
      </c>
      <c r="V764" s="10">
        <v>1</v>
      </c>
    </row>
    <row r="765" spans="1:22" ht="18" customHeight="1" x14ac:dyDescent="0.35">
      <c r="A765" s="10" t="s">
        <v>23</v>
      </c>
      <c r="B765" s="10" t="s">
        <v>3202</v>
      </c>
      <c r="C765" s="11" t="s">
        <v>2969</v>
      </c>
      <c r="D765" s="11" t="s">
        <v>24</v>
      </c>
      <c r="E765" s="12">
        <v>45849.351041666669</v>
      </c>
      <c r="F765" s="10" t="str">
        <f>TEXT(events[[#This Row],[Start Date]],"DDD")</f>
        <v>Fri</v>
      </c>
      <c r="G765" s="10">
        <f>YEAR(events[[#This Row],[Start Date]])</f>
        <v>2025</v>
      </c>
      <c r="H765" s="10" t="str">
        <f>TEXT(events[[#This Row],[Start Date]],"mmm")</f>
        <v>Jul</v>
      </c>
      <c r="I765" s="10" t="str">
        <f>CONCATENATE("WK_",WEEKNUM(events[[#This Row],[Start Date]]))</f>
        <v>WK_28</v>
      </c>
      <c r="J765" s="12">
        <v>45849.351076388892</v>
      </c>
      <c r="K765" s="10">
        <v>35</v>
      </c>
      <c r="L765" s="10" t="s">
        <v>25</v>
      </c>
      <c r="M765" s="10" t="s">
        <v>75</v>
      </c>
      <c r="N765" s="13">
        <f t="shared" si="11"/>
        <v>0.05</v>
      </c>
      <c r="O765" s="14" t="s">
        <v>38</v>
      </c>
      <c r="P765" s="14" t="s">
        <v>38</v>
      </c>
      <c r="Q765" s="14"/>
      <c r="R765" s="14"/>
      <c r="S765" s="14" t="s">
        <v>2512</v>
      </c>
      <c r="T765" s="14" t="s">
        <v>2513</v>
      </c>
      <c r="U765" s="15">
        <v>0</v>
      </c>
      <c r="V765" s="10">
        <v>1</v>
      </c>
    </row>
    <row r="766" spans="1:22" ht="18" customHeight="1" x14ac:dyDescent="0.35">
      <c r="A766" s="10" t="s">
        <v>123</v>
      </c>
      <c r="B766" s="10" t="s">
        <v>3334</v>
      </c>
      <c r="C766" s="11" t="s">
        <v>3129</v>
      </c>
      <c r="D766" s="11" t="s">
        <v>74</v>
      </c>
      <c r="E766" s="12">
        <v>45849.24113425926</v>
      </c>
      <c r="F766" s="10" t="str">
        <f>TEXT(events[[#This Row],[Start Date]],"DDD")</f>
        <v>Fri</v>
      </c>
      <c r="G766" s="10">
        <f>YEAR(events[[#This Row],[Start Date]])</f>
        <v>2025</v>
      </c>
      <c r="H766" s="10" t="str">
        <f>TEXT(events[[#This Row],[Start Date]],"mmm")</f>
        <v>Jul</v>
      </c>
      <c r="I766" s="10" t="str">
        <f>CONCATENATE("WK_",WEEKNUM(events[[#This Row],[Start Date]]))</f>
        <v>WK_28</v>
      </c>
      <c r="J766" s="12">
        <v>45849.242060185185</v>
      </c>
      <c r="K766" s="10">
        <v>98</v>
      </c>
      <c r="L766" s="10" t="s">
        <v>25</v>
      </c>
      <c r="M766" s="10" t="s">
        <v>441</v>
      </c>
      <c r="N766" s="13">
        <f t="shared" si="11"/>
        <v>1.3166666666666667</v>
      </c>
      <c r="O766" s="14"/>
      <c r="P766" s="14"/>
      <c r="Q766" s="14"/>
      <c r="R766" s="14"/>
      <c r="S766" s="14" t="s">
        <v>2591</v>
      </c>
      <c r="T766" s="14" t="s">
        <v>2592</v>
      </c>
      <c r="U766" s="15">
        <v>2</v>
      </c>
      <c r="V766" s="10">
        <v>1</v>
      </c>
    </row>
    <row r="767" spans="1:22" ht="18" customHeight="1" x14ac:dyDescent="0.35">
      <c r="A767" s="10" t="s">
        <v>47</v>
      </c>
      <c r="B767" s="10" t="s">
        <v>3159</v>
      </c>
      <c r="C767" s="11" t="s">
        <v>3128</v>
      </c>
      <c r="D767" s="11" t="s">
        <v>35</v>
      </c>
      <c r="E767" s="12">
        <v>45848.992291666669</v>
      </c>
      <c r="F767" s="10" t="str">
        <f>TEXT(events[[#This Row],[Start Date]],"DDD")</f>
        <v>Thu</v>
      </c>
      <c r="G767" s="10">
        <f>YEAR(events[[#This Row],[Start Date]])</f>
        <v>2025</v>
      </c>
      <c r="H767" s="10" t="str">
        <f>TEXT(events[[#This Row],[Start Date]],"mmm")</f>
        <v>Jul</v>
      </c>
      <c r="I767" s="10" t="str">
        <f>CONCATENATE("WK_",WEEKNUM(events[[#This Row],[Start Date]]))</f>
        <v>WK_28</v>
      </c>
      <c r="J767" s="12">
        <v>45849.000208333331</v>
      </c>
      <c r="K767" s="10">
        <v>0</v>
      </c>
      <c r="L767" s="10" t="s">
        <v>36</v>
      </c>
      <c r="M767" s="10" t="s">
        <v>2534</v>
      </c>
      <c r="N767" s="13">
        <f t="shared" si="11"/>
        <v>11.4</v>
      </c>
      <c r="O767" s="14" t="s">
        <v>38</v>
      </c>
      <c r="P767" s="14" t="s">
        <v>38</v>
      </c>
      <c r="Q767" s="14"/>
      <c r="R767" s="14"/>
      <c r="S767" s="14" t="s">
        <v>2535</v>
      </c>
      <c r="T767" s="14" t="s">
        <v>2535</v>
      </c>
      <c r="U767" s="15">
        <v>0</v>
      </c>
      <c r="V767" s="10">
        <v>1</v>
      </c>
    </row>
    <row r="768" spans="1:22" ht="18" customHeight="1" x14ac:dyDescent="0.35">
      <c r="A768" s="10" t="s">
        <v>47</v>
      </c>
      <c r="B768" s="10" t="s">
        <v>3159</v>
      </c>
      <c r="C768" s="11" t="s">
        <v>3128</v>
      </c>
      <c r="D768" s="11" t="s">
        <v>35</v>
      </c>
      <c r="E768" s="12">
        <v>45848.989398148151</v>
      </c>
      <c r="F768" s="10" t="str">
        <f>TEXT(events[[#This Row],[Start Date]],"DDD")</f>
        <v>Thu</v>
      </c>
      <c r="G768" s="10">
        <f>YEAR(events[[#This Row],[Start Date]])</f>
        <v>2025</v>
      </c>
      <c r="H768" s="10" t="str">
        <f>TEXT(events[[#This Row],[Start Date]],"mmm")</f>
        <v>Jul</v>
      </c>
      <c r="I768" s="10" t="str">
        <f>CONCATENATE("WK_",WEEKNUM(events[[#This Row],[Start Date]]))</f>
        <v>WK_28</v>
      </c>
      <c r="J768" s="12">
        <v>45848.99</v>
      </c>
      <c r="K768" s="10">
        <v>0</v>
      </c>
      <c r="L768" s="10" t="s">
        <v>36</v>
      </c>
      <c r="M768" s="10" t="s">
        <v>2344</v>
      </c>
      <c r="N768" s="13">
        <f t="shared" si="11"/>
        <v>0.8666666666666667</v>
      </c>
      <c r="O768" s="14" t="s">
        <v>38</v>
      </c>
      <c r="P768" s="14" t="s">
        <v>38</v>
      </c>
      <c r="Q768" s="14"/>
      <c r="R768" s="14"/>
      <c r="S768" s="14" t="s">
        <v>2532</v>
      </c>
      <c r="T768" s="14" t="s">
        <v>2533</v>
      </c>
      <c r="U768" s="15">
        <v>0</v>
      </c>
      <c r="V768" s="10">
        <v>1</v>
      </c>
    </row>
    <row r="769" spans="1:22" ht="18" customHeight="1" x14ac:dyDescent="0.35">
      <c r="A769" s="10" t="s">
        <v>47</v>
      </c>
      <c r="B769" s="10" t="s">
        <v>3268</v>
      </c>
      <c r="C769" s="11" t="s">
        <v>3130</v>
      </c>
      <c r="D769" s="11" t="s">
        <v>82</v>
      </c>
      <c r="E769" s="12">
        <v>45848.772118055553</v>
      </c>
      <c r="F769" s="10" t="str">
        <f>TEXT(events[[#This Row],[Start Date]],"DDD")</f>
        <v>Thu</v>
      </c>
      <c r="G769" s="10">
        <f>YEAR(events[[#This Row],[Start Date]])</f>
        <v>2025</v>
      </c>
      <c r="H769" s="10" t="str">
        <f>TEXT(events[[#This Row],[Start Date]],"mmm")</f>
        <v>Jul</v>
      </c>
      <c r="I769" s="10" t="str">
        <f>CONCATENATE("WK_",WEEKNUM(events[[#This Row],[Start Date]]))</f>
        <v>WK_28</v>
      </c>
      <c r="J769" s="12">
        <v>45848.772129629629</v>
      </c>
      <c r="K769" s="10">
        <v>23</v>
      </c>
      <c r="L769" s="10" t="s">
        <v>83</v>
      </c>
      <c r="M769" s="10" t="s">
        <v>26</v>
      </c>
      <c r="N769" s="13">
        <f t="shared" si="11"/>
        <v>1.6666666666666666E-2</v>
      </c>
      <c r="O769" s="14" t="s">
        <v>321</v>
      </c>
      <c r="P769" s="14"/>
      <c r="Q769" s="14"/>
      <c r="R769" s="14"/>
      <c r="S769" s="14" t="s">
        <v>2546</v>
      </c>
      <c r="T769" s="14"/>
      <c r="U769" s="15">
        <v>0</v>
      </c>
      <c r="V769" s="10">
        <v>1</v>
      </c>
    </row>
    <row r="770" spans="1:22" ht="18" customHeight="1" x14ac:dyDescent="0.35">
      <c r="A770" s="10" t="s">
        <v>47</v>
      </c>
      <c r="B770" s="10" t="s">
        <v>3231</v>
      </c>
      <c r="C770" s="11" t="s">
        <v>2998</v>
      </c>
      <c r="D770" s="11" t="s">
        <v>24</v>
      </c>
      <c r="E770" s="12">
        <v>45848.741747685184</v>
      </c>
      <c r="F770" s="10" t="str">
        <f>TEXT(events[[#This Row],[Start Date]],"DDD")</f>
        <v>Thu</v>
      </c>
      <c r="G770" s="10">
        <f>YEAR(events[[#This Row],[Start Date]])</f>
        <v>2025</v>
      </c>
      <c r="H770" s="10" t="str">
        <f>TEXT(events[[#This Row],[Start Date]],"mmm")</f>
        <v>Jul</v>
      </c>
      <c r="I770" s="10" t="str">
        <f>CONCATENATE("WK_",WEEKNUM(events[[#This Row],[Start Date]]))</f>
        <v>WK_28</v>
      </c>
      <c r="J770" s="12">
        <v>45848.741759259261</v>
      </c>
      <c r="K770" s="10">
        <v>36</v>
      </c>
      <c r="L770" s="10" t="s">
        <v>25</v>
      </c>
      <c r="M770" s="10" t="s">
        <v>26</v>
      </c>
      <c r="N770" s="13">
        <f t="shared" ref="N770:N833" si="12">HOUR(M770)*60+MINUTE(M770)+SECOND(M770)/60</f>
        <v>1.6666666666666666E-2</v>
      </c>
      <c r="O770" s="14" t="s">
        <v>65</v>
      </c>
      <c r="P770" s="14" t="s">
        <v>65</v>
      </c>
      <c r="Q770" s="14"/>
      <c r="R770" s="14"/>
      <c r="S770" s="14" t="s">
        <v>2544</v>
      </c>
      <c r="T770" s="14" t="s">
        <v>2545</v>
      </c>
      <c r="U770" s="15">
        <v>0</v>
      </c>
      <c r="V770" s="10">
        <v>1</v>
      </c>
    </row>
    <row r="771" spans="1:22" ht="18" customHeight="1" x14ac:dyDescent="0.35">
      <c r="A771" s="10" t="s">
        <v>123</v>
      </c>
      <c r="B771" s="10" t="s">
        <v>3303</v>
      </c>
      <c r="C771" s="11" t="s">
        <v>3089</v>
      </c>
      <c r="D771" s="11" t="s">
        <v>74</v>
      </c>
      <c r="E771" s="12">
        <v>45848.41134259259</v>
      </c>
      <c r="F771" s="10" t="str">
        <f>TEXT(events[[#This Row],[Start Date]],"DDD")</f>
        <v>Thu</v>
      </c>
      <c r="G771" s="10">
        <f>YEAR(events[[#This Row],[Start Date]])</f>
        <v>2025</v>
      </c>
      <c r="H771" s="10" t="str">
        <f>TEXT(events[[#This Row],[Start Date]],"mmm")</f>
        <v>Jul</v>
      </c>
      <c r="I771" s="10" t="str">
        <f>CONCATENATE("WK_",WEEKNUM(events[[#This Row],[Start Date]]))</f>
        <v>WK_28</v>
      </c>
      <c r="J771" s="12">
        <v>45848.413182870368</v>
      </c>
      <c r="K771" s="10">
        <v>88</v>
      </c>
      <c r="L771" s="10" t="s">
        <v>25</v>
      </c>
      <c r="M771" s="10" t="s">
        <v>2585</v>
      </c>
      <c r="N771" s="13">
        <f t="shared" si="12"/>
        <v>2.65</v>
      </c>
      <c r="O771" s="14"/>
      <c r="P771" s="14"/>
      <c r="Q771" s="14"/>
      <c r="R771" s="14"/>
      <c r="S771" s="14" t="s">
        <v>2586</v>
      </c>
      <c r="T771" s="14" t="s">
        <v>2587</v>
      </c>
      <c r="U771" s="15">
        <v>4</v>
      </c>
      <c r="V771" s="10">
        <v>1</v>
      </c>
    </row>
    <row r="772" spans="1:22" ht="18" customHeight="1" x14ac:dyDescent="0.35">
      <c r="A772" s="10" t="s">
        <v>47</v>
      </c>
      <c r="B772" s="10" t="s">
        <v>3335</v>
      </c>
      <c r="C772" s="11" t="s">
        <v>3131</v>
      </c>
      <c r="D772" s="11" t="s">
        <v>74</v>
      </c>
      <c r="E772" s="12">
        <v>45847.982939814814</v>
      </c>
      <c r="F772" s="10" t="str">
        <f>TEXT(events[[#This Row],[Start Date]],"DDD")</f>
        <v>Wed</v>
      </c>
      <c r="G772" s="10">
        <f>YEAR(events[[#This Row],[Start Date]])</f>
        <v>2025</v>
      </c>
      <c r="H772" s="10" t="str">
        <f>TEXT(events[[#This Row],[Start Date]],"mmm")</f>
        <v>Jul</v>
      </c>
      <c r="I772" s="10" t="str">
        <f>CONCATENATE("WK_",WEEKNUM(events[[#This Row],[Start Date]]))</f>
        <v>WK_28</v>
      </c>
      <c r="J772" s="12">
        <v>45847.982986111114</v>
      </c>
      <c r="K772" s="10">
        <v>82</v>
      </c>
      <c r="L772" s="10" t="s">
        <v>25</v>
      </c>
      <c r="M772" s="10" t="s">
        <v>275</v>
      </c>
      <c r="N772" s="13">
        <f t="shared" si="12"/>
        <v>6.6666666666666666E-2</v>
      </c>
      <c r="O772" s="14" t="s">
        <v>843</v>
      </c>
      <c r="P772" s="14" t="s">
        <v>843</v>
      </c>
      <c r="Q772" s="14"/>
      <c r="R772" s="14"/>
      <c r="S772" s="14" t="s">
        <v>2604</v>
      </c>
      <c r="T772" s="14" t="s">
        <v>2605</v>
      </c>
      <c r="U772" s="15">
        <v>9.3799999999999994E-2</v>
      </c>
      <c r="V772" s="10">
        <v>1</v>
      </c>
    </row>
    <row r="773" spans="1:22" ht="18" customHeight="1" x14ac:dyDescent="0.35">
      <c r="A773" s="10" t="s">
        <v>47</v>
      </c>
      <c r="B773" s="10" t="s">
        <v>3335</v>
      </c>
      <c r="C773" s="11" t="s">
        <v>3131</v>
      </c>
      <c r="D773" s="11" t="s">
        <v>74</v>
      </c>
      <c r="E773" s="12">
        <v>45847.973437499997</v>
      </c>
      <c r="F773" s="10" t="str">
        <f>TEXT(events[[#This Row],[Start Date]],"DDD")</f>
        <v>Wed</v>
      </c>
      <c r="G773" s="10">
        <f>YEAR(events[[#This Row],[Start Date]])</f>
        <v>2025</v>
      </c>
      <c r="H773" s="10" t="str">
        <f>TEXT(events[[#This Row],[Start Date]],"mmm")</f>
        <v>Jul</v>
      </c>
      <c r="I773" s="10" t="str">
        <f>CONCATENATE("WK_",WEEKNUM(events[[#This Row],[Start Date]]))</f>
        <v>WK_28</v>
      </c>
      <c r="J773" s="12">
        <v>45847.973611111112</v>
      </c>
      <c r="K773" s="10">
        <v>90</v>
      </c>
      <c r="L773" s="10" t="s">
        <v>25</v>
      </c>
      <c r="M773" s="10" t="s">
        <v>394</v>
      </c>
      <c r="N773" s="13">
        <f t="shared" si="12"/>
        <v>0.25</v>
      </c>
      <c r="O773" s="14" t="s">
        <v>182</v>
      </c>
      <c r="P773" s="14" t="s">
        <v>182</v>
      </c>
      <c r="Q773" s="14"/>
      <c r="R773" s="14"/>
      <c r="S773" s="14" t="s">
        <v>2602</v>
      </c>
      <c r="T773" s="14" t="s">
        <v>2603</v>
      </c>
      <c r="U773" s="15">
        <v>0.40620000000000001</v>
      </c>
      <c r="V773" s="10">
        <v>1</v>
      </c>
    </row>
    <row r="774" spans="1:22" ht="18" customHeight="1" x14ac:dyDescent="0.35">
      <c r="A774" s="10" t="s">
        <v>47</v>
      </c>
      <c r="B774" s="10" t="s">
        <v>3335</v>
      </c>
      <c r="C774" s="11" t="s">
        <v>3131</v>
      </c>
      <c r="D774" s="11" t="s">
        <v>74</v>
      </c>
      <c r="E774" s="12">
        <v>45847.971689814818</v>
      </c>
      <c r="F774" s="10" t="str">
        <f>TEXT(events[[#This Row],[Start Date]],"DDD")</f>
        <v>Wed</v>
      </c>
      <c r="G774" s="10">
        <f>YEAR(events[[#This Row],[Start Date]])</f>
        <v>2025</v>
      </c>
      <c r="H774" s="10" t="str">
        <f>TEXT(events[[#This Row],[Start Date]],"mmm")</f>
        <v>Jul</v>
      </c>
      <c r="I774" s="10" t="str">
        <f>CONCATENATE("WK_",WEEKNUM(events[[#This Row],[Start Date]]))</f>
        <v>WK_28</v>
      </c>
      <c r="J774" s="12">
        <v>45847.971701388888</v>
      </c>
      <c r="K774" s="10">
        <v>81</v>
      </c>
      <c r="L774" s="10" t="s">
        <v>25</v>
      </c>
      <c r="M774" s="10" t="s">
        <v>26</v>
      </c>
      <c r="N774" s="13">
        <f t="shared" si="12"/>
        <v>1.6666666666666666E-2</v>
      </c>
      <c r="O774" s="14" t="s">
        <v>182</v>
      </c>
      <c r="P774" s="14" t="s">
        <v>182</v>
      </c>
      <c r="Q774" s="14"/>
      <c r="R774" s="14"/>
      <c r="S774" s="14" t="s">
        <v>2600</v>
      </c>
      <c r="T774" s="14" t="s">
        <v>2601</v>
      </c>
      <c r="U774" s="15">
        <v>0.1094</v>
      </c>
      <c r="V774" s="10">
        <v>1</v>
      </c>
    </row>
    <row r="775" spans="1:22" ht="18" customHeight="1" x14ac:dyDescent="0.35">
      <c r="A775" s="10" t="s">
        <v>47</v>
      </c>
      <c r="B775" s="10" t="s">
        <v>3335</v>
      </c>
      <c r="C775" s="11" t="s">
        <v>3131</v>
      </c>
      <c r="D775" s="11" t="s">
        <v>74</v>
      </c>
      <c r="E775" s="12">
        <v>45847.96943287037</v>
      </c>
      <c r="F775" s="10" t="str">
        <f>TEXT(events[[#This Row],[Start Date]],"DDD")</f>
        <v>Wed</v>
      </c>
      <c r="G775" s="10">
        <f>YEAR(events[[#This Row],[Start Date]])</f>
        <v>2025</v>
      </c>
      <c r="H775" s="10" t="str">
        <f>TEXT(events[[#This Row],[Start Date]],"mmm")</f>
        <v>Jul</v>
      </c>
      <c r="I775" s="10" t="str">
        <f>CONCATENATE("WK_",WEEKNUM(events[[#This Row],[Start Date]]))</f>
        <v>WK_28</v>
      </c>
      <c r="J775" s="12">
        <v>45847.969594907408</v>
      </c>
      <c r="K775" s="10">
        <v>88</v>
      </c>
      <c r="L775" s="10" t="s">
        <v>25</v>
      </c>
      <c r="M775" s="10" t="s">
        <v>418</v>
      </c>
      <c r="N775" s="13">
        <f t="shared" si="12"/>
        <v>0.23333333333333334</v>
      </c>
      <c r="O775" s="14" t="s">
        <v>182</v>
      </c>
      <c r="P775" s="14" t="s">
        <v>182</v>
      </c>
      <c r="Q775" s="14"/>
      <c r="R775" s="14"/>
      <c r="S775" s="14" t="s">
        <v>2598</v>
      </c>
      <c r="T775" s="14" t="s">
        <v>2599</v>
      </c>
      <c r="U775" s="15">
        <v>0.29680000000000001</v>
      </c>
      <c r="V775" s="10">
        <v>1</v>
      </c>
    </row>
    <row r="776" spans="1:22" ht="18" customHeight="1" x14ac:dyDescent="0.35">
      <c r="A776" s="10" t="s">
        <v>123</v>
      </c>
      <c r="B776" s="10" t="s">
        <v>3221</v>
      </c>
      <c r="C776" s="11" t="s">
        <v>2990</v>
      </c>
      <c r="D776" s="11" t="s">
        <v>74</v>
      </c>
      <c r="E776" s="12">
        <v>45847.471122685187</v>
      </c>
      <c r="F776" s="10" t="str">
        <f>TEXT(events[[#This Row],[Start Date]],"DDD")</f>
        <v>Wed</v>
      </c>
      <c r="G776" s="10">
        <f>YEAR(events[[#This Row],[Start Date]])</f>
        <v>2025</v>
      </c>
      <c r="H776" s="10" t="str">
        <f>TEXT(events[[#This Row],[Start Date]],"mmm")</f>
        <v>Jul</v>
      </c>
      <c r="I776" s="10" t="str">
        <f>CONCATENATE("WK_",WEEKNUM(events[[#This Row],[Start Date]]))</f>
        <v>WK_28</v>
      </c>
      <c r="J776" s="12">
        <v>45847.47252314815</v>
      </c>
      <c r="K776" s="10">
        <v>107</v>
      </c>
      <c r="L776" s="10" t="s">
        <v>25</v>
      </c>
      <c r="M776" s="10"/>
      <c r="N776" s="13">
        <f t="shared" si="12"/>
        <v>0</v>
      </c>
      <c r="O776" s="14"/>
      <c r="P776" s="14"/>
      <c r="Q776" s="14"/>
      <c r="R776" s="14"/>
      <c r="S776" s="14" t="s">
        <v>2632</v>
      </c>
      <c r="T776" s="14" t="s">
        <v>2633</v>
      </c>
      <c r="U776" s="15">
        <v>3.1</v>
      </c>
      <c r="V776" s="10">
        <v>1</v>
      </c>
    </row>
    <row r="777" spans="1:22" ht="18" customHeight="1" x14ac:dyDescent="0.35">
      <c r="A777" s="10" t="s">
        <v>86</v>
      </c>
      <c r="B777" s="10" t="s">
        <v>3313</v>
      </c>
      <c r="C777" s="11" t="s">
        <v>2976</v>
      </c>
      <c r="D777" s="11" t="s">
        <v>82</v>
      </c>
      <c r="E777" s="12">
        <v>45846.826782407406</v>
      </c>
      <c r="F777" s="10" t="str">
        <f>TEXT(events[[#This Row],[Start Date]],"DDD")</f>
        <v>Tue</v>
      </c>
      <c r="G777" s="10">
        <f>YEAR(events[[#This Row],[Start Date]])</f>
        <v>2025</v>
      </c>
      <c r="H777" s="10" t="str">
        <f>TEXT(events[[#This Row],[Start Date]],"mmm")</f>
        <v>Jul</v>
      </c>
      <c r="I777" s="10" t="str">
        <f>CONCATENATE("WK_",WEEKNUM(events[[#This Row],[Start Date]]))</f>
        <v>WK_28</v>
      </c>
      <c r="J777" s="12">
        <v>45846.826793981483</v>
      </c>
      <c r="K777" s="10">
        <v>29</v>
      </c>
      <c r="L777" s="10" t="s">
        <v>83</v>
      </c>
      <c r="M777" s="10" t="s">
        <v>26</v>
      </c>
      <c r="N777" s="13">
        <f t="shared" si="12"/>
        <v>1.6666666666666666E-2</v>
      </c>
      <c r="O777" s="14" t="s">
        <v>1729</v>
      </c>
      <c r="P777" s="14"/>
      <c r="Q777" s="14"/>
      <c r="R777" s="14"/>
      <c r="S777" s="14" t="s">
        <v>2616</v>
      </c>
      <c r="T777" s="14"/>
      <c r="U777" s="15">
        <v>0</v>
      </c>
      <c r="V777" s="10">
        <v>1</v>
      </c>
    </row>
    <row r="778" spans="1:22" ht="18" customHeight="1" x14ac:dyDescent="0.35">
      <c r="A778" s="10" t="s">
        <v>123</v>
      </c>
      <c r="B778" s="10" t="s">
        <v>3336</v>
      </c>
      <c r="C778" s="11" t="s">
        <v>3132</v>
      </c>
      <c r="D778" s="11" t="s">
        <v>74</v>
      </c>
      <c r="E778" s="12">
        <v>45846.755810185183</v>
      </c>
      <c r="F778" s="10" t="str">
        <f>TEXT(events[[#This Row],[Start Date]],"DDD")</f>
        <v>Tue</v>
      </c>
      <c r="G778" s="10">
        <f>YEAR(events[[#This Row],[Start Date]])</f>
        <v>2025</v>
      </c>
      <c r="H778" s="10" t="str">
        <f>TEXT(events[[#This Row],[Start Date]],"mmm")</f>
        <v>Jul</v>
      </c>
      <c r="I778" s="10" t="str">
        <f>CONCATENATE("WK_",WEEKNUM(events[[#This Row],[Start Date]]))</f>
        <v>WK_28</v>
      </c>
      <c r="J778" s="12">
        <v>45846.756851851853</v>
      </c>
      <c r="K778" s="10">
        <v>94</v>
      </c>
      <c r="L778" s="10" t="s">
        <v>25</v>
      </c>
      <c r="M778" s="10"/>
      <c r="N778" s="13">
        <f t="shared" si="12"/>
        <v>0</v>
      </c>
      <c r="O778" s="14"/>
      <c r="P778" s="14"/>
      <c r="Q778" s="14"/>
      <c r="R778" s="14"/>
      <c r="S778" s="14" t="s">
        <v>2634</v>
      </c>
      <c r="T778" s="14" t="s">
        <v>2635</v>
      </c>
      <c r="U778" s="15">
        <v>2.1</v>
      </c>
      <c r="V778" s="10">
        <v>1</v>
      </c>
    </row>
    <row r="779" spans="1:22" ht="18" customHeight="1" x14ac:dyDescent="0.35">
      <c r="A779" s="10" t="s">
        <v>47</v>
      </c>
      <c r="B779" s="10" t="s">
        <v>3337</v>
      </c>
      <c r="C779" s="11" t="s">
        <v>3133</v>
      </c>
      <c r="D779" s="11" t="s">
        <v>74</v>
      </c>
      <c r="E779" s="12">
        <v>45846.751527777778</v>
      </c>
      <c r="F779" s="10" t="str">
        <f>TEXT(events[[#This Row],[Start Date]],"DDD")</f>
        <v>Tue</v>
      </c>
      <c r="G779" s="10">
        <f>YEAR(events[[#This Row],[Start Date]])</f>
        <v>2025</v>
      </c>
      <c r="H779" s="10" t="str">
        <f>TEXT(events[[#This Row],[Start Date]],"mmm")</f>
        <v>Jul</v>
      </c>
      <c r="I779" s="10" t="str">
        <f>CONCATENATE("WK_",WEEKNUM(events[[#This Row],[Start Date]]))</f>
        <v>WK_28</v>
      </c>
      <c r="J779" s="12">
        <v>45846.751631944448</v>
      </c>
      <c r="K779" s="10">
        <v>83</v>
      </c>
      <c r="L779" s="10" t="s">
        <v>25</v>
      </c>
      <c r="M779" s="10" t="s">
        <v>414</v>
      </c>
      <c r="N779" s="13">
        <f t="shared" si="12"/>
        <v>0.15</v>
      </c>
      <c r="O779" s="14" t="s">
        <v>38</v>
      </c>
      <c r="P779" s="14" t="s">
        <v>38</v>
      </c>
      <c r="Q779" s="14"/>
      <c r="R779" s="14"/>
      <c r="S779" s="14" t="s">
        <v>2610</v>
      </c>
      <c r="T779" s="14" t="s">
        <v>2611</v>
      </c>
      <c r="U779" s="15">
        <v>0.2031</v>
      </c>
      <c r="V779" s="10">
        <v>1</v>
      </c>
    </row>
    <row r="780" spans="1:22" ht="18" customHeight="1" x14ac:dyDescent="0.35">
      <c r="A780" s="10" t="s">
        <v>47</v>
      </c>
      <c r="B780" s="10" t="s">
        <v>3335</v>
      </c>
      <c r="C780" s="11" t="s">
        <v>3131</v>
      </c>
      <c r="D780" s="11" t="s">
        <v>74</v>
      </c>
      <c r="E780" s="12">
        <v>45846.643518518518</v>
      </c>
      <c r="F780" s="10" t="str">
        <f>TEXT(events[[#This Row],[Start Date]],"DDD")</f>
        <v>Tue</v>
      </c>
      <c r="G780" s="10">
        <f>YEAR(events[[#This Row],[Start Date]])</f>
        <v>2025</v>
      </c>
      <c r="H780" s="10" t="str">
        <f>TEXT(events[[#This Row],[Start Date]],"mmm")</f>
        <v>Jul</v>
      </c>
      <c r="I780" s="10" t="str">
        <f>CONCATENATE("WK_",WEEKNUM(events[[#This Row],[Start Date]]))</f>
        <v>WK_28</v>
      </c>
      <c r="J780" s="12">
        <v>45846.643518518518</v>
      </c>
      <c r="K780" s="10">
        <v>81</v>
      </c>
      <c r="L780" s="10" t="s">
        <v>25</v>
      </c>
      <c r="M780" s="10" t="s">
        <v>87</v>
      </c>
      <c r="N780" s="13">
        <f t="shared" si="12"/>
        <v>0</v>
      </c>
      <c r="O780" s="14" t="s">
        <v>65</v>
      </c>
      <c r="P780" s="14" t="s">
        <v>65</v>
      </c>
      <c r="Q780" s="14"/>
      <c r="R780" s="14"/>
      <c r="S780" s="14" t="s">
        <v>2597</v>
      </c>
      <c r="T780" s="14" t="s">
        <v>2597</v>
      </c>
      <c r="U780" s="15">
        <v>0</v>
      </c>
      <c r="V780" s="10">
        <v>1</v>
      </c>
    </row>
    <row r="781" spans="1:22" ht="18" customHeight="1" x14ac:dyDescent="0.35">
      <c r="A781" s="10" t="s">
        <v>123</v>
      </c>
      <c r="B781" s="10" t="s">
        <v>3338</v>
      </c>
      <c r="C781" s="11" t="s">
        <v>3134</v>
      </c>
      <c r="D781" s="11" t="s">
        <v>74</v>
      </c>
      <c r="E781" s="12">
        <v>45845.939270833333</v>
      </c>
      <c r="F781" s="10" t="str">
        <f>TEXT(events[[#This Row],[Start Date]],"DDD")</f>
        <v>Mon</v>
      </c>
      <c r="G781" s="10">
        <f>YEAR(events[[#This Row],[Start Date]])</f>
        <v>2025</v>
      </c>
      <c r="H781" s="10" t="str">
        <f>TEXT(events[[#This Row],[Start Date]],"mmm")</f>
        <v>Jul</v>
      </c>
      <c r="I781" s="10" t="str">
        <f>CONCATENATE("WK_",WEEKNUM(events[[#This Row],[Start Date]]))</f>
        <v>WK_28</v>
      </c>
      <c r="J781" s="12">
        <v>45845.939826388887</v>
      </c>
      <c r="K781" s="10">
        <v>86</v>
      </c>
      <c r="L781" s="10" t="s">
        <v>25</v>
      </c>
      <c r="M781" s="10"/>
      <c r="N781" s="13">
        <f t="shared" si="12"/>
        <v>0</v>
      </c>
      <c r="O781" s="14"/>
      <c r="P781" s="14"/>
      <c r="Q781" s="14"/>
      <c r="R781" s="14"/>
      <c r="S781" s="14" t="s">
        <v>2623</v>
      </c>
      <c r="T781" s="14" t="s">
        <v>2624</v>
      </c>
      <c r="U781" s="15">
        <v>1.2</v>
      </c>
      <c r="V781" s="10">
        <v>1</v>
      </c>
    </row>
    <row r="782" spans="1:22" ht="18" customHeight="1" x14ac:dyDescent="0.35">
      <c r="A782" s="10" t="s">
        <v>47</v>
      </c>
      <c r="B782" s="10" t="s">
        <v>3337</v>
      </c>
      <c r="C782" s="11" t="s">
        <v>3133</v>
      </c>
      <c r="D782" s="11" t="s">
        <v>74</v>
      </c>
      <c r="E782" s="12">
        <v>45845.880682870367</v>
      </c>
      <c r="F782" s="10" t="str">
        <f>TEXT(events[[#This Row],[Start Date]],"DDD")</f>
        <v>Mon</v>
      </c>
      <c r="G782" s="10">
        <f>YEAR(events[[#This Row],[Start Date]])</f>
        <v>2025</v>
      </c>
      <c r="H782" s="10" t="str">
        <f>TEXT(events[[#This Row],[Start Date]],"mmm")</f>
        <v>Jul</v>
      </c>
      <c r="I782" s="10" t="str">
        <f>CONCATENATE("WK_",WEEKNUM(events[[#This Row],[Start Date]]))</f>
        <v>WK_28</v>
      </c>
      <c r="J782" s="12">
        <v>45845.88071759259</v>
      </c>
      <c r="K782" s="10">
        <v>84</v>
      </c>
      <c r="L782" s="10" t="s">
        <v>25</v>
      </c>
      <c r="M782" s="10" t="s">
        <v>75</v>
      </c>
      <c r="N782" s="13">
        <f t="shared" si="12"/>
        <v>0.05</v>
      </c>
      <c r="O782" s="14" t="s">
        <v>108</v>
      </c>
      <c r="P782" s="14" t="s">
        <v>108</v>
      </c>
      <c r="Q782" s="14"/>
      <c r="R782" s="14"/>
      <c r="S782" s="14" t="s">
        <v>2608</v>
      </c>
      <c r="T782" s="14" t="s">
        <v>2609</v>
      </c>
      <c r="U782" s="15">
        <v>0.10150000000000001</v>
      </c>
      <c r="V782" s="10">
        <v>1</v>
      </c>
    </row>
    <row r="783" spans="1:22" ht="18" customHeight="1" x14ac:dyDescent="0.35">
      <c r="A783" s="10" t="s">
        <v>123</v>
      </c>
      <c r="B783" s="10" t="s">
        <v>3339</v>
      </c>
      <c r="C783" s="11" t="s">
        <v>3135</v>
      </c>
      <c r="D783" s="11" t="s">
        <v>74</v>
      </c>
      <c r="E783" s="12">
        <v>45845.734675925924</v>
      </c>
      <c r="F783" s="10" t="str">
        <f>TEXT(events[[#This Row],[Start Date]],"DDD")</f>
        <v>Mon</v>
      </c>
      <c r="G783" s="10">
        <f>YEAR(events[[#This Row],[Start Date]])</f>
        <v>2025</v>
      </c>
      <c r="H783" s="10" t="str">
        <f>TEXT(events[[#This Row],[Start Date]],"mmm")</f>
        <v>Jul</v>
      </c>
      <c r="I783" s="10" t="str">
        <f>CONCATENATE("WK_",WEEKNUM(events[[#This Row],[Start Date]]))</f>
        <v>WK_28</v>
      </c>
      <c r="J783" s="12">
        <v>45845.735590277778</v>
      </c>
      <c r="K783" s="10">
        <v>88</v>
      </c>
      <c r="L783" s="10" t="s">
        <v>25</v>
      </c>
      <c r="M783" s="10"/>
      <c r="N783" s="13">
        <f t="shared" si="12"/>
        <v>0</v>
      </c>
      <c r="O783" s="14"/>
      <c r="P783" s="14"/>
      <c r="Q783" s="14"/>
      <c r="R783" s="14"/>
      <c r="S783" s="14" t="s">
        <v>2625</v>
      </c>
      <c r="T783" s="14" t="s">
        <v>2626</v>
      </c>
      <c r="U783" s="15">
        <v>1.9</v>
      </c>
      <c r="V783" s="10">
        <v>1</v>
      </c>
    </row>
    <row r="784" spans="1:22" ht="18" customHeight="1" x14ac:dyDescent="0.35">
      <c r="A784" s="10" t="s">
        <v>123</v>
      </c>
      <c r="B784" s="10" t="s">
        <v>3340</v>
      </c>
      <c r="C784" s="11" t="s">
        <v>3136</v>
      </c>
      <c r="D784" s="11" t="s">
        <v>74</v>
      </c>
      <c r="E784" s="12">
        <v>45845.342499999999</v>
      </c>
      <c r="F784" s="10" t="str">
        <f>TEXT(events[[#This Row],[Start Date]],"DDD")</f>
        <v>Mon</v>
      </c>
      <c r="G784" s="10">
        <f>YEAR(events[[#This Row],[Start Date]])</f>
        <v>2025</v>
      </c>
      <c r="H784" s="10" t="str">
        <f>TEXT(events[[#This Row],[Start Date]],"mmm")</f>
        <v>Jul</v>
      </c>
      <c r="I784" s="10" t="str">
        <f>CONCATENATE("WK_",WEEKNUM(events[[#This Row],[Start Date]]))</f>
        <v>WK_28</v>
      </c>
      <c r="J784" s="12">
        <v>45845.342685185184</v>
      </c>
      <c r="K784" s="10">
        <v>83</v>
      </c>
      <c r="L784" s="10" t="s">
        <v>25</v>
      </c>
      <c r="M784" s="10"/>
      <c r="N784" s="13">
        <f t="shared" si="12"/>
        <v>0</v>
      </c>
      <c r="O784" s="14"/>
      <c r="P784" s="14"/>
      <c r="Q784" s="14"/>
      <c r="R784" s="14"/>
      <c r="S784" s="14" t="s">
        <v>2627</v>
      </c>
      <c r="T784" s="14" t="s">
        <v>2628</v>
      </c>
      <c r="U784" s="15">
        <v>0.5</v>
      </c>
      <c r="V784" s="10">
        <v>1</v>
      </c>
    </row>
    <row r="785" spans="1:22" ht="18" customHeight="1" x14ac:dyDescent="0.35">
      <c r="A785" s="10" t="s">
        <v>123</v>
      </c>
      <c r="B785" s="10" t="s">
        <v>3308</v>
      </c>
      <c r="C785" s="11" t="s">
        <v>3095</v>
      </c>
      <c r="D785" s="11" t="s">
        <v>74</v>
      </c>
      <c r="E785" s="12">
        <v>45844.413993055554</v>
      </c>
      <c r="F785" s="10" t="str">
        <f>TEXT(events[[#This Row],[Start Date]],"DDD")</f>
        <v>Sun</v>
      </c>
      <c r="G785" s="10">
        <f>YEAR(events[[#This Row],[Start Date]])</f>
        <v>2025</v>
      </c>
      <c r="H785" s="10" t="str">
        <f>TEXT(events[[#This Row],[Start Date]],"mmm")</f>
        <v>Jul</v>
      </c>
      <c r="I785" s="10" t="str">
        <f>CONCATENATE("WK_",WEEKNUM(events[[#This Row],[Start Date]]))</f>
        <v>WK_28</v>
      </c>
      <c r="J785" s="12">
        <v>45844.414166666669</v>
      </c>
      <c r="K785" s="10">
        <v>84</v>
      </c>
      <c r="L785" s="10" t="s">
        <v>25</v>
      </c>
      <c r="M785" s="10"/>
      <c r="N785" s="13">
        <f t="shared" si="12"/>
        <v>0</v>
      </c>
      <c r="O785" s="14"/>
      <c r="P785" s="14"/>
      <c r="Q785" s="14"/>
      <c r="R785" s="14"/>
      <c r="S785" s="14" t="s">
        <v>2629</v>
      </c>
      <c r="T785" s="14" t="s">
        <v>2630</v>
      </c>
      <c r="U785" s="15">
        <v>0.5</v>
      </c>
      <c r="V785" s="10">
        <v>1</v>
      </c>
    </row>
    <row r="786" spans="1:22" ht="18" customHeight="1" x14ac:dyDescent="0.35">
      <c r="A786" s="10" t="s">
        <v>123</v>
      </c>
      <c r="B786" s="10" t="s">
        <v>3341</v>
      </c>
      <c r="C786" s="11" t="s">
        <v>3137</v>
      </c>
      <c r="D786" s="11" t="s">
        <v>74</v>
      </c>
      <c r="E786" s="12">
        <v>45844.292754629627</v>
      </c>
      <c r="F786" s="10" t="str">
        <f>TEXT(events[[#This Row],[Start Date]],"DDD")</f>
        <v>Sun</v>
      </c>
      <c r="G786" s="10">
        <f>YEAR(events[[#This Row],[Start Date]])</f>
        <v>2025</v>
      </c>
      <c r="H786" s="10" t="str">
        <f>TEXT(events[[#This Row],[Start Date]],"mmm")</f>
        <v>Jul</v>
      </c>
      <c r="I786" s="10" t="str">
        <f>CONCATENATE("WK_",WEEKNUM(events[[#This Row],[Start Date]]))</f>
        <v>WK_28</v>
      </c>
      <c r="J786" s="12">
        <v>45844.294027777774</v>
      </c>
      <c r="K786" s="10">
        <v>89</v>
      </c>
      <c r="L786" s="10" t="s">
        <v>25</v>
      </c>
      <c r="M786" s="10"/>
      <c r="N786" s="13">
        <f t="shared" si="12"/>
        <v>0</v>
      </c>
      <c r="O786" s="14"/>
      <c r="P786" s="14"/>
      <c r="Q786" s="14"/>
      <c r="R786" s="14"/>
      <c r="S786" s="14" t="s">
        <v>1852</v>
      </c>
      <c r="T786" s="14" t="s">
        <v>2631</v>
      </c>
      <c r="U786" s="15">
        <v>2.6</v>
      </c>
      <c r="V786" s="10">
        <v>1</v>
      </c>
    </row>
    <row r="787" spans="1:22" ht="18" customHeight="1" x14ac:dyDescent="0.35">
      <c r="A787" s="10" t="s">
        <v>47</v>
      </c>
      <c r="B787" s="10" t="s">
        <v>3337</v>
      </c>
      <c r="C787" s="11" t="s">
        <v>3133</v>
      </c>
      <c r="D787" s="11" t="s">
        <v>74</v>
      </c>
      <c r="E787" s="12">
        <v>45844.205717592595</v>
      </c>
      <c r="F787" s="10" t="str">
        <f>TEXT(events[[#This Row],[Start Date]],"DDD")</f>
        <v>Sun</v>
      </c>
      <c r="G787" s="10">
        <f>YEAR(events[[#This Row],[Start Date]])</f>
        <v>2025</v>
      </c>
      <c r="H787" s="10" t="str">
        <f>TEXT(events[[#This Row],[Start Date]],"mmm")</f>
        <v>Jul</v>
      </c>
      <c r="I787" s="10" t="str">
        <f>CONCATENATE("WK_",WEEKNUM(events[[#This Row],[Start Date]]))</f>
        <v>WK_28</v>
      </c>
      <c r="J787" s="12">
        <v>45844.205729166664</v>
      </c>
      <c r="K787" s="10">
        <v>82</v>
      </c>
      <c r="L787" s="10" t="s">
        <v>25</v>
      </c>
      <c r="M787" s="10" t="s">
        <v>26</v>
      </c>
      <c r="N787" s="13">
        <f t="shared" si="12"/>
        <v>1.6666666666666666E-2</v>
      </c>
      <c r="O787" s="14" t="s">
        <v>38</v>
      </c>
      <c r="P787" s="14" t="s">
        <v>38</v>
      </c>
      <c r="Q787" s="14"/>
      <c r="R787" s="14"/>
      <c r="S787" s="14" t="s">
        <v>2606</v>
      </c>
      <c r="T787" s="14" t="s">
        <v>2607</v>
      </c>
      <c r="U787" s="15">
        <v>0</v>
      </c>
      <c r="V787" s="10">
        <v>1</v>
      </c>
    </row>
    <row r="788" spans="1:22" ht="18" customHeight="1" x14ac:dyDescent="0.35">
      <c r="A788" s="10" t="s">
        <v>86</v>
      </c>
      <c r="B788" s="10" t="s">
        <v>3342</v>
      </c>
      <c r="C788" s="11" t="s">
        <v>3054</v>
      </c>
      <c r="D788" s="11" t="s">
        <v>24</v>
      </c>
      <c r="E788" s="12">
        <v>45843.52584490741</v>
      </c>
      <c r="F788" s="10" t="str">
        <f>TEXT(events[[#This Row],[Start Date]],"DDD")</f>
        <v>Sat</v>
      </c>
      <c r="G788" s="10">
        <f>YEAR(events[[#This Row],[Start Date]])</f>
        <v>2025</v>
      </c>
      <c r="H788" s="10" t="str">
        <f>TEXT(events[[#This Row],[Start Date]],"mmm")</f>
        <v>Jul</v>
      </c>
      <c r="I788" s="10" t="str">
        <f>CONCATENATE("WK_",WEEKNUM(events[[#This Row],[Start Date]]))</f>
        <v>WK_27</v>
      </c>
      <c r="J788" s="12">
        <v>45843.526099537034</v>
      </c>
      <c r="K788" s="10">
        <v>39</v>
      </c>
      <c r="L788" s="10" t="s">
        <v>25</v>
      </c>
      <c r="M788" s="10" t="s">
        <v>1079</v>
      </c>
      <c r="N788" s="13">
        <f t="shared" si="12"/>
        <v>0.36666666666666664</v>
      </c>
      <c r="O788" s="14" t="s">
        <v>92</v>
      </c>
      <c r="P788" s="14" t="s">
        <v>92</v>
      </c>
      <c r="Q788" s="14"/>
      <c r="R788" s="14"/>
      <c r="S788" s="14" t="s">
        <v>2613</v>
      </c>
      <c r="T788" s="14" t="s">
        <v>2614</v>
      </c>
      <c r="U788" s="15">
        <v>0.3125</v>
      </c>
      <c r="V788" s="10">
        <v>1</v>
      </c>
    </row>
    <row r="789" spans="1:22" ht="18" customHeight="1" x14ac:dyDescent="0.35">
      <c r="A789" s="10" t="s">
        <v>86</v>
      </c>
      <c r="B789" s="10" t="s">
        <v>3342</v>
      </c>
      <c r="C789" s="11" t="s">
        <v>3054</v>
      </c>
      <c r="D789" s="11" t="s">
        <v>82</v>
      </c>
      <c r="E789" s="12">
        <v>45843.291620370372</v>
      </c>
      <c r="F789" s="10" t="str">
        <f>TEXT(events[[#This Row],[Start Date]],"DDD")</f>
        <v>Sat</v>
      </c>
      <c r="G789" s="10">
        <f>YEAR(events[[#This Row],[Start Date]])</f>
        <v>2025</v>
      </c>
      <c r="H789" s="10" t="str">
        <f>TEXT(events[[#This Row],[Start Date]],"mmm")</f>
        <v>Jul</v>
      </c>
      <c r="I789" s="10" t="str">
        <f>CONCATENATE("WK_",WEEKNUM(events[[#This Row],[Start Date]]))</f>
        <v>WK_27</v>
      </c>
      <c r="J789" s="12">
        <v>45843.291631944441</v>
      </c>
      <c r="K789" s="10">
        <v>17</v>
      </c>
      <c r="L789" s="10" t="s">
        <v>83</v>
      </c>
      <c r="M789" s="10" t="s">
        <v>26</v>
      </c>
      <c r="N789" s="13">
        <f t="shared" si="12"/>
        <v>1.6666666666666666E-2</v>
      </c>
      <c r="O789" s="14" t="s">
        <v>50</v>
      </c>
      <c r="P789" s="14"/>
      <c r="Q789" s="14"/>
      <c r="R789" s="14"/>
      <c r="S789" s="14" t="s">
        <v>2615</v>
      </c>
      <c r="T789" s="14"/>
      <c r="U789" s="15">
        <v>0</v>
      </c>
      <c r="V789" s="10">
        <v>1</v>
      </c>
    </row>
    <row r="790" spans="1:22" ht="18" customHeight="1" x14ac:dyDescent="0.35">
      <c r="A790" s="10" t="s">
        <v>86</v>
      </c>
      <c r="B790" s="10" t="s">
        <v>3176</v>
      </c>
      <c r="C790" s="11" t="s">
        <v>3017</v>
      </c>
      <c r="D790" s="11" t="s">
        <v>24</v>
      </c>
      <c r="E790" s="12">
        <v>45842.652638888889</v>
      </c>
      <c r="F790" s="10" t="str">
        <f>TEXT(events[[#This Row],[Start Date]],"DDD")</f>
        <v>Fri</v>
      </c>
      <c r="G790" s="10">
        <f>YEAR(events[[#This Row],[Start Date]])</f>
        <v>2025</v>
      </c>
      <c r="H790" s="10" t="str">
        <f>TEXT(events[[#This Row],[Start Date]],"mmm")</f>
        <v>Jul</v>
      </c>
      <c r="I790" s="10" t="str">
        <f>CONCATENATE("WK_",WEEKNUM(events[[#This Row],[Start Date]]))</f>
        <v>WK_27</v>
      </c>
      <c r="J790" s="12">
        <v>45842.652638888889</v>
      </c>
      <c r="K790" s="10">
        <v>31</v>
      </c>
      <c r="L790" s="10" t="s">
        <v>25</v>
      </c>
      <c r="M790" s="10" t="s">
        <v>87</v>
      </c>
      <c r="N790" s="13">
        <f t="shared" si="12"/>
        <v>0</v>
      </c>
      <c r="O790" s="14" t="s">
        <v>1436</v>
      </c>
      <c r="P790" s="14" t="s">
        <v>1436</v>
      </c>
      <c r="Q790" s="14"/>
      <c r="R790" s="14"/>
      <c r="S790" s="14" t="s">
        <v>2612</v>
      </c>
      <c r="T790" s="14" t="s">
        <v>2612</v>
      </c>
      <c r="U790" s="15">
        <v>0</v>
      </c>
      <c r="V790" s="10">
        <v>1</v>
      </c>
    </row>
    <row r="791" spans="1:22" ht="18" customHeight="1" x14ac:dyDescent="0.35">
      <c r="A791" s="10" t="s">
        <v>123</v>
      </c>
      <c r="B791" s="10" t="s">
        <v>3303</v>
      </c>
      <c r="C791" s="11" t="s">
        <v>3089</v>
      </c>
      <c r="D791" s="11" t="s">
        <v>74</v>
      </c>
      <c r="E791" s="12">
        <v>45842.591307870367</v>
      </c>
      <c r="F791" s="10" t="str">
        <f>TEXT(events[[#This Row],[Start Date]],"DDD")</f>
        <v>Fri</v>
      </c>
      <c r="G791" s="10">
        <f>YEAR(events[[#This Row],[Start Date]])</f>
        <v>2025</v>
      </c>
      <c r="H791" s="10" t="str">
        <f>TEXT(events[[#This Row],[Start Date]],"mmm")</f>
        <v>Jul</v>
      </c>
      <c r="I791" s="10" t="str">
        <f>CONCATENATE("WK_",WEEKNUM(events[[#This Row],[Start Date]]))</f>
        <v>WK_27</v>
      </c>
      <c r="J791" s="12">
        <v>45842.591620370367</v>
      </c>
      <c r="K791" s="10">
        <v>94</v>
      </c>
      <c r="L791" s="10" t="s">
        <v>25</v>
      </c>
      <c r="M791" s="10"/>
      <c r="N791" s="13">
        <f t="shared" si="12"/>
        <v>0</v>
      </c>
      <c r="O791" s="14"/>
      <c r="P791" s="14"/>
      <c r="Q791" s="14"/>
      <c r="R791" s="14"/>
      <c r="S791" s="14" t="s">
        <v>2617</v>
      </c>
      <c r="T791" s="14" t="s">
        <v>2618</v>
      </c>
      <c r="U791" s="15">
        <v>0.7</v>
      </c>
      <c r="V791" s="10">
        <v>1</v>
      </c>
    </row>
    <row r="792" spans="1:22" ht="18" customHeight="1" x14ac:dyDescent="0.35">
      <c r="A792" s="10" t="s">
        <v>123</v>
      </c>
      <c r="B792" s="10" t="s">
        <v>3343</v>
      </c>
      <c r="C792" s="11" t="s">
        <v>3138</v>
      </c>
      <c r="D792" s="11" t="s">
        <v>74</v>
      </c>
      <c r="E792" s="12">
        <v>45842.535451388889</v>
      </c>
      <c r="F792" s="10" t="str">
        <f>TEXT(events[[#This Row],[Start Date]],"DDD")</f>
        <v>Fri</v>
      </c>
      <c r="G792" s="10">
        <f>YEAR(events[[#This Row],[Start Date]])</f>
        <v>2025</v>
      </c>
      <c r="H792" s="10" t="str">
        <f>TEXT(events[[#This Row],[Start Date]],"mmm")</f>
        <v>Jul</v>
      </c>
      <c r="I792" s="10" t="str">
        <f>CONCATENATE("WK_",WEEKNUM(events[[#This Row],[Start Date]]))</f>
        <v>WK_27</v>
      </c>
      <c r="J792" s="12">
        <v>45842.535914351851</v>
      </c>
      <c r="K792" s="10">
        <v>97</v>
      </c>
      <c r="L792" s="10" t="s">
        <v>25</v>
      </c>
      <c r="M792" s="10"/>
      <c r="N792" s="13">
        <f t="shared" si="12"/>
        <v>0</v>
      </c>
      <c r="O792" s="14"/>
      <c r="P792" s="14"/>
      <c r="Q792" s="14"/>
      <c r="R792" s="14"/>
      <c r="S792" s="14" t="s">
        <v>2621</v>
      </c>
      <c r="T792" s="14" t="s">
        <v>2622</v>
      </c>
      <c r="U792" s="15">
        <v>1</v>
      </c>
      <c r="V792" s="10">
        <v>1</v>
      </c>
    </row>
    <row r="793" spans="1:22" ht="18" customHeight="1" x14ac:dyDescent="0.35">
      <c r="A793" s="10" t="s">
        <v>123</v>
      </c>
      <c r="B793" s="10" t="s">
        <v>3339</v>
      </c>
      <c r="C793" s="11" t="s">
        <v>3135</v>
      </c>
      <c r="D793" s="11" t="s">
        <v>74</v>
      </c>
      <c r="E793" s="12">
        <v>45842.285937499997</v>
      </c>
      <c r="F793" s="10" t="str">
        <f>TEXT(events[[#This Row],[Start Date]],"DDD")</f>
        <v>Fri</v>
      </c>
      <c r="G793" s="10">
        <f>YEAR(events[[#This Row],[Start Date]])</f>
        <v>2025</v>
      </c>
      <c r="H793" s="10" t="str">
        <f>TEXT(events[[#This Row],[Start Date]],"mmm")</f>
        <v>Jul</v>
      </c>
      <c r="I793" s="10" t="str">
        <f>CONCATENATE("WK_",WEEKNUM(events[[#This Row],[Start Date]]))</f>
        <v>WK_27</v>
      </c>
      <c r="J793" s="12">
        <v>45842.287314814814</v>
      </c>
      <c r="K793" s="10">
        <v>98</v>
      </c>
      <c r="L793" s="10" t="s">
        <v>25</v>
      </c>
      <c r="M793" s="10"/>
      <c r="N793" s="13">
        <f t="shared" si="12"/>
        <v>0</v>
      </c>
      <c r="O793" s="14"/>
      <c r="P793" s="14"/>
      <c r="Q793" s="14"/>
      <c r="R793" s="14"/>
      <c r="S793" s="14" t="s">
        <v>2619</v>
      </c>
      <c r="T793" s="14" t="s">
        <v>2620</v>
      </c>
      <c r="U793" s="15">
        <v>3</v>
      </c>
      <c r="V793" s="10">
        <v>1</v>
      </c>
    </row>
    <row r="794" spans="1:22" ht="18" customHeight="1" x14ac:dyDescent="0.35">
      <c r="A794" s="10" t="s">
        <v>86</v>
      </c>
      <c r="B794" s="10" t="s">
        <v>3344</v>
      </c>
      <c r="C794" s="14" t="s">
        <v>3139</v>
      </c>
      <c r="D794" s="14" t="s">
        <v>74</v>
      </c>
      <c r="E794" s="12">
        <v>45796.812604166669</v>
      </c>
      <c r="F794" s="10" t="str">
        <f>TEXT(events[[#This Row],[Start Date]],"DDD")</f>
        <v>Mon</v>
      </c>
      <c r="G794" s="10">
        <f>YEAR(events[[#This Row],[Start Date]])</f>
        <v>2025</v>
      </c>
      <c r="H794" s="10" t="str">
        <f>TEXT(events[[#This Row],[Start Date]],"mmm")</f>
        <v>May</v>
      </c>
      <c r="I794" s="10" t="str">
        <f>CONCATENATE("WK_",WEEKNUM(events[[#This Row],[Start Date]]))</f>
        <v>WK_21</v>
      </c>
      <c r="J794" s="12">
        <v>45796.812615740739</v>
      </c>
      <c r="K794" s="10">
        <v>81</v>
      </c>
      <c r="L794" s="10" t="s">
        <v>25</v>
      </c>
      <c r="M794" s="10" t="s">
        <v>26</v>
      </c>
      <c r="N794" s="13">
        <f t="shared" si="12"/>
        <v>1.6666666666666666E-2</v>
      </c>
      <c r="O794" s="14" t="s">
        <v>27</v>
      </c>
      <c r="P794" s="14" t="s">
        <v>27</v>
      </c>
      <c r="Q794" s="14" t="s">
        <v>103</v>
      </c>
      <c r="R794" s="14" t="s">
        <v>103</v>
      </c>
      <c r="S794" s="10" t="s">
        <v>104</v>
      </c>
      <c r="T794" s="10" t="s">
        <v>105</v>
      </c>
      <c r="U794" s="10">
        <v>0</v>
      </c>
      <c r="V794" s="17">
        <v>1</v>
      </c>
    </row>
    <row r="795" spans="1:22" ht="18" customHeight="1" x14ac:dyDescent="0.35">
      <c r="A795" s="10" t="s">
        <v>86</v>
      </c>
      <c r="B795" s="10" t="s">
        <v>3344</v>
      </c>
      <c r="C795" s="14" t="s">
        <v>3139</v>
      </c>
      <c r="D795" s="14" t="s">
        <v>74</v>
      </c>
      <c r="E795" s="12">
        <v>45796.808067129627</v>
      </c>
      <c r="F795" s="10" t="str">
        <f>TEXT(events[[#This Row],[Start Date]],"DDD")</f>
        <v>Mon</v>
      </c>
      <c r="G795" s="10">
        <f>YEAR(events[[#This Row],[Start Date]])</f>
        <v>2025</v>
      </c>
      <c r="H795" s="10" t="str">
        <f>TEXT(events[[#This Row],[Start Date]],"mmm")</f>
        <v>May</v>
      </c>
      <c r="I795" s="10" t="str">
        <f>CONCATENATE("WK_",WEEKNUM(events[[#This Row],[Start Date]]))</f>
        <v>WK_21</v>
      </c>
      <c r="J795" s="12">
        <v>45796.80809027778</v>
      </c>
      <c r="K795" s="10">
        <v>83</v>
      </c>
      <c r="L795" s="10" t="s">
        <v>25</v>
      </c>
      <c r="M795" s="10" t="s">
        <v>31</v>
      </c>
      <c r="N795" s="13">
        <f t="shared" si="12"/>
        <v>3.3333333333333333E-2</v>
      </c>
      <c r="O795" s="14" t="s">
        <v>27</v>
      </c>
      <c r="P795" s="14" t="s">
        <v>27</v>
      </c>
      <c r="Q795" s="14" t="s">
        <v>100</v>
      </c>
      <c r="R795" s="14" t="s">
        <v>100</v>
      </c>
      <c r="S795" s="10" t="s">
        <v>101</v>
      </c>
      <c r="T795" s="10" t="s">
        <v>102</v>
      </c>
      <c r="U795" s="10">
        <v>0</v>
      </c>
      <c r="V795" s="17">
        <v>1</v>
      </c>
    </row>
    <row r="796" spans="1:22" ht="18" customHeight="1" x14ac:dyDescent="0.35">
      <c r="A796" s="10" t="s">
        <v>86</v>
      </c>
      <c r="B796" s="10" t="s">
        <v>3344</v>
      </c>
      <c r="C796" s="14" t="s">
        <v>3139</v>
      </c>
      <c r="D796" s="14" t="s">
        <v>74</v>
      </c>
      <c r="E796" s="12">
        <v>45796.802916666667</v>
      </c>
      <c r="F796" s="10" t="str">
        <f>TEXT(events[[#This Row],[Start Date]],"DDD")</f>
        <v>Mon</v>
      </c>
      <c r="G796" s="10">
        <f>YEAR(events[[#This Row],[Start Date]])</f>
        <v>2025</v>
      </c>
      <c r="H796" s="10" t="str">
        <f>TEXT(events[[#This Row],[Start Date]],"mmm")</f>
        <v>May</v>
      </c>
      <c r="I796" s="10" t="str">
        <f>CONCATENATE("WK_",WEEKNUM(events[[#This Row],[Start Date]]))</f>
        <v>WK_21</v>
      </c>
      <c r="J796" s="12">
        <v>45796.802939814814</v>
      </c>
      <c r="K796" s="10">
        <v>82</v>
      </c>
      <c r="L796" s="10" t="s">
        <v>25</v>
      </c>
      <c r="M796" s="10" t="s">
        <v>31</v>
      </c>
      <c r="N796" s="13">
        <f t="shared" si="12"/>
        <v>3.3333333333333333E-2</v>
      </c>
      <c r="O796" s="14" t="s">
        <v>65</v>
      </c>
      <c r="P796" s="14" t="s">
        <v>65</v>
      </c>
      <c r="Q796" s="14" t="s">
        <v>97</v>
      </c>
      <c r="R796" s="14" t="s">
        <v>97</v>
      </c>
      <c r="S796" s="10" t="s">
        <v>98</v>
      </c>
      <c r="T796" s="10" t="s">
        <v>99</v>
      </c>
      <c r="U796" s="10">
        <v>0.125</v>
      </c>
      <c r="V796" s="17">
        <v>1</v>
      </c>
    </row>
    <row r="797" spans="1:22" ht="18" customHeight="1" x14ac:dyDescent="0.35">
      <c r="A797" s="10" t="s">
        <v>47</v>
      </c>
      <c r="B797" s="10" t="s">
        <v>3216</v>
      </c>
      <c r="C797" s="14" t="s">
        <v>3140</v>
      </c>
      <c r="D797" s="14" t="s">
        <v>82</v>
      </c>
      <c r="E797" s="12">
        <v>45796.666377314818</v>
      </c>
      <c r="F797" s="10" t="str">
        <f>TEXT(events[[#This Row],[Start Date]],"DDD")</f>
        <v>Mon</v>
      </c>
      <c r="G797" s="10">
        <f>YEAR(events[[#This Row],[Start Date]])</f>
        <v>2025</v>
      </c>
      <c r="H797" s="10" t="str">
        <f>TEXT(events[[#This Row],[Start Date]],"mmm")</f>
        <v>May</v>
      </c>
      <c r="I797" s="10" t="str">
        <f>CONCATENATE("WK_",WEEKNUM(events[[#This Row],[Start Date]]))</f>
        <v>WK_21</v>
      </c>
      <c r="J797" s="12">
        <v>45796.666388888887</v>
      </c>
      <c r="K797" s="10">
        <v>17</v>
      </c>
      <c r="L797" s="10" t="s">
        <v>83</v>
      </c>
      <c r="M797" s="10" t="s">
        <v>26</v>
      </c>
      <c r="N797" s="13">
        <f t="shared" si="12"/>
        <v>1.6666666666666666E-2</v>
      </c>
      <c r="O797" s="14" t="s">
        <v>38</v>
      </c>
      <c r="P797" s="14"/>
      <c r="Q797" s="14" t="s">
        <v>84</v>
      </c>
      <c r="R797" s="14"/>
      <c r="S797" s="10" t="s">
        <v>85</v>
      </c>
      <c r="T797" s="10"/>
      <c r="U797" s="10">
        <v>0</v>
      </c>
      <c r="V797" s="17">
        <v>1</v>
      </c>
    </row>
    <row r="798" spans="1:22" ht="18" customHeight="1" x14ac:dyDescent="0.35">
      <c r="A798" s="10" t="s">
        <v>86</v>
      </c>
      <c r="B798" s="10" t="s">
        <v>3345</v>
      </c>
      <c r="C798" s="14" t="s">
        <v>3141</v>
      </c>
      <c r="D798" s="14" t="s">
        <v>74</v>
      </c>
      <c r="E798" s="12">
        <v>45795.777546296296</v>
      </c>
      <c r="F798" s="10" t="str">
        <f>TEXT(events[[#This Row],[Start Date]],"DDD")</f>
        <v>Sun</v>
      </c>
      <c r="G798" s="10">
        <f>YEAR(events[[#This Row],[Start Date]])</f>
        <v>2025</v>
      </c>
      <c r="H798" s="10" t="str">
        <f>TEXT(events[[#This Row],[Start Date]],"mmm")</f>
        <v>May</v>
      </c>
      <c r="I798" s="10" t="str">
        <f>CONCATENATE("WK_",WEEKNUM(events[[#This Row],[Start Date]]))</f>
        <v>WK_21</v>
      </c>
      <c r="J798" s="12">
        <v>45795.777546296296</v>
      </c>
      <c r="K798" s="10">
        <v>81</v>
      </c>
      <c r="L798" s="10" t="s">
        <v>25</v>
      </c>
      <c r="M798" s="10" t="s">
        <v>87</v>
      </c>
      <c r="N798" s="13">
        <f t="shared" si="12"/>
        <v>0</v>
      </c>
      <c r="O798" s="14" t="s">
        <v>108</v>
      </c>
      <c r="P798" s="14" t="s">
        <v>108</v>
      </c>
      <c r="Q798" s="14" t="s">
        <v>109</v>
      </c>
      <c r="R798" s="14" t="s">
        <v>109</v>
      </c>
      <c r="S798" s="10" t="s">
        <v>110</v>
      </c>
      <c r="T798" s="10" t="s">
        <v>110</v>
      </c>
      <c r="U798" s="10">
        <v>0</v>
      </c>
      <c r="V798" s="17">
        <v>1</v>
      </c>
    </row>
    <row r="799" spans="1:22" ht="18" customHeight="1" x14ac:dyDescent="0.35">
      <c r="A799" s="10" t="s">
        <v>123</v>
      </c>
      <c r="B799" s="10" t="s">
        <v>3225</v>
      </c>
      <c r="C799" s="18" t="s">
        <v>2993</v>
      </c>
      <c r="D799" s="14" t="s">
        <v>74</v>
      </c>
      <c r="E799" s="12">
        <v>45795.724988425929</v>
      </c>
      <c r="F799" s="10" t="str">
        <f>TEXT(events[[#This Row],[Start Date]],"DDD")</f>
        <v>Sun</v>
      </c>
      <c r="G799" s="10">
        <f>YEAR(events[[#This Row],[Start Date]])</f>
        <v>2025</v>
      </c>
      <c r="H799" s="10" t="str">
        <f>TEXT(events[[#This Row],[Start Date]],"mmm")</f>
        <v>May</v>
      </c>
      <c r="I799" s="10" t="str">
        <f>CONCATENATE("WK_",WEEKNUM(events[[#This Row],[Start Date]]))</f>
        <v>WK_21</v>
      </c>
      <c r="J799" s="19">
        <v>45795.725277777776</v>
      </c>
      <c r="K799" s="10">
        <v>84</v>
      </c>
      <c r="L799" s="10" t="s">
        <v>25</v>
      </c>
      <c r="M799" s="10" t="s">
        <v>128</v>
      </c>
      <c r="N799" s="13">
        <f t="shared" si="12"/>
        <v>0.41666666666666669</v>
      </c>
      <c r="O799" s="14"/>
      <c r="P799" s="14"/>
      <c r="Q799" s="14" t="s">
        <v>129</v>
      </c>
      <c r="R799" s="14" t="s">
        <v>130</v>
      </c>
      <c r="S799" s="14" t="s">
        <v>131</v>
      </c>
      <c r="T799" s="14" t="s">
        <v>132</v>
      </c>
      <c r="U799" s="10">
        <v>0.7</v>
      </c>
      <c r="V799" s="10">
        <v>1</v>
      </c>
    </row>
    <row r="800" spans="1:22" ht="18" customHeight="1" x14ac:dyDescent="0.35">
      <c r="A800" s="10" t="s">
        <v>86</v>
      </c>
      <c r="B800" s="10" t="s">
        <v>3345</v>
      </c>
      <c r="C800" s="14" t="s">
        <v>3141</v>
      </c>
      <c r="D800" s="14" t="s">
        <v>74</v>
      </c>
      <c r="E800" s="12">
        <v>45795.486168981479</v>
      </c>
      <c r="F800" s="10" t="str">
        <f>TEXT(events[[#This Row],[Start Date]],"DDD")</f>
        <v>Sun</v>
      </c>
      <c r="G800" s="10">
        <f>YEAR(events[[#This Row],[Start Date]])</f>
        <v>2025</v>
      </c>
      <c r="H800" s="10" t="str">
        <f>TEXT(events[[#This Row],[Start Date]],"mmm")</f>
        <v>May</v>
      </c>
      <c r="I800" s="10" t="str">
        <f>CONCATENATE("WK_",WEEKNUM(events[[#This Row],[Start Date]]))</f>
        <v>WK_21</v>
      </c>
      <c r="J800" s="12">
        <v>45795.486168981479</v>
      </c>
      <c r="K800" s="10">
        <v>81</v>
      </c>
      <c r="L800" s="10" t="s">
        <v>25</v>
      </c>
      <c r="M800" s="10" t="s">
        <v>87</v>
      </c>
      <c r="N800" s="13">
        <f t="shared" si="12"/>
        <v>0</v>
      </c>
      <c r="O800" s="14" t="s">
        <v>38</v>
      </c>
      <c r="P800" s="14" t="s">
        <v>38</v>
      </c>
      <c r="Q800" s="14" t="s">
        <v>106</v>
      </c>
      <c r="R800" s="14" t="s">
        <v>106</v>
      </c>
      <c r="S800" s="10" t="s">
        <v>107</v>
      </c>
      <c r="T800" s="10" t="s">
        <v>107</v>
      </c>
      <c r="U800" s="10">
        <v>0</v>
      </c>
      <c r="V800" s="17">
        <v>1</v>
      </c>
    </row>
    <row r="801" spans="1:22" ht="18" customHeight="1" x14ac:dyDescent="0.35">
      <c r="A801" s="10" t="s">
        <v>123</v>
      </c>
      <c r="B801" s="10" t="s">
        <v>3346</v>
      </c>
      <c r="C801" s="18" t="s">
        <v>3142</v>
      </c>
      <c r="D801" s="14" t="s">
        <v>35</v>
      </c>
      <c r="E801" s="12">
        <v>45795.129687499997</v>
      </c>
      <c r="F801" s="10" t="str">
        <f>TEXT(events[[#This Row],[Start Date]],"DDD")</f>
        <v>Sun</v>
      </c>
      <c r="G801" s="10">
        <f>YEAR(events[[#This Row],[Start Date]])</f>
        <v>2025</v>
      </c>
      <c r="H801" s="10" t="str">
        <f>TEXT(events[[#This Row],[Start Date]],"mmm")</f>
        <v>May</v>
      </c>
      <c r="I801" s="10" t="str">
        <f>CONCATENATE("WK_",WEEKNUM(events[[#This Row],[Start Date]]))</f>
        <v>WK_21</v>
      </c>
      <c r="J801" s="19">
        <v>45795.158819444441</v>
      </c>
      <c r="K801" s="14"/>
      <c r="L801" s="14"/>
      <c r="M801" s="10" t="s">
        <v>133</v>
      </c>
      <c r="N801" s="13">
        <f t="shared" si="12"/>
        <v>41.95</v>
      </c>
      <c r="O801" s="14"/>
      <c r="P801" s="14"/>
      <c r="Q801" s="14" t="s">
        <v>134</v>
      </c>
      <c r="R801" s="14" t="s">
        <v>135</v>
      </c>
      <c r="S801" s="14" t="s">
        <v>136</v>
      </c>
      <c r="T801" s="14" t="s">
        <v>137</v>
      </c>
      <c r="U801" s="10">
        <v>18</v>
      </c>
      <c r="V801" s="10">
        <v>1</v>
      </c>
    </row>
    <row r="802" spans="1:22" ht="18" customHeight="1" x14ac:dyDescent="0.35">
      <c r="A802" s="10" t="s">
        <v>86</v>
      </c>
      <c r="B802" s="10" t="s">
        <v>3210</v>
      </c>
      <c r="C802" s="18" t="s">
        <v>3143</v>
      </c>
      <c r="D802" s="14" t="s">
        <v>74</v>
      </c>
      <c r="E802" s="12">
        <v>45794.608425925922</v>
      </c>
      <c r="F802" s="10" t="str">
        <f>TEXT(events[[#This Row],[Start Date]],"DDD")</f>
        <v>Sat</v>
      </c>
      <c r="G802" s="10">
        <f>YEAR(events[[#This Row],[Start Date]])</f>
        <v>2025</v>
      </c>
      <c r="H802" s="10" t="str">
        <f>TEXT(events[[#This Row],[Start Date]],"mmm")</f>
        <v>May</v>
      </c>
      <c r="I802" s="10" t="str">
        <f>CONCATENATE("WK_",WEEKNUM(events[[#This Row],[Start Date]]))</f>
        <v>WK_20</v>
      </c>
      <c r="J802" s="12">
        <v>45794.608437499999</v>
      </c>
      <c r="K802" s="10">
        <v>85</v>
      </c>
      <c r="L802" s="10" t="s">
        <v>25</v>
      </c>
      <c r="M802" s="10" t="s">
        <v>26</v>
      </c>
      <c r="N802" s="13">
        <f t="shared" si="12"/>
        <v>1.6666666666666666E-2</v>
      </c>
      <c r="O802" s="14" t="s">
        <v>65</v>
      </c>
      <c r="P802" s="14" t="s">
        <v>65</v>
      </c>
      <c r="Q802" s="14" t="s">
        <v>89</v>
      </c>
      <c r="R802" s="14" t="s">
        <v>89</v>
      </c>
      <c r="S802" s="10" t="s">
        <v>90</v>
      </c>
      <c r="T802" s="10" t="s">
        <v>91</v>
      </c>
      <c r="U802" s="10">
        <v>0.125</v>
      </c>
      <c r="V802" s="17">
        <v>1</v>
      </c>
    </row>
    <row r="803" spans="1:22" ht="18" customHeight="1" x14ac:dyDescent="0.35">
      <c r="A803" s="10" t="s">
        <v>47</v>
      </c>
      <c r="B803" s="10" t="s">
        <v>3159</v>
      </c>
      <c r="C803" s="14" t="s">
        <v>3133</v>
      </c>
      <c r="D803" s="14" t="s">
        <v>74</v>
      </c>
      <c r="E803" s="12">
        <v>45794.449872685182</v>
      </c>
      <c r="F803" s="10" t="str">
        <f>TEXT(events[[#This Row],[Start Date]],"DDD")</f>
        <v>Sat</v>
      </c>
      <c r="G803" s="10">
        <f>YEAR(events[[#This Row],[Start Date]])</f>
        <v>2025</v>
      </c>
      <c r="H803" s="10" t="str">
        <f>TEXT(events[[#This Row],[Start Date]],"mmm")</f>
        <v>May</v>
      </c>
      <c r="I803" s="10" t="str">
        <f>CONCATENATE("WK_",WEEKNUM(events[[#This Row],[Start Date]]))</f>
        <v>WK_20</v>
      </c>
      <c r="J803" s="12">
        <v>45794.449907407405</v>
      </c>
      <c r="K803" s="10">
        <v>83</v>
      </c>
      <c r="L803" s="10" t="s">
        <v>25</v>
      </c>
      <c r="M803" s="10" t="s">
        <v>75</v>
      </c>
      <c r="N803" s="13">
        <f t="shared" si="12"/>
        <v>0.05</v>
      </c>
      <c r="O803" s="14" t="s">
        <v>65</v>
      </c>
      <c r="P803" s="14" t="s">
        <v>65</v>
      </c>
      <c r="Q803" s="14" t="s">
        <v>79</v>
      </c>
      <c r="R803" s="14" t="s">
        <v>79</v>
      </c>
      <c r="S803" s="10" t="s">
        <v>80</v>
      </c>
      <c r="T803" s="10" t="s">
        <v>81</v>
      </c>
      <c r="U803" s="10">
        <v>9.4E-2</v>
      </c>
      <c r="V803" s="17">
        <v>1</v>
      </c>
    </row>
    <row r="804" spans="1:22" ht="18" customHeight="1" x14ac:dyDescent="0.35">
      <c r="A804" s="10" t="s">
        <v>47</v>
      </c>
      <c r="B804" s="10" t="s">
        <v>3159</v>
      </c>
      <c r="C804" s="14" t="s">
        <v>3133</v>
      </c>
      <c r="D804" s="14" t="s">
        <v>74</v>
      </c>
      <c r="E804" s="12">
        <v>45794.42454861111</v>
      </c>
      <c r="F804" s="10" t="str">
        <f>TEXT(events[[#This Row],[Start Date]],"DDD")</f>
        <v>Sat</v>
      </c>
      <c r="G804" s="10">
        <f>YEAR(events[[#This Row],[Start Date]])</f>
        <v>2025</v>
      </c>
      <c r="H804" s="10" t="str">
        <f>TEXT(events[[#This Row],[Start Date]],"mmm")</f>
        <v>May</v>
      </c>
      <c r="I804" s="10" t="str">
        <f>CONCATENATE("WK_",WEEKNUM(events[[#This Row],[Start Date]]))</f>
        <v>WK_20</v>
      </c>
      <c r="J804" s="12">
        <v>45794.424583333333</v>
      </c>
      <c r="K804" s="10">
        <v>82</v>
      </c>
      <c r="L804" s="10" t="s">
        <v>25</v>
      </c>
      <c r="M804" s="10" t="s">
        <v>75</v>
      </c>
      <c r="N804" s="13">
        <f t="shared" si="12"/>
        <v>0.05</v>
      </c>
      <c r="O804" s="14" t="s">
        <v>27</v>
      </c>
      <c r="P804" s="14" t="s">
        <v>27</v>
      </c>
      <c r="Q804" s="14" t="s">
        <v>76</v>
      </c>
      <c r="R804" s="14" t="s">
        <v>76</v>
      </c>
      <c r="S804" s="10" t="s">
        <v>77</v>
      </c>
      <c r="T804" s="10" t="s">
        <v>78</v>
      </c>
      <c r="U804" s="10">
        <v>0</v>
      </c>
      <c r="V804" s="17">
        <v>1</v>
      </c>
    </row>
    <row r="805" spans="1:22" ht="18" customHeight="1" x14ac:dyDescent="0.35">
      <c r="A805" s="10" t="s">
        <v>23</v>
      </c>
      <c r="B805" s="10" t="s">
        <v>3226</v>
      </c>
      <c r="C805" s="14" t="s">
        <v>3081</v>
      </c>
      <c r="D805" s="14" t="s">
        <v>24</v>
      </c>
      <c r="E805" s="12">
        <v>45794.241898148146</v>
      </c>
      <c r="F805" s="10" t="str">
        <f>TEXT(events[[#This Row],[Start Date]],"DDD")</f>
        <v>Sat</v>
      </c>
      <c r="G805" s="10">
        <f>YEAR(events[[#This Row],[Start Date]])</f>
        <v>2025</v>
      </c>
      <c r="H805" s="10" t="str">
        <f>TEXT(events[[#This Row],[Start Date]],"mmm")</f>
        <v>May</v>
      </c>
      <c r="I805" s="10" t="str">
        <f>CONCATENATE("WK_",WEEKNUM(events[[#This Row],[Start Date]]))</f>
        <v>WK_20</v>
      </c>
      <c r="J805" s="12">
        <v>45794.2419212963</v>
      </c>
      <c r="K805" s="10">
        <v>57</v>
      </c>
      <c r="L805" s="10" t="s">
        <v>25</v>
      </c>
      <c r="M805" s="10" t="s">
        <v>31</v>
      </c>
      <c r="N805" s="13">
        <f t="shared" si="12"/>
        <v>3.3333333333333333E-2</v>
      </c>
      <c r="O805" s="14" t="s">
        <v>27</v>
      </c>
      <c r="P805" s="14" t="s">
        <v>27</v>
      </c>
      <c r="Q805" s="14" t="s">
        <v>32</v>
      </c>
      <c r="R805" s="14" t="s">
        <v>32</v>
      </c>
      <c r="S805" s="10" t="s">
        <v>33</v>
      </c>
      <c r="T805" s="10" t="s">
        <v>34</v>
      </c>
      <c r="U805" s="10">
        <v>0</v>
      </c>
      <c r="V805" s="17">
        <v>1</v>
      </c>
    </row>
    <row r="806" spans="1:22" ht="18" customHeight="1" x14ac:dyDescent="0.35">
      <c r="A806" s="10" t="s">
        <v>23</v>
      </c>
      <c r="B806" s="10" t="s">
        <v>3163</v>
      </c>
      <c r="C806" s="14" t="s">
        <v>2929</v>
      </c>
      <c r="D806" s="14" t="s">
        <v>35</v>
      </c>
      <c r="E806" s="12">
        <v>45793.980439814812</v>
      </c>
      <c r="F806" s="10" t="str">
        <f>TEXT(events[[#This Row],[Start Date]],"DDD")</f>
        <v>Fri</v>
      </c>
      <c r="G806" s="10">
        <f>YEAR(events[[#This Row],[Start Date]])</f>
        <v>2025</v>
      </c>
      <c r="H806" s="10" t="str">
        <f>TEXT(events[[#This Row],[Start Date]],"mmm")</f>
        <v>May</v>
      </c>
      <c r="I806" s="10" t="str">
        <f>CONCATENATE("WK_",WEEKNUM(events[[#This Row],[Start Date]]))</f>
        <v>WK_20</v>
      </c>
      <c r="J806" s="12">
        <v>45794.040358796294</v>
      </c>
      <c r="K806" s="10">
        <v>63.1</v>
      </c>
      <c r="L806" s="10" t="s">
        <v>36</v>
      </c>
      <c r="M806" s="10" t="s">
        <v>42</v>
      </c>
      <c r="N806" s="13">
        <f t="shared" si="12"/>
        <v>86.283333333333331</v>
      </c>
      <c r="O806" s="14" t="s">
        <v>38</v>
      </c>
      <c r="P806" s="14" t="s">
        <v>38</v>
      </c>
      <c r="Q806" s="14" t="s">
        <v>43</v>
      </c>
      <c r="R806" s="14" t="s">
        <v>44</v>
      </c>
      <c r="S806" s="10" t="s">
        <v>45</v>
      </c>
      <c r="T806" s="10" t="s">
        <v>46</v>
      </c>
      <c r="U806" s="10">
        <v>63</v>
      </c>
      <c r="V806" s="17">
        <v>1</v>
      </c>
    </row>
    <row r="807" spans="1:22" ht="18" customHeight="1" x14ac:dyDescent="0.35">
      <c r="A807" s="10" t="s">
        <v>86</v>
      </c>
      <c r="B807" s="10" t="s">
        <v>3176</v>
      </c>
      <c r="C807" s="18" t="s">
        <v>3144</v>
      </c>
      <c r="D807" s="14" t="s">
        <v>82</v>
      </c>
      <c r="E807" s="12">
        <v>45793.795624999999</v>
      </c>
      <c r="F807" s="10" t="str">
        <f>TEXT(events[[#This Row],[Start Date]],"DDD")</f>
        <v>Fri</v>
      </c>
      <c r="G807" s="10">
        <f>YEAR(events[[#This Row],[Start Date]])</f>
        <v>2025</v>
      </c>
      <c r="H807" s="10" t="str">
        <f>TEXT(events[[#This Row],[Start Date]],"mmm")</f>
        <v>May</v>
      </c>
      <c r="I807" s="10" t="str">
        <f>CONCATENATE("WK_",WEEKNUM(events[[#This Row],[Start Date]]))</f>
        <v>WK_20</v>
      </c>
      <c r="J807" s="12">
        <v>45793.795624999999</v>
      </c>
      <c r="K807" s="10">
        <v>19</v>
      </c>
      <c r="L807" s="10" t="s">
        <v>83</v>
      </c>
      <c r="M807" s="10" t="s">
        <v>87</v>
      </c>
      <c r="N807" s="13">
        <f t="shared" si="12"/>
        <v>0</v>
      </c>
      <c r="O807" s="14" t="s">
        <v>92</v>
      </c>
      <c r="P807" s="14" t="s">
        <v>92</v>
      </c>
      <c r="Q807" s="14" t="s">
        <v>93</v>
      </c>
      <c r="R807" s="14" t="s">
        <v>93</v>
      </c>
      <c r="S807" s="10" t="s">
        <v>94</v>
      </c>
      <c r="T807" s="10" t="s">
        <v>94</v>
      </c>
      <c r="U807" s="10">
        <v>0</v>
      </c>
      <c r="V807" s="17">
        <v>1</v>
      </c>
    </row>
    <row r="808" spans="1:22" ht="18" customHeight="1" x14ac:dyDescent="0.35">
      <c r="A808" s="10" t="s">
        <v>123</v>
      </c>
      <c r="B808" s="10" t="s">
        <v>3347</v>
      </c>
      <c r="C808" s="18" t="s">
        <v>3145</v>
      </c>
      <c r="D808" s="14" t="s">
        <v>74</v>
      </c>
      <c r="E808" s="12">
        <v>45793.57885416667</v>
      </c>
      <c r="F808" s="10" t="str">
        <f>TEXT(events[[#This Row],[Start Date]],"DDD")</f>
        <v>Fri</v>
      </c>
      <c r="G808" s="10">
        <f>YEAR(events[[#This Row],[Start Date]])</f>
        <v>2025</v>
      </c>
      <c r="H808" s="10" t="str">
        <f>TEXT(events[[#This Row],[Start Date]],"mmm")</f>
        <v>May</v>
      </c>
      <c r="I808" s="10" t="str">
        <f>CONCATENATE("WK_",WEEKNUM(events[[#This Row],[Start Date]]))</f>
        <v>WK_20</v>
      </c>
      <c r="J808" s="19">
        <v>45793.579143518517</v>
      </c>
      <c r="K808" s="10">
        <v>89</v>
      </c>
      <c r="L808" s="10" t="s">
        <v>25</v>
      </c>
      <c r="M808" s="10" t="s">
        <v>124</v>
      </c>
      <c r="N808" s="13">
        <f t="shared" si="12"/>
        <v>0.4</v>
      </c>
      <c r="O808" s="14"/>
      <c r="P808" s="14"/>
      <c r="Q808" s="14" t="s">
        <v>125</v>
      </c>
      <c r="R808" s="14" t="s">
        <v>125</v>
      </c>
      <c r="S808" s="14" t="s">
        <v>126</v>
      </c>
      <c r="T808" s="14" t="s">
        <v>127</v>
      </c>
      <c r="U808" s="10">
        <v>0.7</v>
      </c>
      <c r="V808" s="10">
        <v>1</v>
      </c>
    </row>
    <row r="809" spans="1:22" ht="18" customHeight="1" x14ac:dyDescent="0.35">
      <c r="A809" s="10" t="s">
        <v>47</v>
      </c>
      <c r="B809" s="10" t="s">
        <v>3159</v>
      </c>
      <c r="C809" s="14" t="s">
        <v>3133</v>
      </c>
      <c r="D809" s="14" t="s">
        <v>35</v>
      </c>
      <c r="E809" s="12">
        <v>45793.118877314817</v>
      </c>
      <c r="F809" s="10" t="str">
        <f>TEXT(events[[#This Row],[Start Date]],"DDD")</f>
        <v>Fri</v>
      </c>
      <c r="G809" s="10">
        <f>YEAR(events[[#This Row],[Start Date]])</f>
        <v>2025</v>
      </c>
      <c r="H809" s="10" t="str">
        <f>TEXT(events[[#This Row],[Start Date]],"mmm")</f>
        <v>May</v>
      </c>
      <c r="I809" s="10" t="str">
        <f>CONCATENATE("WK_",WEEKNUM(events[[#This Row],[Start Date]]))</f>
        <v>WK_20</v>
      </c>
      <c r="J809" s="12">
        <v>45793.127071759256</v>
      </c>
      <c r="K809" s="10">
        <v>2.1</v>
      </c>
      <c r="L809" s="10" t="s">
        <v>36</v>
      </c>
      <c r="M809" s="10" t="s">
        <v>70</v>
      </c>
      <c r="N809" s="13">
        <f t="shared" si="12"/>
        <v>11.8</v>
      </c>
      <c r="O809" s="14" t="s">
        <v>27</v>
      </c>
      <c r="P809" s="14" t="s">
        <v>27</v>
      </c>
      <c r="Q809" s="14" t="s">
        <v>67</v>
      </c>
      <c r="R809" s="14" t="s">
        <v>71</v>
      </c>
      <c r="S809" s="10" t="s">
        <v>72</v>
      </c>
      <c r="T809" s="10" t="s">
        <v>73</v>
      </c>
      <c r="U809" s="10">
        <v>1.9059999999999999</v>
      </c>
      <c r="V809" s="17">
        <v>1</v>
      </c>
    </row>
    <row r="810" spans="1:22" ht="18" customHeight="1" x14ac:dyDescent="0.35">
      <c r="A810" s="10" t="s">
        <v>47</v>
      </c>
      <c r="B810" s="10" t="s">
        <v>3159</v>
      </c>
      <c r="C810" s="14" t="s">
        <v>3133</v>
      </c>
      <c r="D810" s="14" t="s">
        <v>35</v>
      </c>
      <c r="E810" s="12">
        <v>45793.062442129631</v>
      </c>
      <c r="F810" s="10" t="str">
        <f>TEXT(events[[#This Row],[Start Date]],"DDD")</f>
        <v>Fri</v>
      </c>
      <c r="G810" s="10">
        <f>YEAR(events[[#This Row],[Start Date]])</f>
        <v>2025</v>
      </c>
      <c r="H810" s="10" t="str">
        <f>TEXT(events[[#This Row],[Start Date]],"mmm")</f>
        <v>May</v>
      </c>
      <c r="I810" s="10" t="str">
        <f>CONCATENATE("WK_",WEEKNUM(events[[#This Row],[Start Date]]))</f>
        <v>WK_20</v>
      </c>
      <c r="J810" s="12">
        <v>45793.112476851849</v>
      </c>
      <c r="K810" s="10">
        <v>38.5</v>
      </c>
      <c r="L810" s="10" t="s">
        <v>36</v>
      </c>
      <c r="M810" s="10" t="s">
        <v>64</v>
      </c>
      <c r="N810" s="13">
        <f t="shared" si="12"/>
        <v>72.05</v>
      </c>
      <c r="O810" s="14" t="s">
        <v>65</v>
      </c>
      <c r="P810" s="14" t="s">
        <v>27</v>
      </c>
      <c r="Q810" s="14" t="s">
        <v>66</v>
      </c>
      <c r="R810" s="14" t="s">
        <v>67</v>
      </c>
      <c r="S810" s="10" t="s">
        <v>68</v>
      </c>
      <c r="T810" s="10" t="s">
        <v>69</v>
      </c>
      <c r="U810" s="10">
        <v>38.311999999999998</v>
      </c>
      <c r="V810" s="17">
        <v>1</v>
      </c>
    </row>
    <row r="811" spans="1:22" ht="18" customHeight="1" x14ac:dyDescent="0.35">
      <c r="A811" s="10" t="s">
        <v>86</v>
      </c>
      <c r="B811" s="10" t="s">
        <v>3210</v>
      </c>
      <c r="C811" s="18" t="s">
        <v>3143</v>
      </c>
      <c r="D811" s="14" t="s">
        <v>74</v>
      </c>
      <c r="E811" s="12">
        <v>45792.473680555559</v>
      </c>
      <c r="F811" s="10" t="str">
        <f>TEXT(events[[#This Row],[Start Date]],"DDD")</f>
        <v>Thu</v>
      </c>
      <c r="G811" s="10">
        <f>YEAR(events[[#This Row],[Start Date]])</f>
        <v>2025</v>
      </c>
      <c r="H811" s="10" t="str">
        <f>TEXT(events[[#This Row],[Start Date]],"mmm")</f>
        <v>May</v>
      </c>
      <c r="I811" s="10" t="str">
        <f>CONCATENATE("WK_",WEEKNUM(events[[#This Row],[Start Date]]))</f>
        <v>WK_20</v>
      </c>
      <c r="J811" s="12">
        <v>45792.473680555559</v>
      </c>
      <c r="K811" s="10">
        <v>84</v>
      </c>
      <c r="L811" s="10" t="s">
        <v>25</v>
      </c>
      <c r="M811" s="10" t="s">
        <v>87</v>
      </c>
      <c r="N811" s="13">
        <f t="shared" si="12"/>
        <v>0</v>
      </c>
      <c r="O811" s="14" t="s">
        <v>65</v>
      </c>
      <c r="P811" s="14" t="s">
        <v>65</v>
      </c>
      <c r="Q811" s="14" t="s">
        <v>79</v>
      </c>
      <c r="R811" s="14" t="s">
        <v>79</v>
      </c>
      <c r="S811" s="10" t="s">
        <v>88</v>
      </c>
      <c r="T811" s="10" t="s">
        <v>88</v>
      </c>
      <c r="U811" s="10">
        <v>0</v>
      </c>
      <c r="V811" s="17">
        <v>1</v>
      </c>
    </row>
    <row r="812" spans="1:22" ht="18" customHeight="1" x14ac:dyDescent="0.35">
      <c r="A812" s="10" t="s">
        <v>86</v>
      </c>
      <c r="B812" s="10" t="s">
        <v>3205</v>
      </c>
      <c r="C812" s="14" t="s">
        <v>3146</v>
      </c>
      <c r="D812" s="14" t="s">
        <v>74</v>
      </c>
      <c r="E812" s="12">
        <v>45792.40184027778</v>
      </c>
      <c r="F812" s="10" t="str">
        <f>TEXT(events[[#This Row],[Start Date]],"DDD")</f>
        <v>Thu</v>
      </c>
      <c r="G812" s="10">
        <f>YEAR(events[[#This Row],[Start Date]])</f>
        <v>2025</v>
      </c>
      <c r="H812" s="10" t="str">
        <f>TEXT(events[[#This Row],[Start Date]],"mmm")</f>
        <v>May</v>
      </c>
      <c r="I812" s="10" t="str">
        <f>CONCATENATE("WK_",WEEKNUM(events[[#This Row],[Start Date]]))</f>
        <v>WK_20</v>
      </c>
      <c r="J812" s="12">
        <v>45792.40184027778</v>
      </c>
      <c r="K812" s="10">
        <v>81</v>
      </c>
      <c r="L812" s="10" t="s">
        <v>25</v>
      </c>
      <c r="M812" s="10" t="s">
        <v>87</v>
      </c>
      <c r="N812" s="13">
        <f t="shared" si="12"/>
        <v>0</v>
      </c>
      <c r="O812" s="14" t="s">
        <v>92</v>
      </c>
      <c r="P812" s="14" t="s">
        <v>92</v>
      </c>
      <c r="Q812" s="14" t="s">
        <v>95</v>
      </c>
      <c r="R812" s="14" t="s">
        <v>95</v>
      </c>
      <c r="S812" s="10" t="s">
        <v>96</v>
      </c>
      <c r="T812" s="10" t="s">
        <v>96</v>
      </c>
      <c r="U812" s="10">
        <v>0</v>
      </c>
      <c r="V812" s="17">
        <v>1</v>
      </c>
    </row>
    <row r="813" spans="1:22" ht="18" customHeight="1" x14ac:dyDescent="0.35">
      <c r="A813" s="10" t="s">
        <v>23</v>
      </c>
      <c r="B813" s="10" t="s">
        <v>3226</v>
      </c>
      <c r="C813" s="14" t="s">
        <v>3081</v>
      </c>
      <c r="D813" s="14" t="s">
        <v>24</v>
      </c>
      <c r="E813" s="12">
        <v>45792.327928240738</v>
      </c>
      <c r="F813" s="10" t="str">
        <f>TEXT(events[[#This Row],[Start Date]],"DDD")</f>
        <v>Thu</v>
      </c>
      <c r="G813" s="10">
        <f>YEAR(events[[#This Row],[Start Date]])</f>
        <v>2025</v>
      </c>
      <c r="H813" s="10" t="str">
        <f>TEXT(events[[#This Row],[Start Date]],"mmm")</f>
        <v>May</v>
      </c>
      <c r="I813" s="10" t="str">
        <f>CONCATENATE("WK_",WEEKNUM(events[[#This Row],[Start Date]]))</f>
        <v>WK_20</v>
      </c>
      <c r="J813" s="12">
        <v>45792.327939814815</v>
      </c>
      <c r="K813" s="10">
        <v>51</v>
      </c>
      <c r="L813" s="10" t="s">
        <v>25</v>
      </c>
      <c r="M813" s="10" t="s">
        <v>26</v>
      </c>
      <c r="N813" s="13">
        <f t="shared" si="12"/>
        <v>1.6666666666666666E-2</v>
      </c>
      <c r="O813" s="14" t="s">
        <v>27</v>
      </c>
      <c r="P813" s="14" t="s">
        <v>27</v>
      </c>
      <c r="Q813" s="14" t="s">
        <v>28</v>
      </c>
      <c r="R813" s="14" t="s">
        <v>28</v>
      </c>
      <c r="S813" s="10" t="s">
        <v>29</v>
      </c>
      <c r="T813" s="10" t="s">
        <v>30</v>
      </c>
      <c r="U813" s="10">
        <v>0</v>
      </c>
      <c r="V813" s="17">
        <v>1</v>
      </c>
    </row>
    <row r="814" spans="1:22" ht="18" customHeight="1" x14ac:dyDescent="0.35">
      <c r="A814" s="10" t="s">
        <v>47</v>
      </c>
      <c r="B814" s="10" t="s">
        <v>3321</v>
      </c>
      <c r="C814" s="14" t="s">
        <v>3110</v>
      </c>
      <c r="D814" s="14" t="s">
        <v>35</v>
      </c>
      <c r="E814" s="12">
        <v>45792.134317129632</v>
      </c>
      <c r="F814" s="10" t="str">
        <f>TEXT(events[[#This Row],[Start Date]],"DDD")</f>
        <v>Thu</v>
      </c>
      <c r="G814" s="10">
        <f>YEAR(events[[#This Row],[Start Date]])</f>
        <v>2025</v>
      </c>
      <c r="H814" s="10" t="str">
        <f>TEXT(events[[#This Row],[Start Date]],"mmm")</f>
        <v>May</v>
      </c>
      <c r="I814" s="10" t="str">
        <f>CONCATENATE("WK_",WEEKNUM(events[[#This Row],[Start Date]]))</f>
        <v>WK_20</v>
      </c>
      <c r="J814" s="12">
        <v>45792.166643518518</v>
      </c>
      <c r="K814" s="10">
        <v>31.3</v>
      </c>
      <c r="L814" s="10" t="s">
        <v>36</v>
      </c>
      <c r="M814" s="10" t="s">
        <v>55</v>
      </c>
      <c r="N814" s="13">
        <f t="shared" si="12"/>
        <v>46.55</v>
      </c>
      <c r="O814" s="14" t="s">
        <v>50</v>
      </c>
      <c r="P814" s="14" t="s">
        <v>50</v>
      </c>
      <c r="Q814" s="14" t="s">
        <v>52</v>
      </c>
      <c r="R814" s="14" t="s">
        <v>56</v>
      </c>
      <c r="S814" s="10" t="s">
        <v>57</v>
      </c>
      <c r="T814" s="10" t="s">
        <v>58</v>
      </c>
      <c r="U814" s="10">
        <v>31.187999999999999</v>
      </c>
      <c r="V814" s="17">
        <v>1</v>
      </c>
    </row>
    <row r="815" spans="1:22" ht="18" customHeight="1" x14ac:dyDescent="0.35">
      <c r="A815" s="10" t="s">
        <v>86</v>
      </c>
      <c r="B815" s="10" t="s">
        <v>3348</v>
      </c>
      <c r="C815" s="18" t="s">
        <v>3147</v>
      </c>
      <c r="D815" s="14" t="s">
        <v>35</v>
      </c>
      <c r="E815" s="12">
        <v>45791.976145833331</v>
      </c>
      <c r="F815" s="10" t="str">
        <f>TEXT(events[[#This Row],[Start Date]],"DDD")</f>
        <v>Wed</v>
      </c>
      <c r="G815" s="10">
        <f>YEAR(events[[#This Row],[Start Date]])</f>
        <v>2025</v>
      </c>
      <c r="H815" s="10" t="str">
        <f>TEXT(events[[#This Row],[Start Date]],"mmm")</f>
        <v>May</v>
      </c>
      <c r="I815" s="10" t="str">
        <f>CONCATENATE("WK_",WEEKNUM(events[[#This Row],[Start Date]]))</f>
        <v>WK_20</v>
      </c>
      <c r="J815" s="12">
        <v>45791.977719907409</v>
      </c>
      <c r="K815" s="10">
        <v>0.4</v>
      </c>
      <c r="L815" s="10" t="s">
        <v>36</v>
      </c>
      <c r="M815" s="10" t="s">
        <v>111</v>
      </c>
      <c r="N815" s="13">
        <f t="shared" si="12"/>
        <v>2.2666666666666666</v>
      </c>
      <c r="O815" s="14" t="s">
        <v>50</v>
      </c>
      <c r="P815" s="14" t="s">
        <v>50</v>
      </c>
      <c r="Q815" s="14" t="s">
        <v>112</v>
      </c>
      <c r="R815" s="14" t="s">
        <v>112</v>
      </c>
      <c r="S815" s="10" t="s">
        <v>113</v>
      </c>
      <c r="T815" s="10" t="s">
        <v>114</v>
      </c>
      <c r="U815" s="10">
        <v>45.875</v>
      </c>
      <c r="V815" s="17">
        <v>1</v>
      </c>
    </row>
    <row r="816" spans="1:22" ht="18" customHeight="1" x14ac:dyDescent="0.35">
      <c r="A816" s="10" t="s">
        <v>47</v>
      </c>
      <c r="B816" s="10" t="s">
        <v>3321</v>
      </c>
      <c r="C816" s="14" t="s">
        <v>3110</v>
      </c>
      <c r="D816" s="14" t="s">
        <v>35</v>
      </c>
      <c r="E816" s="12">
        <v>45791.958333333336</v>
      </c>
      <c r="F816" s="10" t="str">
        <f>TEXT(events[[#This Row],[Start Date]],"DDD")</f>
        <v>Wed</v>
      </c>
      <c r="G816" s="10">
        <f>YEAR(events[[#This Row],[Start Date]])</f>
        <v>2025</v>
      </c>
      <c r="H816" s="10" t="str">
        <f>TEXT(events[[#This Row],[Start Date]],"mmm")</f>
        <v>May</v>
      </c>
      <c r="I816" s="10" t="str">
        <f>CONCATENATE("WK_",WEEKNUM(events[[#This Row],[Start Date]]))</f>
        <v>WK_20</v>
      </c>
      <c r="J816" s="12">
        <v>45792.10596064815</v>
      </c>
      <c r="K816" s="10">
        <v>240</v>
      </c>
      <c r="L816" s="10" t="s">
        <v>36</v>
      </c>
      <c r="M816" s="10" t="s">
        <v>48</v>
      </c>
      <c r="N816" s="13">
        <f t="shared" si="12"/>
        <v>212.58333333333334</v>
      </c>
      <c r="O816" s="14" t="s">
        <v>49</v>
      </c>
      <c r="P816" s="14" t="s">
        <v>50</v>
      </c>
      <c r="Q816" s="14" t="s">
        <v>51</v>
      </c>
      <c r="R816" s="14" t="s">
        <v>52</v>
      </c>
      <c r="S816" s="10" t="s">
        <v>53</v>
      </c>
      <c r="T816" s="10" t="s">
        <v>54</v>
      </c>
      <c r="U816" s="10">
        <v>143.40600000000001</v>
      </c>
      <c r="V816" s="17">
        <v>1</v>
      </c>
    </row>
    <row r="817" spans="1:22" ht="18" customHeight="1" x14ac:dyDescent="0.35">
      <c r="A817" s="10" t="s">
        <v>47</v>
      </c>
      <c r="B817" s="10" t="s">
        <v>3186</v>
      </c>
      <c r="C817" s="14" t="s">
        <v>3148</v>
      </c>
      <c r="D817" s="14" t="s">
        <v>24</v>
      </c>
      <c r="E817" s="12">
        <v>45791.821018518516</v>
      </c>
      <c r="F817" s="10" t="str">
        <f>TEXT(events[[#This Row],[Start Date]],"DDD")</f>
        <v>Wed</v>
      </c>
      <c r="G817" s="10">
        <f>YEAR(events[[#This Row],[Start Date]])</f>
        <v>2025</v>
      </c>
      <c r="H817" s="10" t="str">
        <f>TEXT(events[[#This Row],[Start Date]],"mmm")</f>
        <v>May</v>
      </c>
      <c r="I817" s="10" t="str">
        <f>CONCATENATE("WK_",WEEKNUM(events[[#This Row],[Start Date]]))</f>
        <v>WK_20</v>
      </c>
      <c r="J817" s="12">
        <v>45791.821666666663</v>
      </c>
      <c r="K817" s="10">
        <v>54</v>
      </c>
      <c r="L817" s="10" t="s">
        <v>25</v>
      </c>
      <c r="M817" s="10" t="s">
        <v>59</v>
      </c>
      <c r="N817" s="13">
        <f t="shared" si="12"/>
        <v>0.93333333333333335</v>
      </c>
      <c r="O817" s="14" t="s">
        <v>38</v>
      </c>
      <c r="P817" s="14" t="s">
        <v>38</v>
      </c>
      <c r="Q817" s="14" t="s">
        <v>60</v>
      </c>
      <c r="R817" s="14" t="s">
        <v>61</v>
      </c>
      <c r="S817" s="10" t="s">
        <v>62</v>
      </c>
      <c r="T817" s="10" t="s">
        <v>63</v>
      </c>
      <c r="U817" s="10">
        <v>0.68799999999999994</v>
      </c>
      <c r="V817" s="17">
        <v>1</v>
      </c>
    </row>
    <row r="818" spans="1:22" ht="18" customHeight="1" x14ac:dyDescent="0.35">
      <c r="A818" s="10" t="s">
        <v>23</v>
      </c>
      <c r="B818" s="10" t="s">
        <v>3226</v>
      </c>
      <c r="C818" s="14" t="s">
        <v>3081</v>
      </c>
      <c r="D818" s="14" t="s">
        <v>35</v>
      </c>
      <c r="E818" s="12">
        <v>45790.958333333336</v>
      </c>
      <c r="F818" s="10" t="str">
        <f>TEXT(events[[#This Row],[Start Date]],"DDD")</f>
        <v>Tue</v>
      </c>
      <c r="G818" s="10">
        <f>YEAR(events[[#This Row],[Start Date]])</f>
        <v>2025</v>
      </c>
      <c r="H818" s="10" t="str">
        <f>TEXT(events[[#This Row],[Start Date]],"mmm")</f>
        <v>May</v>
      </c>
      <c r="I818" s="10" t="str">
        <f>CONCATENATE("WK_",WEEKNUM(events[[#This Row],[Start Date]]))</f>
        <v>WK_20</v>
      </c>
      <c r="J818" s="12">
        <v>45790.968402777777</v>
      </c>
      <c r="K818" s="10">
        <v>43.1</v>
      </c>
      <c r="L818" s="10" t="s">
        <v>36</v>
      </c>
      <c r="M818" s="10" t="s">
        <v>37</v>
      </c>
      <c r="N818" s="13">
        <f t="shared" si="12"/>
        <v>14.5</v>
      </c>
      <c r="O818" s="14" t="s">
        <v>38</v>
      </c>
      <c r="P818" s="14" t="s">
        <v>38</v>
      </c>
      <c r="Q818" s="14" t="s">
        <v>39</v>
      </c>
      <c r="R818" s="14" t="s">
        <v>39</v>
      </c>
      <c r="S818" s="10" t="s">
        <v>40</v>
      </c>
      <c r="T818" s="10" t="s">
        <v>41</v>
      </c>
      <c r="U818" s="10">
        <v>5.0620000000000003</v>
      </c>
      <c r="V818" s="17">
        <v>1</v>
      </c>
    </row>
    <row r="819" spans="1:22" ht="18" customHeight="1" x14ac:dyDescent="0.35">
      <c r="A819" s="10" t="s">
        <v>86</v>
      </c>
      <c r="B819" s="10" t="s">
        <v>3348</v>
      </c>
      <c r="C819" s="18" t="s">
        <v>3147</v>
      </c>
      <c r="D819" s="14" t="s">
        <v>74</v>
      </c>
      <c r="E819" s="12">
        <v>45790.948287037034</v>
      </c>
      <c r="F819" s="10" t="str">
        <f>TEXT(events[[#This Row],[Start Date]],"DDD")</f>
        <v>Tue</v>
      </c>
      <c r="G819" s="10">
        <f>YEAR(events[[#This Row],[Start Date]])</f>
        <v>2025</v>
      </c>
      <c r="H819" s="10" t="str">
        <f>TEXT(events[[#This Row],[Start Date]],"mmm")</f>
        <v>May</v>
      </c>
      <c r="I819" s="10" t="str">
        <f>CONCATENATE("WK_",WEEKNUM(events[[#This Row],[Start Date]]))</f>
        <v>WK_20</v>
      </c>
      <c r="J819" s="12">
        <v>45790.948495370372</v>
      </c>
      <c r="K819" s="10">
        <v>84</v>
      </c>
      <c r="L819" s="10" t="s">
        <v>25</v>
      </c>
      <c r="M819" s="10" t="s">
        <v>120</v>
      </c>
      <c r="N819" s="13">
        <f t="shared" si="12"/>
        <v>0.3</v>
      </c>
      <c r="O819" s="14" t="s">
        <v>50</v>
      </c>
      <c r="P819" s="14" t="s">
        <v>50</v>
      </c>
      <c r="Q819" s="14" t="s">
        <v>112</v>
      </c>
      <c r="R819" s="14" t="s">
        <v>112</v>
      </c>
      <c r="S819" s="10" t="s">
        <v>121</v>
      </c>
      <c r="T819" s="10" t="s">
        <v>122</v>
      </c>
      <c r="U819" s="10">
        <v>0.375</v>
      </c>
      <c r="V819" s="17">
        <v>1</v>
      </c>
    </row>
    <row r="820" spans="1:22" ht="18" customHeight="1" x14ac:dyDescent="0.35">
      <c r="A820" s="10" t="s">
        <v>86</v>
      </c>
      <c r="B820" s="10" t="s">
        <v>3348</v>
      </c>
      <c r="C820" s="18" t="s">
        <v>3147</v>
      </c>
      <c r="D820" s="14" t="s">
        <v>74</v>
      </c>
      <c r="E820" s="12">
        <v>45790.948206018518</v>
      </c>
      <c r="F820" s="10" t="str">
        <f>TEXT(events[[#This Row],[Start Date]],"DDD")</f>
        <v>Tue</v>
      </c>
      <c r="G820" s="10">
        <f>YEAR(events[[#This Row],[Start Date]])</f>
        <v>2025</v>
      </c>
      <c r="H820" s="10" t="str">
        <f>TEXT(events[[#This Row],[Start Date]],"mmm")</f>
        <v>May</v>
      </c>
      <c r="I820" s="10" t="str">
        <f>CONCATENATE("WK_",WEEKNUM(events[[#This Row],[Start Date]]))</f>
        <v>WK_20</v>
      </c>
      <c r="J820" s="12">
        <v>45790.948217592595</v>
      </c>
      <c r="K820" s="10">
        <v>81</v>
      </c>
      <c r="L820" s="10" t="s">
        <v>25</v>
      </c>
      <c r="M820" s="10" t="s">
        <v>26</v>
      </c>
      <c r="N820" s="13">
        <f t="shared" si="12"/>
        <v>1.6666666666666666E-2</v>
      </c>
      <c r="O820" s="14" t="s">
        <v>50</v>
      </c>
      <c r="P820" s="14" t="s">
        <v>50</v>
      </c>
      <c r="Q820" s="14" t="s">
        <v>112</v>
      </c>
      <c r="R820" s="14" t="s">
        <v>112</v>
      </c>
      <c r="S820" s="10" t="s">
        <v>118</v>
      </c>
      <c r="T820" s="10" t="s">
        <v>119</v>
      </c>
      <c r="U820" s="10">
        <v>0</v>
      </c>
      <c r="V820" s="17">
        <v>1</v>
      </c>
    </row>
    <row r="821" spans="1:22" ht="18" customHeight="1" x14ac:dyDescent="0.35">
      <c r="A821" s="10" t="s">
        <v>86</v>
      </c>
      <c r="B821" s="10" t="s">
        <v>3348</v>
      </c>
      <c r="C821" s="18" t="s">
        <v>3147</v>
      </c>
      <c r="D821" s="14" t="s">
        <v>74</v>
      </c>
      <c r="E821" s="12">
        <v>45790.946956018517</v>
      </c>
      <c r="F821" s="10" t="str">
        <f>TEXT(events[[#This Row],[Start Date]],"DDD")</f>
        <v>Tue</v>
      </c>
      <c r="G821" s="10">
        <f>YEAR(events[[#This Row],[Start Date]])</f>
        <v>2025</v>
      </c>
      <c r="H821" s="10" t="str">
        <f>TEXT(events[[#This Row],[Start Date]],"mmm")</f>
        <v>May</v>
      </c>
      <c r="I821" s="10" t="str">
        <f>CONCATENATE("WK_",WEEKNUM(events[[#This Row],[Start Date]]))</f>
        <v>WK_20</v>
      </c>
      <c r="J821" s="12">
        <v>45790.94703703704</v>
      </c>
      <c r="K821" s="10">
        <v>83</v>
      </c>
      <c r="L821" s="10" t="s">
        <v>25</v>
      </c>
      <c r="M821" s="10" t="s">
        <v>115</v>
      </c>
      <c r="N821" s="13">
        <f t="shared" si="12"/>
        <v>0.11666666666666667</v>
      </c>
      <c r="O821" s="14" t="s">
        <v>50</v>
      </c>
      <c r="P821" s="14" t="s">
        <v>50</v>
      </c>
      <c r="Q821" s="14" t="s">
        <v>112</v>
      </c>
      <c r="R821" s="14" t="s">
        <v>112</v>
      </c>
      <c r="S821" s="10" t="s">
        <v>116</v>
      </c>
      <c r="T821" s="10" t="s">
        <v>117</v>
      </c>
      <c r="U821" s="10">
        <v>0.188</v>
      </c>
      <c r="V821" s="17">
        <v>1</v>
      </c>
    </row>
    <row r="822" spans="1:22" ht="18" customHeight="1" x14ac:dyDescent="0.35">
      <c r="A822" s="10" t="s">
        <v>23</v>
      </c>
      <c r="B822" s="10" t="s">
        <v>3196</v>
      </c>
      <c r="C822" s="14" t="s">
        <v>2963</v>
      </c>
      <c r="D822" s="14" t="s">
        <v>82</v>
      </c>
      <c r="E822" s="12">
        <v>45789.374965277777</v>
      </c>
      <c r="F822" s="10" t="str">
        <f>TEXT(events[[#This Row],[Start Date]],"DDD")</f>
        <v>Mon</v>
      </c>
      <c r="G822" s="10">
        <f>YEAR(events[[#This Row],[Start Date]])</f>
        <v>2025</v>
      </c>
      <c r="H822" s="10" t="str">
        <f>TEXT(events[[#This Row],[Start Date]],"mmm")</f>
        <v>May</v>
      </c>
      <c r="I822" s="10" t="str">
        <f>CONCATENATE("WK_",WEEKNUM(events[[#This Row],[Start Date]]))</f>
        <v>WK_20</v>
      </c>
      <c r="J822" s="12">
        <v>45789.374976851854</v>
      </c>
      <c r="K822" s="10">
        <v>25</v>
      </c>
      <c r="L822" s="10" t="s">
        <v>83</v>
      </c>
      <c r="M822" s="10" t="s">
        <v>26</v>
      </c>
      <c r="N822" s="13">
        <f t="shared" si="12"/>
        <v>1.6666666666666666E-2</v>
      </c>
      <c r="O822" s="14" t="s">
        <v>92</v>
      </c>
      <c r="P822" s="14"/>
      <c r="Q822" s="14" t="s">
        <v>146</v>
      </c>
      <c r="R822" s="14"/>
      <c r="S822" s="10" t="s">
        <v>147</v>
      </c>
      <c r="T822" s="10"/>
      <c r="U822" s="10">
        <v>0</v>
      </c>
      <c r="V822" s="10">
        <v>1</v>
      </c>
    </row>
    <row r="823" spans="1:22" ht="18" customHeight="1" x14ac:dyDescent="0.35">
      <c r="A823" s="10" t="s">
        <v>47</v>
      </c>
      <c r="B823" s="10" t="s">
        <v>3292</v>
      </c>
      <c r="C823" s="14" t="s">
        <v>3078</v>
      </c>
      <c r="D823" s="14" t="s">
        <v>24</v>
      </c>
      <c r="E823" s="12">
        <v>45788.773831018516</v>
      </c>
      <c r="F823" s="10" t="str">
        <f>TEXT(events[[#This Row],[Start Date]],"DDD")</f>
        <v>Sun</v>
      </c>
      <c r="G823" s="10">
        <f>YEAR(events[[#This Row],[Start Date]])</f>
        <v>2025</v>
      </c>
      <c r="H823" s="10" t="str">
        <f>TEXT(events[[#This Row],[Start Date]],"mmm")</f>
        <v>May</v>
      </c>
      <c r="I823" s="10" t="str">
        <f>CONCATENATE("WK_",WEEKNUM(events[[#This Row],[Start Date]]))</f>
        <v>WK_20</v>
      </c>
      <c r="J823" s="12">
        <v>45788.773842592593</v>
      </c>
      <c r="K823" s="10">
        <v>62</v>
      </c>
      <c r="L823" s="10" t="s">
        <v>25</v>
      </c>
      <c r="M823" s="10" t="s">
        <v>26</v>
      </c>
      <c r="N823" s="13">
        <f t="shared" si="12"/>
        <v>1.6666666666666666E-2</v>
      </c>
      <c r="O823" s="14" t="s">
        <v>27</v>
      </c>
      <c r="P823" s="14" t="s">
        <v>27</v>
      </c>
      <c r="Q823" s="14" t="s">
        <v>154</v>
      </c>
      <c r="R823" s="14" t="s">
        <v>154</v>
      </c>
      <c r="S823" s="10" t="s">
        <v>155</v>
      </c>
      <c r="T823" s="10" t="s">
        <v>156</v>
      </c>
      <c r="U823" s="10">
        <v>0</v>
      </c>
      <c r="V823" s="10">
        <v>1</v>
      </c>
    </row>
    <row r="824" spans="1:22" ht="18" customHeight="1" x14ac:dyDescent="0.35">
      <c r="A824" s="10" t="s">
        <v>47</v>
      </c>
      <c r="B824" s="10" t="s">
        <v>3228</v>
      </c>
      <c r="C824" s="14" t="s">
        <v>3149</v>
      </c>
      <c r="D824" s="14" t="s">
        <v>24</v>
      </c>
      <c r="E824" s="12">
        <v>45788.761111111111</v>
      </c>
      <c r="F824" s="10" t="str">
        <f>TEXT(events[[#This Row],[Start Date]],"DDD")</f>
        <v>Sun</v>
      </c>
      <c r="G824" s="10">
        <f>YEAR(events[[#This Row],[Start Date]])</f>
        <v>2025</v>
      </c>
      <c r="H824" s="10" t="str">
        <f>TEXT(events[[#This Row],[Start Date]],"mmm")</f>
        <v>May</v>
      </c>
      <c r="I824" s="10" t="str">
        <f>CONCATENATE("WK_",WEEKNUM(events[[#This Row],[Start Date]]))</f>
        <v>WK_20</v>
      </c>
      <c r="J824" s="12">
        <v>45788.761145833334</v>
      </c>
      <c r="K824" s="10">
        <v>33</v>
      </c>
      <c r="L824" s="10" t="s">
        <v>25</v>
      </c>
      <c r="M824" s="10" t="s">
        <v>75</v>
      </c>
      <c r="N824" s="13">
        <f t="shared" si="12"/>
        <v>0.05</v>
      </c>
      <c r="O824" s="14" t="s">
        <v>38</v>
      </c>
      <c r="P824" s="14" t="s">
        <v>38</v>
      </c>
      <c r="Q824" s="14" t="s">
        <v>151</v>
      </c>
      <c r="R824" s="14" t="s">
        <v>151</v>
      </c>
      <c r="S824" s="10" t="s">
        <v>152</v>
      </c>
      <c r="T824" s="10" t="s">
        <v>153</v>
      </c>
      <c r="U824" s="10">
        <v>0.109</v>
      </c>
      <c r="V824" s="10">
        <v>1</v>
      </c>
    </row>
    <row r="825" spans="1:22" ht="18" customHeight="1" x14ac:dyDescent="0.35">
      <c r="A825" s="10" t="s">
        <v>23</v>
      </c>
      <c r="B825" s="10" t="s">
        <v>3196</v>
      </c>
      <c r="C825" s="14" t="s">
        <v>2963</v>
      </c>
      <c r="D825" s="14" t="s">
        <v>24</v>
      </c>
      <c r="E825" s="12">
        <v>45788.628668981481</v>
      </c>
      <c r="F825" s="10" t="str">
        <f>TEXT(events[[#This Row],[Start Date]],"DDD")</f>
        <v>Sun</v>
      </c>
      <c r="G825" s="10">
        <f>YEAR(events[[#This Row],[Start Date]])</f>
        <v>2025</v>
      </c>
      <c r="H825" s="10" t="str">
        <f>TEXT(events[[#This Row],[Start Date]],"mmm")</f>
        <v>May</v>
      </c>
      <c r="I825" s="10" t="str">
        <f>CONCATENATE("WK_",WEEKNUM(events[[#This Row],[Start Date]]))</f>
        <v>WK_20</v>
      </c>
      <c r="J825" s="12">
        <v>45788.628680555557</v>
      </c>
      <c r="K825" s="10">
        <v>33</v>
      </c>
      <c r="L825" s="10" t="s">
        <v>25</v>
      </c>
      <c r="M825" s="10" t="s">
        <v>26</v>
      </c>
      <c r="N825" s="13">
        <f t="shared" si="12"/>
        <v>1.6666666666666666E-2</v>
      </c>
      <c r="O825" s="14" t="s">
        <v>142</v>
      </c>
      <c r="P825" s="14" t="s">
        <v>142</v>
      </c>
      <c r="Q825" s="14" t="s">
        <v>143</v>
      </c>
      <c r="R825" s="14" t="s">
        <v>143</v>
      </c>
      <c r="S825" s="10" t="s">
        <v>144</v>
      </c>
      <c r="T825" s="10" t="s">
        <v>145</v>
      </c>
      <c r="U825" s="10">
        <v>0</v>
      </c>
      <c r="V825" s="10">
        <v>1</v>
      </c>
    </row>
    <row r="826" spans="1:22" ht="18" customHeight="1" x14ac:dyDescent="0.35">
      <c r="A826" s="10" t="s">
        <v>23</v>
      </c>
      <c r="B826" s="10" t="s">
        <v>3202</v>
      </c>
      <c r="C826" s="14" t="s">
        <v>2969</v>
      </c>
      <c r="D826" s="14" t="s">
        <v>24</v>
      </c>
      <c r="E826" s="12">
        <v>45788.344155092593</v>
      </c>
      <c r="F826" s="10" t="str">
        <f>TEXT(events[[#This Row],[Start Date]],"DDD")</f>
        <v>Sun</v>
      </c>
      <c r="G826" s="10">
        <f>YEAR(events[[#This Row],[Start Date]])</f>
        <v>2025</v>
      </c>
      <c r="H826" s="10" t="str">
        <f>TEXT(events[[#This Row],[Start Date]],"mmm")</f>
        <v>May</v>
      </c>
      <c r="I826" s="10" t="str">
        <f>CONCATENATE("WK_",WEEKNUM(events[[#This Row],[Start Date]]))</f>
        <v>WK_20</v>
      </c>
      <c r="J826" s="12">
        <v>45788.344189814816</v>
      </c>
      <c r="K826" s="10">
        <v>35</v>
      </c>
      <c r="L826" s="10" t="s">
        <v>25</v>
      </c>
      <c r="M826" s="10" t="s">
        <v>75</v>
      </c>
      <c r="N826" s="13">
        <f t="shared" si="12"/>
        <v>0.05</v>
      </c>
      <c r="O826" s="14" t="s">
        <v>27</v>
      </c>
      <c r="P826" s="14" t="s">
        <v>27</v>
      </c>
      <c r="Q826" s="14" t="s">
        <v>148</v>
      </c>
      <c r="R826" s="14" t="s">
        <v>148</v>
      </c>
      <c r="S826" s="10" t="s">
        <v>149</v>
      </c>
      <c r="T826" s="10" t="s">
        <v>150</v>
      </c>
      <c r="U826" s="10">
        <v>9.4E-2</v>
      </c>
      <c r="V826" s="10">
        <v>1</v>
      </c>
    </row>
    <row r="827" spans="1:22" ht="18" customHeight="1" x14ac:dyDescent="0.35">
      <c r="A827" s="10" t="s">
        <v>123</v>
      </c>
      <c r="B827" s="10" t="s">
        <v>3347</v>
      </c>
      <c r="C827" s="14" t="s">
        <v>3145</v>
      </c>
      <c r="D827" s="14" t="s">
        <v>74</v>
      </c>
      <c r="E827" s="12">
        <v>45787.747523148151</v>
      </c>
      <c r="F827" s="10" t="str">
        <f>TEXT(events[[#This Row],[Start Date]],"DDD")</f>
        <v>Sat</v>
      </c>
      <c r="G827" s="10">
        <f>YEAR(events[[#This Row],[Start Date]])</f>
        <v>2025</v>
      </c>
      <c r="H827" s="10" t="str">
        <f>TEXT(events[[#This Row],[Start Date]],"mmm")</f>
        <v>May</v>
      </c>
      <c r="I827" s="10" t="str">
        <f>CONCATENATE("WK_",WEEKNUM(events[[#This Row],[Start Date]]))</f>
        <v>WK_19</v>
      </c>
      <c r="J827" s="19">
        <v>45787.748217592591</v>
      </c>
      <c r="K827" s="10">
        <v>100</v>
      </c>
      <c r="L827" s="10" t="s">
        <v>25</v>
      </c>
      <c r="M827" s="10" t="s">
        <v>177</v>
      </c>
      <c r="N827" s="13">
        <f t="shared" si="12"/>
        <v>1</v>
      </c>
      <c r="O827" s="14"/>
      <c r="P827" s="14"/>
      <c r="Q827" s="14" t="s">
        <v>178</v>
      </c>
      <c r="R827" s="14" t="s">
        <v>179</v>
      </c>
      <c r="S827" s="10" t="s">
        <v>180</v>
      </c>
      <c r="T827" s="10" t="s">
        <v>181</v>
      </c>
      <c r="U827" s="10">
        <v>1.5</v>
      </c>
      <c r="V827" s="10">
        <v>1</v>
      </c>
    </row>
    <row r="828" spans="1:22" ht="18" customHeight="1" x14ac:dyDescent="0.35">
      <c r="A828" s="10" t="s">
        <v>86</v>
      </c>
      <c r="B828" s="10" t="s">
        <v>3349</v>
      </c>
      <c r="C828" s="14" t="s">
        <v>3061</v>
      </c>
      <c r="D828" s="14" t="s">
        <v>82</v>
      </c>
      <c r="E828" s="12">
        <v>45785.717233796298</v>
      </c>
      <c r="F828" s="10" t="str">
        <f>TEXT(events[[#This Row],[Start Date]],"DDD")</f>
        <v>Thu</v>
      </c>
      <c r="G828" s="10">
        <f>YEAR(events[[#This Row],[Start Date]])</f>
        <v>2025</v>
      </c>
      <c r="H828" s="10" t="str">
        <f>TEXT(events[[#This Row],[Start Date]],"mmm")</f>
        <v>May</v>
      </c>
      <c r="I828" s="10" t="str">
        <f>CONCATENATE("WK_",WEEKNUM(events[[#This Row],[Start Date]]))</f>
        <v>WK_19</v>
      </c>
      <c r="J828" s="12">
        <v>45785.717233796298</v>
      </c>
      <c r="K828" s="10">
        <v>16</v>
      </c>
      <c r="L828" s="10" t="s">
        <v>83</v>
      </c>
      <c r="M828" s="10" t="s">
        <v>87</v>
      </c>
      <c r="N828" s="13">
        <f t="shared" si="12"/>
        <v>0</v>
      </c>
      <c r="O828" s="14" t="s">
        <v>92</v>
      </c>
      <c r="P828" s="14" t="s">
        <v>92</v>
      </c>
      <c r="Q828" s="14" t="s">
        <v>160</v>
      </c>
      <c r="R828" s="14" t="s">
        <v>160</v>
      </c>
      <c r="S828" s="10" t="s">
        <v>161</v>
      </c>
      <c r="T828" s="10" t="s">
        <v>161</v>
      </c>
      <c r="U828" s="10">
        <v>0</v>
      </c>
      <c r="V828" s="10">
        <v>1</v>
      </c>
    </row>
    <row r="829" spans="1:22" ht="18" customHeight="1" x14ac:dyDescent="0.35">
      <c r="A829" s="10" t="s">
        <v>47</v>
      </c>
      <c r="B829" s="10" t="s">
        <v>3235</v>
      </c>
      <c r="C829" s="14" t="s">
        <v>3001</v>
      </c>
      <c r="D829" s="14" t="s">
        <v>82</v>
      </c>
      <c r="E829" s="12">
        <v>45785.696840277778</v>
      </c>
      <c r="F829" s="10" t="str">
        <f>TEXT(events[[#This Row],[Start Date]],"DDD")</f>
        <v>Thu</v>
      </c>
      <c r="G829" s="10">
        <f>YEAR(events[[#This Row],[Start Date]])</f>
        <v>2025</v>
      </c>
      <c r="H829" s="10" t="str">
        <f>TEXT(events[[#This Row],[Start Date]],"mmm")</f>
        <v>May</v>
      </c>
      <c r="I829" s="10" t="str">
        <f>CONCATENATE("WK_",WEEKNUM(events[[#This Row],[Start Date]]))</f>
        <v>WK_19</v>
      </c>
      <c r="J829" s="12">
        <v>45785.696840277778</v>
      </c>
      <c r="K829" s="10">
        <v>18</v>
      </c>
      <c r="L829" s="10" t="s">
        <v>83</v>
      </c>
      <c r="M829" s="10" t="s">
        <v>87</v>
      </c>
      <c r="N829" s="13">
        <f t="shared" si="12"/>
        <v>0</v>
      </c>
      <c r="O829" s="14" t="s">
        <v>157</v>
      </c>
      <c r="P829" s="14" t="s">
        <v>157</v>
      </c>
      <c r="Q829" s="14" t="s">
        <v>158</v>
      </c>
      <c r="R829" s="14" t="s">
        <v>158</v>
      </c>
      <c r="S829" s="10" t="s">
        <v>159</v>
      </c>
      <c r="T829" s="10" t="s">
        <v>159</v>
      </c>
      <c r="U829" s="10">
        <v>0</v>
      </c>
      <c r="V829" s="10">
        <v>1</v>
      </c>
    </row>
    <row r="830" spans="1:22" ht="18" customHeight="1" x14ac:dyDescent="0.35">
      <c r="A830" s="10" t="s">
        <v>86</v>
      </c>
      <c r="B830" s="10" t="s">
        <v>3342</v>
      </c>
      <c r="C830" s="14" t="s">
        <v>3150</v>
      </c>
      <c r="D830" s="14" t="s">
        <v>74</v>
      </c>
      <c r="E830" s="12">
        <v>45785.566701388889</v>
      </c>
      <c r="F830" s="10" t="str">
        <f>TEXT(events[[#This Row],[Start Date]],"DDD")</f>
        <v>Thu</v>
      </c>
      <c r="G830" s="10">
        <f>YEAR(events[[#This Row],[Start Date]])</f>
        <v>2025</v>
      </c>
      <c r="H830" s="10" t="str">
        <f>TEXT(events[[#This Row],[Start Date]],"mmm")</f>
        <v>May</v>
      </c>
      <c r="I830" s="10" t="str">
        <f>CONCATENATE("WK_",WEEKNUM(events[[#This Row],[Start Date]]))</f>
        <v>WK_19</v>
      </c>
      <c r="J830" s="12">
        <v>45785.566851851851</v>
      </c>
      <c r="K830" s="10">
        <v>84</v>
      </c>
      <c r="L830" s="10" t="s">
        <v>25</v>
      </c>
      <c r="M830" s="10" t="s">
        <v>167</v>
      </c>
      <c r="N830" s="13">
        <f t="shared" si="12"/>
        <v>0.21666666666666667</v>
      </c>
      <c r="O830" s="14" t="s">
        <v>92</v>
      </c>
      <c r="P830" s="14" t="s">
        <v>92</v>
      </c>
      <c r="Q830" s="14" t="s">
        <v>168</v>
      </c>
      <c r="R830" s="14" t="s">
        <v>168</v>
      </c>
      <c r="S830" s="10" t="s">
        <v>171</v>
      </c>
      <c r="T830" s="10" t="s">
        <v>172</v>
      </c>
      <c r="U830" s="10">
        <v>0.312</v>
      </c>
      <c r="V830" s="10">
        <v>1</v>
      </c>
    </row>
    <row r="831" spans="1:22" ht="18" customHeight="1" x14ac:dyDescent="0.35">
      <c r="A831" s="10" t="s">
        <v>86</v>
      </c>
      <c r="B831" s="10" t="s">
        <v>3342</v>
      </c>
      <c r="C831" s="14" t="s">
        <v>3150</v>
      </c>
      <c r="D831" s="14" t="s">
        <v>74</v>
      </c>
      <c r="E831" s="12">
        <v>45785.564976851849</v>
      </c>
      <c r="F831" s="10" t="str">
        <f>TEXT(events[[#This Row],[Start Date]],"DDD")</f>
        <v>Thu</v>
      </c>
      <c r="G831" s="10">
        <f>YEAR(events[[#This Row],[Start Date]])</f>
        <v>2025</v>
      </c>
      <c r="H831" s="10" t="str">
        <f>TEXT(events[[#This Row],[Start Date]],"mmm")</f>
        <v>May</v>
      </c>
      <c r="I831" s="10" t="str">
        <f>CONCATENATE("WK_",WEEKNUM(events[[#This Row],[Start Date]]))</f>
        <v>WK_19</v>
      </c>
      <c r="J831" s="12">
        <v>45785.565127314818</v>
      </c>
      <c r="K831" s="10">
        <v>85</v>
      </c>
      <c r="L831" s="10" t="s">
        <v>25</v>
      </c>
      <c r="M831" s="10" t="s">
        <v>167</v>
      </c>
      <c r="N831" s="13">
        <f t="shared" si="12"/>
        <v>0.21666666666666667</v>
      </c>
      <c r="O831" s="14" t="s">
        <v>92</v>
      </c>
      <c r="P831" s="14" t="s">
        <v>92</v>
      </c>
      <c r="Q831" s="14" t="s">
        <v>168</v>
      </c>
      <c r="R831" s="14" t="s">
        <v>168</v>
      </c>
      <c r="S831" s="10" t="s">
        <v>169</v>
      </c>
      <c r="T831" s="10" t="s">
        <v>170</v>
      </c>
      <c r="U831" s="10">
        <v>0.40600000000000003</v>
      </c>
      <c r="V831" s="10">
        <v>1</v>
      </c>
    </row>
    <row r="832" spans="1:22" ht="18" customHeight="1" x14ac:dyDescent="0.35">
      <c r="A832" s="10" t="s">
        <v>86</v>
      </c>
      <c r="B832" s="10" t="s">
        <v>3342</v>
      </c>
      <c r="C832" s="14" t="s">
        <v>3150</v>
      </c>
      <c r="D832" s="14" t="s">
        <v>74</v>
      </c>
      <c r="E832" s="12">
        <v>45785.564201388886</v>
      </c>
      <c r="F832" s="10" t="str">
        <f>TEXT(events[[#This Row],[Start Date]],"DDD")</f>
        <v>Thu</v>
      </c>
      <c r="G832" s="10">
        <f>YEAR(events[[#This Row],[Start Date]])</f>
        <v>2025</v>
      </c>
      <c r="H832" s="10" t="str">
        <f>TEXT(events[[#This Row],[Start Date]],"mmm")</f>
        <v>May</v>
      </c>
      <c r="I832" s="10" t="str">
        <f>CONCATENATE("WK_",WEEKNUM(events[[#This Row],[Start Date]]))</f>
        <v>WK_19</v>
      </c>
      <c r="J832" s="12">
        <v>45785.564212962963</v>
      </c>
      <c r="K832" s="10">
        <v>84</v>
      </c>
      <c r="L832" s="10" t="s">
        <v>25</v>
      </c>
      <c r="M832" s="10" t="s">
        <v>26</v>
      </c>
      <c r="N832" s="13">
        <f t="shared" si="12"/>
        <v>1.6666666666666666E-2</v>
      </c>
      <c r="O832" s="14" t="s">
        <v>92</v>
      </c>
      <c r="P832" s="14" t="s">
        <v>92</v>
      </c>
      <c r="Q832" s="14" t="s">
        <v>162</v>
      </c>
      <c r="R832" s="14" t="s">
        <v>162</v>
      </c>
      <c r="S832" s="10" t="s">
        <v>165</v>
      </c>
      <c r="T832" s="10" t="s">
        <v>166</v>
      </c>
      <c r="U832" s="10">
        <v>0.125</v>
      </c>
      <c r="V832" s="10">
        <v>1</v>
      </c>
    </row>
    <row r="833" spans="1:22" ht="18" customHeight="1" x14ac:dyDescent="0.35">
      <c r="A833" s="10" t="s">
        <v>86</v>
      </c>
      <c r="B833" s="10" t="s">
        <v>3342</v>
      </c>
      <c r="C833" s="14" t="s">
        <v>3150</v>
      </c>
      <c r="D833" s="14" t="s">
        <v>74</v>
      </c>
      <c r="E833" s="12">
        <v>45785.563680555555</v>
      </c>
      <c r="F833" s="10" t="str">
        <f>TEXT(events[[#This Row],[Start Date]],"DDD")</f>
        <v>Thu</v>
      </c>
      <c r="G833" s="10">
        <f>YEAR(events[[#This Row],[Start Date]])</f>
        <v>2025</v>
      </c>
      <c r="H833" s="10" t="str">
        <f>TEXT(events[[#This Row],[Start Date]],"mmm")</f>
        <v>May</v>
      </c>
      <c r="I833" s="10" t="str">
        <f>CONCATENATE("WK_",WEEKNUM(events[[#This Row],[Start Date]]))</f>
        <v>WK_19</v>
      </c>
      <c r="J833" s="12">
        <v>45785.563715277778</v>
      </c>
      <c r="K833" s="10">
        <v>83</v>
      </c>
      <c r="L833" s="10" t="s">
        <v>25</v>
      </c>
      <c r="M833" s="10" t="s">
        <v>75</v>
      </c>
      <c r="N833" s="13">
        <f t="shared" si="12"/>
        <v>0.05</v>
      </c>
      <c r="O833" s="14" t="s">
        <v>92</v>
      </c>
      <c r="P833" s="14" t="s">
        <v>92</v>
      </c>
      <c r="Q833" s="14" t="s">
        <v>162</v>
      </c>
      <c r="R833" s="14" t="s">
        <v>162</v>
      </c>
      <c r="S833" s="10" t="s">
        <v>163</v>
      </c>
      <c r="T833" s="10" t="s">
        <v>164</v>
      </c>
      <c r="U833" s="10">
        <v>9.4E-2</v>
      </c>
      <c r="V833" s="10">
        <v>1</v>
      </c>
    </row>
    <row r="834" spans="1:22" ht="18" customHeight="1" x14ac:dyDescent="0.35">
      <c r="A834" s="10" t="s">
        <v>23</v>
      </c>
      <c r="B834" s="10" t="s">
        <v>3196</v>
      </c>
      <c r="C834" s="14" t="s">
        <v>2963</v>
      </c>
      <c r="D834" s="14" t="s">
        <v>24</v>
      </c>
      <c r="E834" s="12">
        <v>45785.424953703703</v>
      </c>
      <c r="F834" s="10" t="str">
        <f>TEXT(events[[#This Row],[Start Date]],"DDD")</f>
        <v>Thu</v>
      </c>
      <c r="G834" s="10">
        <f>YEAR(events[[#This Row],[Start Date]])</f>
        <v>2025</v>
      </c>
      <c r="H834" s="10" t="str">
        <f>TEXT(events[[#This Row],[Start Date]],"mmm")</f>
        <v>May</v>
      </c>
      <c r="I834" s="10" t="str">
        <f>CONCATENATE("WK_",WEEKNUM(events[[#This Row],[Start Date]]))</f>
        <v>WK_19</v>
      </c>
      <c r="J834" s="12">
        <v>45785.42496527778</v>
      </c>
      <c r="K834" s="10">
        <v>32</v>
      </c>
      <c r="L834" s="10" t="s">
        <v>25</v>
      </c>
      <c r="M834" s="10" t="s">
        <v>26</v>
      </c>
      <c r="N834" s="13">
        <f t="shared" ref="N834:N897" si="13">HOUR(M834)*60+MINUTE(M834)+SECOND(M834)/60</f>
        <v>1.6666666666666666E-2</v>
      </c>
      <c r="O834" s="14" t="s">
        <v>138</v>
      </c>
      <c r="P834" s="14" t="s">
        <v>138</v>
      </c>
      <c r="Q834" s="14" t="s">
        <v>139</v>
      </c>
      <c r="R834" s="14" t="s">
        <v>139</v>
      </c>
      <c r="S834" s="10" t="s">
        <v>140</v>
      </c>
      <c r="T834" s="10" t="s">
        <v>141</v>
      </c>
      <c r="U834" s="10">
        <v>0</v>
      </c>
      <c r="V834" s="10">
        <v>1</v>
      </c>
    </row>
    <row r="835" spans="1:22" ht="18" customHeight="1" x14ac:dyDescent="0.35">
      <c r="A835" s="10" t="s">
        <v>123</v>
      </c>
      <c r="B835" s="10" t="s">
        <v>3350</v>
      </c>
      <c r="C835" s="14" t="s">
        <v>3151</v>
      </c>
      <c r="D835" s="14" t="s">
        <v>74</v>
      </c>
      <c r="E835" s="12">
        <v>45784.526631944442</v>
      </c>
      <c r="F835" s="10" t="str">
        <f>TEXT(events[[#This Row],[Start Date]],"DDD")</f>
        <v>Wed</v>
      </c>
      <c r="G835" s="10">
        <f>YEAR(events[[#This Row],[Start Date]])</f>
        <v>2025</v>
      </c>
      <c r="H835" s="10" t="str">
        <f>TEXT(events[[#This Row],[Start Date]],"mmm")</f>
        <v>May</v>
      </c>
      <c r="I835" s="10" t="str">
        <f>CONCATENATE("WK_",WEEKNUM(events[[#This Row],[Start Date]]))</f>
        <v>WK_19</v>
      </c>
      <c r="J835" s="19">
        <v>45784.527557870373</v>
      </c>
      <c r="K835" s="10">
        <v>100</v>
      </c>
      <c r="L835" s="10" t="s">
        <v>25</v>
      </c>
      <c r="M835" s="10" t="s">
        <v>173</v>
      </c>
      <c r="N835" s="13">
        <f t="shared" si="13"/>
        <v>1.3333333333333333</v>
      </c>
      <c r="O835" s="14"/>
      <c r="P835" s="14"/>
      <c r="Q835" s="14" t="s">
        <v>174</v>
      </c>
      <c r="R835" s="14" t="s">
        <v>174</v>
      </c>
      <c r="S835" s="10" t="s">
        <v>175</v>
      </c>
      <c r="T835" s="10" t="s">
        <v>176</v>
      </c>
      <c r="U835" s="10">
        <v>2.1</v>
      </c>
      <c r="V835" s="10">
        <v>1</v>
      </c>
    </row>
    <row r="836" spans="1:22" ht="18" customHeight="1" x14ac:dyDescent="0.35">
      <c r="A836" s="20" t="s">
        <v>86</v>
      </c>
      <c r="B836" s="20" t="s">
        <v>3197</v>
      </c>
      <c r="C836" s="21" t="s">
        <v>3055</v>
      </c>
      <c r="D836" s="22" t="s">
        <v>24</v>
      </c>
      <c r="E836" s="23">
        <v>45780.763611111113</v>
      </c>
      <c r="F836" s="10" t="str">
        <f>TEXT(events[[#This Row],[Start Date]],"DDD")</f>
        <v>Sat</v>
      </c>
      <c r="G836" s="10">
        <f>YEAR(events[[#This Row],[Start Date]])</f>
        <v>2025</v>
      </c>
      <c r="H836" s="10" t="str">
        <f>TEXT(events[[#This Row],[Start Date]],"mmm")</f>
        <v>May</v>
      </c>
      <c r="I836" s="10" t="str">
        <f>CONCATENATE("WK_",WEEKNUM(events[[#This Row],[Start Date]]))</f>
        <v>WK_18</v>
      </c>
      <c r="J836" s="23">
        <v>45780.76363425926</v>
      </c>
      <c r="K836" s="20">
        <v>48</v>
      </c>
      <c r="L836" s="20" t="s">
        <v>25</v>
      </c>
      <c r="M836" s="20" t="s">
        <v>31</v>
      </c>
      <c r="N836" s="24">
        <f t="shared" si="13"/>
        <v>3.3333333333333333E-2</v>
      </c>
      <c r="O836" s="22" t="s">
        <v>182</v>
      </c>
      <c r="P836" s="22" t="s">
        <v>182</v>
      </c>
      <c r="Q836" s="22" t="s">
        <v>200</v>
      </c>
      <c r="R836" s="22" t="s">
        <v>200</v>
      </c>
      <c r="S836" s="25" t="s">
        <v>201</v>
      </c>
      <c r="T836" s="25" t="s">
        <v>202</v>
      </c>
      <c r="U836" s="15">
        <v>0</v>
      </c>
      <c r="V836" s="17">
        <v>1</v>
      </c>
    </row>
    <row r="837" spans="1:22" ht="18" customHeight="1" x14ac:dyDescent="0.35">
      <c r="A837" s="20" t="s">
        <v>86</v>
      </c>
      <c r="B837" s="20" t="s">
        <v>3351</v>
      </c>
      <c r="C837" s="21" t="s">
        <v>3152</v>
      </c>
      <c r="D837" s="22" t="s">
        <v>74</v>
      </c>
      <c r="E837" s="23">
        <v>45779.668425925927</v>
      </c>
      <c r="F837" s="10" t="str">
        <f>TEXT(events[[#This Row],[Start Date]],"DDD")</f>
        <v>Fri</v>
      </c>
      <c r="G837" s="10">
        <f>YEAR(events[[#This Row],[Start Date]])</f>
        <v>2025</v>
      </c>
      <c r="H837" s="10" t="str">
        <f>TEXT(events[[#This Row],[Start Date]],"mmm")</f>
        <v>May</v>
      </c>
      <c r="I837" s="10" t="str">
        <f>CONCATENATE("WK_",WEEKNUM(events[[#This Row],[Start Date]]))</f>
        <v>WK_18</v>
      </c>
      <c r="J837" s="23">
        <v>45779.668888888889</v>
      </c>
      <c r="K837" s="20">
        <v>85</v>
      </c>
      <c r="L837" s="20" t="s">
        <v>25</v>
      </c>
      <c r="M837" s="20" t="s">
        <v>219</v>
      </c>
      <c r="N837" s="24">
        <f t="shared" si="13"/>
        <v>0.66666666666666663</v>
      </c>
      <c r="O837" s="22" t="s">
        <v>138</v>
      </c>
      <c r="P837" s="22" t="s">
        <v>138</v>
      </c>
      <c r="Q837" s="22" t="s">
        <v>216</v>
      </c>
      <c r="R837" s="22" t="s">
        <v>216</v>
      </c>
      <c r="S837" s="25" t="s">
        <v>220</v>
      </c>
      <c r="T837" s="25" t="s">
        <v>221</v>
      </c>
      <c r="U837" s="15">
        <v>1</v>
      </c>
      <c r="V837" s="17">
        <v>1</v>
      </c>
    </row>
    <row r="838" spans="1:22" ht="18" customHeight="1" x14ac:dyDescent="0.35">
      <c r="A838" s="20" t="s">
        <v>86</v>
      </c>
      <c r="B838" s="20" t="s">
        <v>3351</v>
      </c>
      <c r="C838" s="21" t="s">
        <v>3152</v>
      </c>
      <c r="D838" s="22" t="s">
        <v>74</v>
      </c>
      <c r="E838" s="23">
        <v>45779.666215277779</v>
      </c>
      <c r="F838" s="10" t="str">
        <f>TEXT(events[[#This Row],[Start Date]],"DDD")</f>
        <v>Fri</v>
      </c>
      <c r="G838" s="10">
        <f>YEAR(events[[#This Row],[Start Date]])</f>
        <v>2025</v>
      </c>
      <c r="H838" s="10" t="str">
        <f>TEXT(events[[#This Row],[Start Date]],"mmm")</f>
        <v>May</v>
      </c>
      <c r="I838" s="10" t="str">
        <f>CONCATENATE("WK_",WEEKNUM(events[[#This Row],[Start Date]]))</f>
        <v>WK_18</v>
      </c>
      <c r="J838" s="23">
        <v>45779.666620370372</v>
      </c>
      <c r="K838" s="20">
        <v>83</v>
      </c>
      <c r="L838" s="20" t="s">
        <v>25</v>
      </c>
      <c r="M838" s="20" t="s">
        <v>215</v>
      </c>
      <c r="N838" s="24">
        <f t="shared" si="13"/>
        <v>0.58333333333333337</v>
      </c>
      <c r="O838" s="22" t="s">
        <v>138</v>
      </c>
      <c r="P838" s="22" t="s">
        <v>138</v>
      </c>
      <c r="Q838" s="22" t="s">
        <v>216</v>
      </c>
      <c r="R838" s="22" t="s">
        <v>216</v>
      </c>
      <c r="S838" s="25" t="s">
        <v>217</v>
      </c>
      <c r="T838" s="25" t="s">
        <v>218</v>
      </c>
      <c r="U838" s="15">
        <v>0.81200000000000006</v>
      </c>
      <c r="V838" s="17">
        <v>1</v>
      </c>
    </row>
    <row r="839" spans="1:22" ht="18" customHeight="1" x14ac:dyDescent="0.35">
      <c r="A839" s="20" t="s">
        <v>86</v>
      </c>
      <c r="B839" s="20" t="s">
        <v>3351</v>
      </c>
      <c r="C839" s="21" t="s">
        <v>3152</v>
      </c>
      <c r="D839" s="22" t="s">
        <v>74</v>
      </c>
      <c r="E839" s="23">
        <v>45779.635659722226</v>
      </c>
      <c r="F839" s="10" t="str">
        <f>TEXT(events[[#This Row],[Start Date]],"DDD")</f>
        <v>Fri</v>
      </c>
      <c r="G839" s="10">
        <f>YEAR(events[[#This Row],[Start Date]])</f>
        <v>2025</v>
      </c>
      <c r="H839" s="10" t="str">
        <f>TEXT(events[[#This Row],[Start Date]],"mmm")</f>
        <v>May</v>
      </c>
      <c r="I839" s="10" t="str">
        <f>CONCATENATE("WK_",WEEKNUM(events[[#This Row],[Start Date]]))</f>
        <v>WK_18</v>
      </c>
      <c r="J839" s="23">
        <v>45779.635787037034</v>
      </c>
      <c r="K839" s="20">
        <v>83</v>
      </c>
      <c r="L839" s="20" t="s">
        <v>25</v>
      </c>
      <c r="M839" s="20" t="s">
        <v>212</v>
      </c>
      <c r="N839" s="24">
        <f t="shared" si="13"/>
        <v>0.18333333333333332</v>
      </c>
      <c r="O839" s="22" t="s">
        <v>50</v>
      </c>
      <c r="P839" s="22" t="s">
        <v>50</v>
      </c>
      <c r="Q839" s="22" t="s">
        <v>112</v>
      </c>
      <c r="R839" s="22" t="s">
        <v>112</v>
      </c>
      <c r="S839" s="25" t="s">
        <v>213</v>
      </c>
      <c r="T839" s="25" t="s">
        <v>214</v>
      </c>
      <c r="U839" s="15">
        <v>0.188</v>
      </c>
      <c r="V839" s="17">
        <v>1</v>
      </c>
    </row>
    <row r="840" spans="1:22" ht="18" customHeight="1" x14ac:dyDescent="0.35">
      <c r="A840" s="20" t="s">
        <v>47</v>
      </c>
      <c r="B840" s="20" t="s">
        <v>3266</v>
      </c>
      <c r="C840" s="21" t="s">
        <v>3042</v>
      </c>
      <c r="D840" s="22" t="s">
        <v>24</v>
      </c>
      <c r="E840" s="23">
        <v>45779.532685185186</v>
      </c>
      <c r="F840" s="10" t="str">
        <f>TEXT(events[[#This Row],[Start Date]],"DDD")</f>
        <v>Fri</v>
      </c>
      <c r="G840" s="10">
        <f>YEAR(events[[#This Row],[Start Date]])</f>
        <v>2025</v>
      </c>
      <c r="H840" s="10" t="str">
        <f>TEXT(events[[#This Row],[Start Date]],"mmm")</f>
        <v>May</v>
      </c>
      <c r="I840" s="10" t="str">
        <f>CONCATENATE("WK_",WEEKNUM(events[[#This Row],[Start Date]]))</f>
        <v>WK_18</v>
      </c>
      <c r="J840" s="23">
        <v>45779.532685185186</v>
      </c>
      <c r="K840" s="20">
        <v>61</v>
      </c>
      <c r="L840" s="20" t="s">
        <v>25</v>
      </c>
      <c r="M840" s="20" t="s">
        <v>87</v>
      </c>
      <c r="N840" s="24">
        <f t="shared" si="13"/>
        <v>0</v>
      </c>
      <c r="O840" s="22" t="s">
        <v>27</v>
      </c>
      <c r="P840" s="22" t="s">
        <v>27</v>
      </c>
      <c r="Q840" s="22" t="s">
        <v>191</v>
      </c>
      <c r="R840" s="22" t="s">
        <v>191</v>
      </c>
      <c r="S840" s="25" t="s">
        <v>194</v>
      </c>
      <c r="T840" s="25" t="s">
        <v>194</v>
      </c>
      <c r="U840" s="15">
        <v>9.4E-2</v>
      </c>
      <c r="V840" s="17">
        <v>1</v>
      </c>
    </row>
    <row r="841" spans="1:22" ht="18" customHeight="1" x14ac:dyDescent="0.35">
      <c r="A841" s="20" t="s">
        <v>47</v>
      </c>
      <c r="B841" s="20" t="s">
        <v>3266</v>
      </c>
      <c r="C841" s="21" t="s">
        <v>3042</v>
      </c>
      <c r="D841" s="22" t="s">
        <v>24</v>
      </c>
      <c r="E841" s="23">
        <v>45779.532523148147</v>
      </c>
      <c r="F841" s="10" t="str">
        <f>TEXT(events[[#This Row],[Start Date]],"DDD")</f>
        <v>Fri</v>
      </c>
      <c r="G841" s="10">
        <f>YEAR(events[[#This Row],[Start Date]])</f>
        <v>2025</v>
      </c>
      <c r="H841" s="10" t="str">
        <f>TEXT(events[[#This Row],[Start Date]],"mmm")</f>
        <v>May</v>
      </c>
      <c r="I841" s="10" t="str">
        <f>CONCATENATE("WK_",WEEKNUM(events[[#This Row],[Start Date]]))</f>
        <v>WK_18</v>
      </c>
      <c r="J841" s="23">
        <v>45779.532557870371</v>
      </c>
      <c r="K841" s="20">
        <v>61</v>
      </c>
      <c r="L841" s="20" t="s">
        <v>25</v>
      </c>
      <c r="M841" s="20" t="s">
        <v>75</v>
      </c>
      <c r="N841" s="24">
        <f t="shared" si="13"/>
        <v>0.05</v>
      </c>
      <c r="O841" s="22" t="s">
        <v>27</v>
      </c>
      <c r="P841" s="22" t="s">
        <v>27</v>
      </c>
      <c r="Q841" s="22" t="s">
        <v>191</v>
      </c>
      <c r="R841" s="22" t="s">
        <v>191</v>
      </c>
      <c r="S841" s="25" t="s">
        <v>192</v>
      </c>
      <c r="T841" s="25" t="s">
        <v>193</v>
      </c>
      <c r="U841" s="15">
        <v>0.109</v>
      </c>
      <c r="V841" s="17">
        <v>1</v>
      </c>
    </row>
    <row r="842" spans="1:22" ht="18" customHeight="1" x14ac:dyDescent="0.35">
      <c r="A842" s="20" t="s">
        <v>86</v>
      </c>
      <c r="B842" s="20" t="s">
        <v>3351</v>
      </c>
      <c r="C842" s="21" t="s">
        <v>3152</v>
      </c>
      <c r="D842" s="22" t="s">
        <v>74</v>
      </c>
      <c r="E842" s="23">
        <v>45778.370393518519</v>
      </c>
      <c r="F842" s="10" t="str">
        <f>TEXT(events[[#This Row],[Start Date]],"DDD")</f>
        <v>Thu</v>
      </c>
      <c r="G842" s="10">
        <f>YEAR(events[[#This Row],[Start Date]])</f>
        <v>2025</v>
      </c>
      <c r="H842" s="10" t="str">
        <f>TEXT(events[[#This Row],[Start Date]],"mmm")</f>
        <v>May</v>
      </c>
      <c r="I842" s="10" t="str">
        <f>CONCATENATE("WK_",WEEKNUM(events[[#This Row],[Start Date]]))</f>
        <v>WK_18</v>
      </c>
      <c r="J842" s="23">
        <v>45778.370393518519</v>
      </c>
      <c r="K842" s="20">
        <v>81</v>
      </c>
      <c r="L842" s="20" t="s">
        <v>25</v>
      </c>
      <c r="M842" s="20" t="s">
        <v>87</v>
      </c>
      <c r="N842" s="24">
        <f t="shared" si="13"/>
        <v>0</v>
      </c>
      <c r="O842" s="22" t="s">
        <v>209</v>
      </c>
      <c r="P842" s="22" t="s">
        <v>209</v>
      </c>
      <c r="Q842" s="22" t="s">
        <v>210</v>
      </c>
      <c r="R842" s="22" t="s">
        <v>210</v>
      </c>
      <c r="S842" s="25" t="s">
        <v>211</v>
      </c>
      <c r="T842" s="25" t="s">
        <v>211</v>
      </c>
      <c r="U842" s="15">
        <v>0</v>
      </c>
      <c r="V842" s="17">
        <v>1</v>
      </c>
    </row>
    <row r="843" spans="1:22" ht="18" customHeight="1" x14ac:dyDescent="0.35">
      <c r="A843" s="20" t="s">
        <v>86</v>
      </c>
      <c r="B843" s="20" t="s">
        <v>3351</v>
      </c>
      <c r="C843" s="21" t="s">
        <v>3152</v>
      </c>
      <c r="D843" s="22" t="s">
        <v>74</v>
      </c>
      <c r="E843" s="23">
        <v>45778.295347222222</v>
      </c>
      <c r="F843" s="10" t="str">
        <f>TEXT(events[[#This Row],[Start Date]],"DDD")</f>
        <v>Thu</v>
      </c>
      <c r="G843" s="10">
        <f>YEAR(events[[#This Row],[Start Date]])</f>
        <v>2025</v>
      </c>
      <c r="H843" s="10" t="str">
        <f>TEXT(events[[#This Row],[Start Date]],"mmm")</f>
        <v>May</v>
      </c>
      <c r="I843" s="10" t="str">
        <f>CONCATENATE("WK_",WEEKNUM(events[[#This Row],[Start Date]]))</f>
        <v>WK_18</v>
      </c>
      <c r="J843" s="23">
        <v>45778.295381944445</v>
      </c>
      <c r="K843" s="20">
        <v>81</v>
      </c>
      <c r="L843" s="20" t="s">
        <v>25</v>
      </c>
      <c r="M843" s="20" t="s">
        <v>75</v>
      </c>
      <c r="N843" s="24">
        <f t="shared" si="13"/>
        <v>0.05</v>
      </c>
      <c r="O843" s="22" t="s">
        <v>205</v>
      </c>
      <c r="P843" s="22" t="s">
        <v>205</v>
      </c>
      <c r="Q843" s="22" t="s">
        <v>206</v>
      </c>
      <c r="R843" s="22" t="s">
        <v>206</v>
      </c>
      <c r="S843" s="25" t="s">
        <v>207</v>
      </c>
      <c r="T843" s="25" t="s">
        <v>208</v>
      </c>
      <c r="U843" s="15">
        <v>6.2E-2</v>
      </c>
      <c r="V843" s="17">
        <v>1</v>
      </c>
    </row>
    <row r="844" spans="1:22" ht="18" customHeight="1" x14ac:dyDescent="0.35">
      <c r="A844" s="20" t="s">
        <v>123</v>
      </c>
      <c r="B844" s="20" t="s">
        <v>3225</v>
      </c>
      <c r="C844" s="21" t="s">
        <v>2993</v>
      </c>
      <c r="D844" s="22" t="s">
        <v>35</v>
      </c>
      <c r="E844" s="23">
        <v>45778.14576388889</v>
      </c>
      <c r="F844" s="10" t="str">
        <f>TEXT(events[[#This Row],[Start Date]],"DDD")</f>
        <v>Thu</v>
      </c>
      <c r="G844" s="10">
        <f>YEAR(events[[#This Row],[Start Date]])</f>
        <v>2025</v>
      </c>
      <c r="H844" s="10" t="str">
        <f>TEXT(events[[#This Row],[Start Date]],"mmm")</f>
        <v>May</v>
      </c>
      <c r="I844" s="10" t="str">
        <f>CONCATENATE("WK_",WEEKNUM(events[[#This Row],[Start Date]]))</f>
        <v>WK_18</v>
      </c>
      <c r="J844" s="23">
        <v>45778.156666666669</v>
      </c>
      <c r="K844" s="20"/>
      <c r="L844" s="20" t="s">
        <v>25</v>
      </c>
      <c r="M844" s="20" t="s">
        <v>227</v>
      </c>
      <c r="N844" s="24">
        <f t="shared" si="13"/>
        <v>15.7</v>
      </c>
      <c r="O844" s="22"/>
      <c r="P844" s="22"/>
      <c r="Q844" s="22" t="s">
        <v>228</v>
      </c>
      <c r="R844" s="22" t="s">
        <v>135</v>
      </c>
      <c r="S844" s="25" t="s">
        <v>229</v>
      </c>
      <c r="T844" s="25" t="s">
        <v>230</v>
      </c>
      <c r="U844" s="15">
        <v>10.199999999999999</v>
      </c>
      <c r="V844" s="17">
        <v>1</v>
      </c>
    </row>
    <row r="845" spans="1:22" ht="18" customHeight="1" x14ac:dyDescent="0.35">
      <c r="A845" s="20" t="s">
        <v>23</v>
      </c>
      <c r="B845" s="20" t="s">
        <v>3211</v>
      </c>
      <c r="C845" s="21" t="s">
        <v>2980</v>
      </c>
      <c r="D845" s="22" t="s">
        <v>35</v>
      </c>
      <c r="E845" s="23">
        <v>45777.958333333336</v>
      </c>
      <c r="F845" s="10" t="str">
        <f>TEXT(events[[#This Row],[Start Date]],"DDD")</f>
        <v>Wed</v>
      </c>
      <c r="G845" s="10">
        <f>YEAR(events[[#This Row],[Start Date]])</f>
        <v>2025</v>
      </c>
      <c r="H845" s="10" t="str">
        <f>TEXT(events[[#This Row],[Start Date]],"mmm")</f>
        <v>Apr</v>
      </c>
      <c r="I845" s="10" t="str">
        <f>CONCATENATE("WK_",WEEKNUM(events[[#This Row],[Start Date]]))</f>
        <v>WK_18</v>
      </c>
      <c r="J845" s="23">
        <v>45777.965752314813</v>
      </c>
      <c r="K845" s="20">
        <v>49.5</v>
      </c>
      <c r="L845" s="20" t="s">
        <v>36</v>
      </c>
      <c r="M845" s="20" t="s">
        <v>186</v>
      </c>
      <c r="N845" s="24">
        <f t="shared" si="13"/>
        <v>10.683333333333334</v>
      </c>
      <c r="O845" s="22" t="s">
        <v>38</v>
      </c>
      <c r="P845" s="22" t="s">
        <v>38</v>
      </c>
      <c r="Q845" s="22" t="s">
        <v>187</v>
      </c>
      <c r="R845" s="22" t="s">
        <v>188</v>
      </c>
      <c r="S845" s="25" t="s">
        <v>189</v>
      </c>
      <c r="T845" s="25" t="s">
        <v>190</v>
      </c>
      <c r="U845" s="15">
        <v>4.4059999999999997</v>
      </c>
      <c r="V845" s="17">
        <v>1</v>
      </c>
    </row>
    <row r="846" spans="1:22" ht="18" customHeight="1" x14ac:dyDescent="0.35">
      <c r="A846" s="20" t="s">
        <v>23</v>
      </c>
      <c r="B846" s="20" t="s">
        <v>3226</v>
      </c>
      <c r="C846" s="21" t="s">
        <v>3081</v>
      </c>
      <c r="D846" s="22" t="s">
        <v>24</v>
      </c>
      <c r="E846" s="23">
        <v>45777.727766203701</v>
      </c>
      <c r="F846" s="10" t="str">
        <f>TEXT(events[[#This Row],[Start Date]],"DDD")</f>
        <v>Wed</v>
      </c>
      <c r="G846" s="10">
        <f>YEAR(events[[#This Row],[Start Date]])</f>
        <v>2025</v>
      </c>
      <c r="H846" s="10" t="str">
        <f>TEXT(events[[#This Row],[Start Date]],"mmm")</f>
        <v>Apr</v>
      </c>
      <c r="I846" s="10" t="str">
        <f>CONCATENATE("WK_",WEEKNUM(events[[#This Row],[Start Date]]))</f>
        <v>WK_18</v>
      </c>
      <c r="J846" s="23">
        <v>45777.727800925924</v>
      </c>
      <c r="K846" s="20">
        <v>43</v>
      </c>
      <c r="L846" s="20" t="s">
        <v>25</v>
      </c>
      <c r="M846" s="20" t="s">
        <v>75</v>
      </c>
      <c r="N846" s="24">
        <f t="shared" si="13"/>
        <v>0.05</v>
      </c>
      <c r="O846" s="22" t="s">
        <v>182</v>
      </c>
      <c r="P846" s="22" t="s">
        <v>182</v>
      </c>
      <c r="Q846" s="22" t="s">
        <v>183</v>
      </c>
      <c r="R846" s="22" t="s">
        <v>183</v>
      </c>
      <c r="S846" s="25" t="s">
        <v>184</v>
      </c>
      <c r="T846" s="25" t="s">
        <v>185</v>
      </c>
      <c r="U846" s="15">
        <v>0</v>
      </c>
      <c r="V846" s="17">
        <v>1</v>
      </c>
    </row>
    <row r="847" spans="1:22" ht="18" customHeight="1" x14ac:dyDescent="0.35">
      <c r="A847" s="20" t="s">
        <v>123</v>
      </c>
      <c r="B847" s="20" t="s">
        <v>3323</v>
      </c>
      <c r="C847" s="21" t="s">
        <v>3115</v>
      </c>
      <c r="D847" s="22" t="s">
        <v>74</v>
      </c>
      <c r="E847" s="23">
        <v>45777.55878472222</v>
      </c>
      <c r="F847" s="10" t="str">
        <f>TEXT(events[[#This Row],[Start Date]],"DDD")</f>
        <v>Wed</v>
      </c>
      <c r="G847" s="10">
        <f>YEAR(events[[#This Row],[Start Date]])</f>
        <v>2025</v>
      </c>
      <c r="H847" s="10" t="str">
        <f>TEXT(events[[#This Row],[Start Date]],"mmm")</f>
        <v>Apr</v>
      </c>
      <c r="I847" s="10" t="str">
        <f>CONCATENATE("WK_",WEEKNUM(events[[#This Row],[Start Date]]))</f>
        <v>WK_18</v>
      </c>
      <c r="J847" s="23">
        <v>45777.55909722222</v>
      </c>
      <c r="K847" s="20">
        <v>89</v>
      </c>
      <c r="L847" s="20" t="s">
        <v>25</v>
      </c>
      <c r="M847" s="20" t="s">
        <v>222</v>
      </c>
      <c r="N847" s="24">
        <f t="shared" si="13"/>
        <v>0.43333333333333335</v>
      </c>
      <c r="O847" s="22"/>
      <c r="P847" s="22"/>
      <c r="Q847" s="22" t="s">
        <v>223</v>
      </c>
      <c r="R847" s="22" t="s">
        <v>224</v>
      </c>
      <c r="S847" s="25" t="s">
        <v>225</v>
      </c>
      <c r="T847" s="25" t="s">
        <v>226</v>
      </c>
      <c r="U847" s="15">
        <v>0.7</v>
      </c>
      <c r="V847" s="17">
        <v>1</v>
      </c>
    </row>
    <row r="848" spans="1:22" ht="18" customHeight="1" x14ac:dyDescent="0.35">
      <c r="A848" s="20" t="s">
        <v>86</v>
      </c>
      <c r="B848" s="20" t="s">
        <v>3351</v>
      </c>
      <c r="C848" s="21" t="s">
        <v>3152</v>
      </c>
      <c r="D848" s="22" t="s">
        <v>74</v>
      </c>
      <c r="E848" s="23">
        <v>45777.551990740743</v>
      </c>
      <c r="F848" s="10" t="str">
        <f>TEXT(events[[#This Row],[Start Date]],"DDD")</f>
        <v>Wed</v>
      </c>
      <c r="G848" s="10">
        <f>YEAR(events[[#This Row],[Start Date]])</f>
        <v>2025</v>
      </c>
      <c r="H848" s="10" t="str">
        <f>TEXT(events[[#This Row],[Start Date]],"mmm")</f>
        <v>Apr</v>
      </c>
      <c r="I848" s="10" t="str">
        <f>CONCATENATE("WK_",WEEKNUM(events[[#This Row],[Start Date]]))</f>
        <v>WK_18</v>
      </c>
      <c r="J848" s="23">
        <v>45777.55201388889</v>
      </c>
      <c r="K848" s="20">
        <v>84</v>
      </c>
      <c r="L848" s="20" t="s">
        <v>25</v>
      </c>
      <c r="M848" s="20" t="s">
        <v>31</v>
      </c>
      <c r="N848" s="24">
        <f t="shared" si="13"/>
        <v>3.3333333333333333E-2</v>
      </c>
      <c r="O848" s="22" t="s">
        <v>50</v>
      </c>
      <c r="P848" s="22" t="s">
        <v>50</v>
      </c>
      <c r="Q848" s="22" t="s">
        <v>112</v>
      </c>
      <c r="R848" s="22" t="s">
        <v>112</v>
      </c>
      <c r="S848" s="25" t="s">
        <v>203</v>
      </c>
      <c r="T848" s="25" t="s">
        <v>204</v>
      </c>
      <c r="U848" s="15">
        <v>6.2E-2</v>
      </c>
      <c r="V848" s="17">
        <v>1</v>
      </c>
    </row>
    <row r="849" spans="1:22" ht="18" customHeight="1" x14ac:dyDescent="0.35">
      <c r="A849" s="20" t="s">
        <v>86</v>
      </c>
      <c r="B849" s="20" t="s">
        <v>3255</v>
      </c>
      <c r="C849" s="21" t="s">
        <v>3025</v>
      </c>
      <c r="D849" s="22" t="s">
        <v>35</v>
      </c>
      <c r="E849" s="23">
        <v>45776.106354166666</v>
      </c>
      <c r="F849" s="10" t="str">
        <f>TEXT(events[[#This Row],[Start Date]],"DDD")</f>
        <v>Tue</v>
      </c>
      <c r="G849" s="10">
        <f>YEAR(events[[#This Row],[Start Date]])</f>
        <v>2025</v>
      </c>
      <c r="H849" s="10" t="str">
        <f>TEXT(events[[#This Row],[Start Date]],"mmm")</f>
        <v>Apr</v>
      </c>
      <c r="I849" s="10" t="str">
        <f>CONCATENATE("WK_",WEEKNUM(events[[#This Row],[Start Date]]))</f>
        <v>WK_18</v>
      </c>
      <c r="J849" s="23">
        <v>45776.120532407411</v>
      </c>
      <c r="K849" s="20">
        <v>4.7</v>
      </c>
      <c r="L849" s="20" t="s">
        <v>36</v>
      </c>
      <c r="M849" s="20" t="s">
        <v>195</v>
      </c>
      <c r="N849" s="24">
        <f t="shared" si="13"/>
        <v>20.416666666666668</v>
      </c>
      <c r="O849" s="22" t="s">
        <v>92</v>
      </c>
      <c r="P849" s="22" t="s">
        <v>92</v>
      </c>
      <c r="Q849" s="22" t="s">
        <v>196</v>
      </c>
      <c r="R849" s="22" t="s">
        <v>197</v>
      </c>
      <c r="S849" s="25" t="s">
        <v>198</v>
      </c>
      <c r="T849" s="25" t="s">
        <v>199</v>
      </c>
      <c r="U849" s="15">
        <v>4.5620000000000003</v>
      </c>
      <c r="V849" s="17">
        <v>1</v>
      </c>
    </row>
    <row r="850" spans="1:22" ht="18" customHeight="1" x14ac:dyDescent="0.35">
      <c r="A850" s="10" t="s">
        <v>47</v>
      </c>
      <c r="B850" s="10" t="s">
        <v>3165</v>
      </c>
      <c r="C850" s="14" t="s">
        <v>2931</v>
      </c>
      <c r="D850" s="14" t="s">
        <v>82</v>
      </c>
      <c r="E850" s="12">
        <v>45775.879733796297</v>
      </c>
      <c r="F850" s="10" t="str">
        <f>TEXT(events[[#This Row],[Start Date]],"DDD")</f>
        <v>Mon</v>
      </c>
      <c r="G850" s="10">
        <f>YEAR(events[[#This Row],[Start Date]])</f>
        <v>2025</v>
      </c>
      <c r="H850" s="10" t="str">
        <f>TEXT(events[[#This Row],[Start Date]],"mmm")</f>
        <v>Apr</v>
      </c>
      <c r="I850" s="10" t="str">
        <f>CONCATENATE("WK_",WEEKNUM(events[[#This Row],[Start Date]]))</f>
        <v>WK_18</v>
      </c>
      <c r="J850" s="12">
        <v>45775.879745370374</v>
      </c>
      <c r="K850" s="10">
        <v>16</v>
      </c>
      <c r="L850" s="10" t="s">
        <v>83</v>
      </c>
      <c r="M850" s="10" t="s">
        <v>26</v>
      </c>
      <c r="N850" s="13">
        <f t="shared" si="13"/>
        <v>1.6666666666666666E-2</v>
      </c>
      <c r="O850" s="14" t="s">
        <v>92</v>
      </c>
      <c r="P850" s="14"/>
      <c r="Q850" s="14" t="s">
        <v>237</v>
      </c>
      <c r="R850" s="14"/>
      <c r="S850" s="11" t="s">
        <v>238</v>
      </c>
      <c r="T850" s="11"/>
      <c r="U850" s="10">
        <v>0</v>
      </c>
      <c r="V850" s="17">
        <v>1</v>
      </c>
    </row>
    <row r="851" spans="1:22" ht="18" customHeight="1" x14ac:dyDescent="0.35">
      <c r="A851" s="10" t="s">
        <v>47</v>
      </c>
      <c r="B851" s="10" t="s">
        <v>3165</v>
      </c>
      <c r="C851" s="14" t="s">
        <v>2931</v>
      </c>
      <c r="D851" s="14" t="s">
        <v>82</v>
      </c>
      <c r="E851" s="12">
        <v>45775.868043981478</v>
      </c>
      <c r="F851" s="10" t="str">
        <f>TEXT(events[[#This Row],[Start Date]],"DDD")</f>
        <v>Mon</v>
      </c>
      <c r="G851" s="10">
        <f>YEAR(events[[#This Row],[Start Date]])</f>
        <v>2025</v>
      </c>
      <c r="H851" s="10" t="str">
        <f>TEXT(events[[#This Row],[Start Date]],"mmm")</f>
        <v>Apr</v>
      </c>
      <c r="I851" s="10" t="str">
        <f>CONCATENATE("WK_",WEEKNUM(events[[#This Row],[Start Date]]))</f>
        <v>WK_18</v>
      </c>
      <c r="J851" s="12">
        <v>45775.868055555555</v>
      </c>
      <c r="K851" s="10">
        <v>16</v>
      </c>
      <c r="L851" s="10" t="s">
        <v>83</v>
      </c>
      <c r="M851" s="10" t="s">
        <v>26</v>
      </c>
      <c r="N851" s="13">
        <f t="shared" si="13"/>
        <v>1.6666666666666666E-2</v>
      </c>
      <c r="O851" s="14" t="s">
        <v>92</v>
      </c>
      <c r="P851" s="14"/>
      <c r="Q851" s="14" t="s">
        <v>235</v>
      </c>
      <c r="R851" s="14"/>
      <c r="S851" s="11" t="s">
        <v>236</v>
      </c>
      <c r="T851" s="11"/>
      <c r="U851" s="10">
        <v>0</v>
      </c>
      <c r="V851" s="17">
        <v>1</v>
      </c>
    </row>
    <row r="852" spans="1:22" ht="18" customHeight="1" x14ac:dyDescent="0.35">
      <c r="A852" s="10" t="s">
        <v>123</v>
      </c>
      <c r="B852" s="10" t="s">
        <v>3308</v>
      </c>
      <c r="C852" s="14" t="s">
        <v>3095</v>
      </c>
      <c r="D852" s="14" t="s">
        <v>74</v>
      </c>
      <c r="E852" s="12">
        <v>45774.300833333335</v>
      </c>
      <c r="F852" s="10" t="str">
        <f>TEXT(events[[#This Row],[Start Date]],"DDD")</f>
        <v>Sun</v>
      </c>
      <c r="G852" s="10">
        <f>YEAR(events[[#This Row],[Start Date]])</f>
        <v>2025</v>
      </c>
      <c r="H852" s="10" t="str">
        <f>TEXT(events[[#This Row],[Start Date]],"mmm")</f>
        <v>Apr</v>
      </c>
      <c r="I852" s="10" t="str">
        <f>CONCATENATE("WK_",WEEKNUM(events[[#This Row],[Start Date]]))</f>
        <v>WK_18</v>
      </c>
      <c r="J852" s="12">
        <v>45774.301111111112</v>
      </c>
      <c r="K852" s="10">
        <v>86</v>
      </c>
      <c r="L852" s="10" t="s">
        <v>25</v>
      </c>
      <c r="M852" s="10" t="s">
        <v>124</v>
      </c>
      <c r="N852" s="13">
        <f t="shared" si="13"/>
        <v>0.4</v>
      </c>
      <c r="O852" s="14"/>
      <c r="P852" s="14"/>
      <c r="Q852" s="14" t="s">
        <v>255</v>
      </c>
      <c r="R852" s="14" t="s">
        <v>255</v>
      </c>
      <c r="S852" s="11" t="s">
        <v>256</v>
      </c>
      <c r="T852" s="11" t="s">
        <v>257</v>
      </c>
      <c r="U852" s="10">
        <v>0.7</v>
      </c>
      <c r="V852" s="17">
        <v>1</v>
      </c>
    </row>
    <row r="853" spans="1:22" ht="18" customHeight="1" x14ac:dyDescent="0.35">
      <c r="A853" s="10" t="s">
        <v>47</v>
      </c>
      <c r="B853" s="10" t="s">
        <v>3352</v>
      </c>
      <c r="C853" s="14" t="s">
        <v>2984</v>
      </c>
      <c r="D853" s="14" t="s">
        <v>74</v>
      </c>
      <c r="E853" s="12">
        <v>45773.605983796297</v>
      </c>
      <c r="F853" s="10" t="str">
        <f>TEXT(events[[#This Row],[Start Date]],"DDD")</f>
        <v>Sat</v>
      </c>
      <c r="G853" s="10">
        <f>YEAR(events[[#This Row],[Start Date]])</f>
        <v>2025</v>
      </c>
      <c r="H853" s="10" t="str">
        <f>TEXT(events[[#This Row],[Start Date]],"mmm")</f>
        <v>Apr</v>
      </c>
      <c r="I853" s="10" t="str">
        <f>CONCATENATE("WK_",WEEKNUM(events[[#This Row],[Start Date]]))</f>
        <v>WK_17</v>
      </c>
      <c r="J853" s="12">
        <v>45773.605995370373</v>
      </c>
      <c r="K853" s="10">
        <v>82</v>
      </c>
      <c r="L853" s="10" t="s">
        <v>25</v>
      </c>
      <c r="M853" s="10" t="s">
        <v>26</v>
      </c>
      <c r="N853" s="13">
        <f t="shared" si="13"/>
        <v>1.6666666666666666E-2</v>
      </c>
      <c r="O853" s="14" t="s">
        <v>138</v>
      </c>
      <c r="P853" s="14" t="s">
        <v>138</v>
      </c>
      <c r="Q853" s="14" t="s">
        <v>245</v>
      </c>
      <c r="R853" s="14" t="s">
        <v>245</v>
      </c>
      <c r="S853" s="11" t="s">
        <v>246</v>
      </c>
      <c r="T853" s="11" t="s">
        <v>247</v>
      </c>
      <c r="U853" s="10">
        <v>9.4E-2</v>
      </c>
      <c r="V853" s="17">
        <v>1</v>
      </c>
    </row>
    <row r="854" spans="1:22" ht="18" customHeight="1" x14ac:dyDescent="0.35">
      <c r="A854" s="10" t="s">
        <v>86</v>
      </c>
      <c r="B854" s="10" t="s">
        <v>3349</v>
      </c>
      <c r="C854" s="14" t="s">
        <v>3153</v>
      </c>
      <c r="D854" s="14" t="s">
        <v>82</v>
      </c>
      <c r="E854" s="12">
        <v>45773.242442129631</v>
      </c>
      <c r="F854" s="10" t="str">
        <f>TEXT(events[[#This Row],[Start Date]],"DDD")</f>
        <v>Sat</v>
      </c>
      <c r="G854" s="10">
        <f>YEAR(events[[#This Row],[Start Date]])</f>
        <v>2025</v>
      </c>
      <c r="H854" s="10" t="str">
        <f>TEXT(events[[#This Row],[Start Date]],"mmm")</f>
        <v>Apr</v>
      </c>
      <c r="I854" s="10" t="str">
        <f>CONCATENATE("WK_",WEEKNUM(events[[#This Row],[Start Date]]))</f>
        <v>WK_17</v>
      </c>
      <c r="J854" s="12">
        <v>45773.2424537037</v>
      </c>
      <c r="K854" s="10">
        <v>18</v>
      </c>
      <c r="L854" s="10" t="s">
        <v>83</v>
      </c>
      <c r="M854" s="10" t="s">
        <v>26</v>
      </c>
      <c r="N854" s="13">
        <f t="shared" si="13"/>
        <v>1.6666666666666666E-2</v>
      </c>
      <c r="O854" s="14" t="s">
        <v>27</v>
      </c>
      <c r="P854" s="14"/>
      <c r="Q854" s="14" t="s">
        <v>248</v>
      </c>
      <c r="R854" s="14"/>
      <c r="S854" s="11" t="s">
        <v>249</v>
      </c>
      <c r="T854" s="11"/>
      <c r="U854" s="10">
        <v>0</v>
      </c>
      <c r="V854" s="17">
        <v>1</v>
      </c>
    </row>
    <row r="855" spans="1:22" ht="18" customHeight="1" x14ac:dyDescent="0.35">
      <c r="A855" s="10" t="s">
        <v>123</v>
      </c>
      <c r="B855" s="10" t="s">
        <v>3161</v>
      </c>
      <c r="C855" s="14" t="s">
        <v>2927</v>
      </c>
      <c r="D855" s="14" t="s">
        <v>35</v>
      </c>
      <c r="E855" s="12">
        <v>45773.130324074074</v>
      </c>
      <c r="F855" s="10" t="str">
        <f>TEXT(events[[#This Row],[Start Date]],"DDD")</f>
        <v>Sat</v>
      </c>
      <c r="G855" s="10">
        <f>YEAR(events[[#This Row],[Start Date]])</f>
        <v>2025</v>
      </c>
      <c r="H855" s="10" t="str">
        <f>TEXT(events[[#This Row],[Start Date]],"mmm")</f>
        <v>Apr</v>
      </c>
      <c r="I855" s="10" t="str">
        <f>CONCATENATE("WK_",WEEKNUM(events[[#This Row],[Start Date]]))</f>
        <v>WK_17</v>
      </c>
      <c r="J855" s="12">
        <v>45773.163668981484</v>
      </c>
      <c r="K855" s="10"/>
      <c r="L855" s="10"/>
      <c r="M855" s="10" t="s">
        <v>260</v>
      </c>
      <c r="N855" s="13">
        <f t="shared" si="13"/>
        <v>48</v>
      </c>
      <c r="O855" s="14"/>
      <c r="P855" s="14"/>
      <c r="Q855" s="14" t="s">
        <v>261</v>
      </c>
      <c r="R855" s="14" t="s">
        <v>262</v>
      </c>
      <c r="S855" s="11" t="s">
        <v>263</v>
      </c>
      <c r="T855" s="11" t="s">
        <v>264</v>
      </c>
      <c r="U855" s="10">
        <v>28.8</v>
      </c>
      <c r="V855" s="17">
        <v>1</v>
      </c>
    </row>
    <row r="856" spans="1:22" ht="18" customHeight="1" x14ac:dyDescent="0.35">
      <c r="A856" s="10" t="s">
        <v>23</v>
      </c>
      <c r="B856" s="10" t="s">
        <v>3211</v>
      </c>
      <c r="C856" s="14" t="s">
        <v>2980</v>
      </c>
      <c r="D856" s="14" t="s">
        <v>24</v>
      </c>
      <c r="E856" s="12">
        <v>45772.538634259261</v>
      </c>
      <c r="F856" s="10" t="str">
        <f>TEXT(events[[#This Row],[Start Date]],"DDD")</f>
        <v>Fri</v>
      </c>
      <c r="G856" s="10">
        <f>YEAR(events[[#This Row],[Start Date]])</f>
        <v>2025</v>
      </c>
      <c r="H856" s="10" t="str">
        <f>TEXT(events[[#This Row],[Start Date]],"mmm")</f>
        <v>Apr</v>
      </c>
      <c r="I856" s="10" t="str">
        <f>CONCATENATE("WK_",WEEKNUM(events[[#This Row],[Start Date]]))</f>
        <v>WK_17</v>
      </c>
      <c r="J856" s="12">
        <v>45772.538645833331</v>
      </c>
      <c r="K856" s="10">
        <v>35</v>
      </c>
      <c r="L856" s="10" t="s">
        <v>25</v>
      </c>
      <c r="M856" s="10" t="s">
        <v>26</v>
      </c>
      <c r="N856" s="13">
        <f t="shared" si="13"/>
        <v>1.6666666666666666E-2</v>
      </c>
      <c r="O856" s="14" t="s">
        <v>231</v>
      </c>
      <c r="P856" s="14" t="s">
        <v>231</v>
      </c>
      <c r="Q856" s="14" t="s">
        <v>232</v>
      </c>
      <c r="R856" s="14" t="s">
        <v>232</v>
      </c>
      <c r="S856" s="11" t="s">
        <v>233</v>
      </c>
      <c r="T856" s="11" t="s">
        <v>234</v>
      </c>
      <c r="U856" s="10">
        <v>0</v>
      </c>
      <c r="V856" s="17">
        <v>1</v>
      </c>
    </row>
    <row r="857" spans="1:22" ht="18" customHeight="1" x14ac:dyDescent="0.35">
      <c r="A857" s="10" t="s">
        <v>47</v>
      </c>
      <c r="B857" s="10" t="s">
        <v>3292</v>
      </c>
      <c r="C857" s="14" t="s">
        <v>3078</v>
      </c>
      <c r="D857" s="14" t="s">
        <v>24</v>
      </c>
      <c r="E857" s="12">
        <v>45772.353009259263</v>
      </c>
      <c r="F857" s="10" t="str">
        <f>TEXT(events[[#This Row],[Start Date]],"DDD")</f>
        <v>Fri</v>
      </c>
      <c r="G857" s="10">
        <f>YEAR(events[[#This Row],[Start Date]])</f>
        <v>2025</v>
      </c>
      <c r="H857" s="10" t="str">
        <f>TEXT(events[[#This Row],[Start Date]],"mmm")</f>
        <v>Apr</v>
      </c>
      <c r="I857" s="10" t="str">
        <f>CONCATENATE("WK_",WEEKNUM(events[[#This Row],[Start Date]]))</f>
        <v>WK_17</v>
      </c>
      <c r="J857" s="12">
        <v>45772.353020833332</v>
      </c>
      <c r="K857" s="10">
        <v>43</v>
      </c>
      <c r="L857" s="10" t="s">
        <v>25</v>
      </c>
      <c r="M857" s="10" t="s">
        <v>26</v>
      </c>
      <c r="N857" s="13">
        <f t="shared" si="13"/>
        <v>1.6666666666666666E-2</v>
      </c>
      <c r="O857" s="14" t="s">
        <v>138</v>
      </c>
      <c r="P857" s="14" t="s">
        <v>138</v>
      </c>
      <c r="Q857" s="14" t="s">
        <v>242</v>
      </c>
      <c r="R857" s="14" t="s">
        <v>242</v>
      </c>
      <c r="S857" s="11" t="s">
        <v>243</v>
      </c>
      <c r="T857" s="11" t="s">
        <v>244</v>
      </c>
      <c r="U857" s="10">
        <v>0.109</v>
      </c>
      <c r="V857" s="17">
        <v>1</v>
      </c>
    </row>
    <row r="858" spans="1:22" ht="18" customHeight="1" x14ac:dyDescent="0.35">
      <c r="A858" s="10" t="s">
        <v>123</v>
      </c>
      <c r="B858" s="10" t="s">
        <v>3230</v>
      </c>
      <c r="C858" s="14" t="s">
        <v>2997</v>
      </c>
      <c r="D858" s="14" t="s">
        <v>74</v>
      </c>
      <c r="E858" s="12">
        <v>45771.530231481483</v>
      </c>
      <c r="F858" s="10" t="str">
        <f>TEXT(events[[#This Row],[Start Date]],"DDD")</f>
        <v>Thu</v>
      </c>
      <c r="G858" s="10">
        <f>YEAR(events[[#This Row],[Start Date]])</f>
        <v>2025</v>
      </c>
      <c r="H858" s="10" t="str">
        <f>TEXT(events[[#This Row],[Start Date]],"mmm")</f>
        <v>Apr</v>
      </c>
      <c r="I858" s="10" t="str">
        <f>CONCATENATE("WK_",WEEKNUM(events[[#This Row],[Start Date]]))</f>
        <v>WK_17</v>
      </c>
      <c r="J858" s="12">
        <v>45771.530694444446</v>
      </c>
      <c r="K858" s="10">
        <v>99</v>
      </c>
      <c r="L858" s="10" t="s">
        <v>25</v>
      </c>
      <c r="M858" s="10" t="s">
        <v>219</v>
      </c>
      <c r="N858" s="13">
        <f t="shared" si="13"/>
        <v>0.66666666666666663</v>
      </c>
      <c r="O858" s="14"/>
      <c r="P858" s="14"/>
      <c r="Q858" s="14" t="s">
        <v>125</v>
      </c>
      <c r="R858" s="14" t="s">
        <v>125</v>
      </c>
      <c r="S858" s="11" t="s">
        <v>258</v>
      </c>
      <c r="T858" s="11" t="s">
        <v>259</v>
      </c>
      <c r="U858" s="10">
        <v>1</v>
      </c>
      <c r="V858" s="17">
        <v>1</v>
      </c>
    </row>
    <row r="859" spans="1:22" ht="18" customHeight="1" x14ac:dyDescent="0.35">
      <c r="A859" s="10" t="s">
        <v>86</v>
      </c>
      <c r="B859" s="10" t="s">
        <v>3348</v>
      </c>
      <c r="C859" s="14" t="s">
        <v>3147</v>
      </c>
      <c r="D859" s="14" t="s">
        <v>74</v>
      </c>
      <c r="E859" s="12">
        <v>45770.748182870368</v>
      </c>
      <c r="F859" s="10" t="str">
        <f>TEXT(events[[#This Row],[Start Date]],"DDD")</f>
        <v>Wed</v>
      </c>
      <c r="G859" s="10">
        <f>YEAR(events[[#This Row],[Start Date]])</f>
        <v>2025</v>
      </c>
      <c r="H859" s="10" t="str">
        <f>TEXT(events[[#This Row],[Start Date]],"mmm")</f>
        <v>Apr</v>
      </c>
      <c r="I859" s="10" t="str">
        <f>CONCATENATE("WK_",WEEKNUM(events[[#This Row],[Start Date]]))</f>
        <v>WK_17</v>
      </c>
      <c r="J859" s="12">
        <v>45770.748298611114</v>
      </c>
      <c r="K859" s="10">
        <v>86</v>
      </c>
      <c r="L859" s="10" t="s">
        <v>25</v>
      </c>
      <c r="M859" s="10" t="s">
        <v>250</v>
      </c>
      <c r="N859" s="13">
        <f t="shared" si="13"/>
        <v>0.16666666666666666</v>
      </c>
      <c r="O859" s="14" t="s">
        <v>251</v>
      </c>
      <c r="P859" s="14" t="s">
        <v>251</v>
      </c>
      <c r="Q859" s="14" t="s">
        <v>252</v>
      </c>
      <c r="R859" s="14" t="s">
        <v>252</v>
      </c>
      <c r="S859" s="11" t="s">
        <v>253</v>
      </c>
      <c r="T859" s="11" t="s">
        <v>254</v>
      </c>
      <c r="U859" s="10">
        <v>0.312</v>
      </c>
      <c r="V859" s="17">
        <v>1</v>
      </c>
    </row>
    <row r="860" spans="1:22" ht="18" customHeight="1" x14ac:dyDescent="0.35">
      <c r="A860" s="10" t="s">
        <v>47</v>
      </c>
      <c r="B860" s="10" t="s">
        <v>3292</v>
      </c>
      <c r="C860" s="14" t="s">
        <v>3078</v>
      </c>
      <c r="D860" s="14" t="s">
        <v>24</v>
      </c>
      <c r="E860" s="12">
        <v>45769.762499999997</v>
      </c>
      <c r="F860" s="10" t="str">
        <f>TEXT(events[[#This Row],[Start Date]],"DDD")</f>
        <v>Tue</v>
      </c>
      <c r="G860" s="10">
        <f>YEAR(events[[#This Row],[Start Date]])</f>
        <v>2025</v>
      </c>
      <c r="H860" s="10" t="str">
        <f>TEXT(events[[#This Row],[Start Date]],"mmm")</f>
        <v>Apr</v>
      </c>
      <c r="I860" s="10" t="str">
        <f>CONCATENATE("WK_",WEEKNUM(events[[#This Row],[Start Date]]))</f>
        <v>WK_17</v>
      </c>
      <c r="J860" s="12">
        <v>45769.762511574074</v>
      </c>
      <c r="K860" s="10">
        <v>75</v>
      </c>
      <c r="L860" s="10" t="s">
        <v>25</v>
      </c>
      <c r="M860" s="10" t="s">
        <v>26</v>
      </c>
      <c r="N860" s="13">
        <f t="shared" si="13"/>
        <v>1.6666666666666666E-2</v>
      </c>
      <c r="O860" s="14" t="s">
        <v>50</v>
      </c>
      <c r="P860" s="14" t="s">
        <v>50</v>
      </c>
      <c r="Q860" s="14" t="s">
        <v>239</v>
      </c>
      <c r="R860" s="14" t="s">
        <v>239</v>
      </c>
      <c r="S860" s="11" t="s">
        <v>240</v>
      </c>
      <c r="T860" s="11" t="s">
        <v>241</v>
      </c>
      <c r="U860" s="10">
        <v>0</v>
      </c>
      <c r="V860" s="17">
        <v>1</v>
      </c>
    </row>
    <row r="861" spans="1:22" ht="18" customHeight="1" x14ac:dyDescent="0.35">
      <c r="A861" s="20" t="s">
        <v>47</v>
      </c>
      <c r="B861" s="20" t="s">
        <v>3191</v>
      </c>
      <c r="C861" s="21" t="s">
        <v>2958</v>
      </c>
      <c r="D861" s="22" t="s">
        <v>74</v>
      </c>
      <c r="E861" s="23">
        <v>45768.701782407406</v>
      </c>
      <c r="F861" s="10" t="str">
        <f>TEXT(events[[#This Row],[Start Date]],"DDD")</f>
        <v>Mon</v>
      </c>
      <c r="G861" s="10">
        <f>YEAR(events[[#This Row],[Start Date]])</f>
        <v>2025</v>
      </c>
      <c r="H861" s="10" t="str">
        <f>TEXT(events[[#This Row],[Start Date]],"mmm")</f>
        <v>Apr</v>
      </c>
      <c r="I861" s="10" t="str">
        <f>CONCATENATE("WK_",WEEKNUM(events[[#This Row],[Start Date]]))</f>
        <v>WK_17</v>
      </c>
      <c r="J861" s="23">
        <v>45768.701909722222</v>
      </c>
      <c r="K861" s="20">
        <v>88</v>
      </c>
      <c r="L861" s="20" t="s">
        <v>25</v>
      </c>
      <c r="M861" s="20" t="s">
        <v>212</v>
      </c>
      <c r="N861" s="24">
        <f t="shared" si="13"/>
        <v>0.18333333333333332</v>
      </c>
      <c r="O861" s="22" t="s">
        <v>108</v>
      </c>
      <c r="P861" s="22" t="s">
        <v>108</v>
      </c>
      <c r="Q861" s="22" t="s">
        <v>109</v>
      </c>
      <c r="R861" s="22" t="s">
        <v>109</v>
      </c>
      <c r="S861" s="22" t="s">
        <v>271</v>
      </c>
      <c r="T861" s="22" t="s">
        <v>272</v>
      </c>
      <c r="U861" s="15">
        <v>0.28100000000000003</v>
      </c>
      <c r="V861" s="17">
        <v>1</v>
      </c>
    </row>
    <row r="862" spans="1:22" ht="18" customHeight="1" x14ac:dyDescent="0.35">
      <c r="A862" s="20" t="s">
        <v>86</v>
      </c>
      <c r="B862" s="20" t="s">
        <v>3353</v>
      </c>
      <c r="C862" s="21" t="s">
        <v>3154</v>
      </c>
      <c r="D862" s="22" t="s">
        <v>74</v>
      </c>
      <c r="E862" s="23">
        <v>45767.68990740741</v>
      </c>
      <c r="F862" s="10" t="str">
        <f>TEXT(events[[#This Row],[Start Date]],"DDD")</f>
        <v>Sun</v>
      </c>
      <c r="G862" s="10">
        <f>YEAR(events[[#This Row],[Start Date]])</f>
        <v>2025</v>
      </c>
      <c r="H862" s="10" t="str">
        <f>TEXT(events[[#This Row],[Start Date]],"mmm")</f>
        <v>Apr</v>
      </c>
      <c r="I862" s="10" t="str">
        <f>CONCATENATE("WK_",WEEKNUM(events[[#This Row],[Start Date]]))</f>
        <v>WK_17</v>
      </c>
      <c r="J862" s="23">
        <v>45767.689953703702</v>
      </c>
      <c r="K862" s="20">
        <v>87</v>
      </c>
      <c r="L862" s="20" t="s">
        <v>25</v>
      </c>
      <c r="M862" s="20" t="s">
        <v>275</v>
      </c>
      <c r="N862" s="24">
        <f t="shared" si="13"/>
        <v>6.6666666666666666E-2</v>
      </c>
      <c r="O862" s="22" t="s">
        <v>38</v>
      </c>
      <c r="P862" s="22" t="s">
        <v>38</v>
      </c>
      <c r="Q862" s="22" t="s">
        <v>39</v>
      </c>
      <c r="R862" s="22" t="s">
        <v>39</v>
      </c>
      <c r="S862" s="22" t="s">
        <v>276</v>
      </c>
      <c r="T862" s="22" t="s">
        <v>277</v>
      </c>
      <c r="U862" s="15">
        <v>0.125</v>
      </c>
      <c r="V862" s="17">
        <v>1</v>
      </c>
    </row>
    <row r="863" spans="1:22" ht="18" customHeight="1" x14ac:dyDescent="0.35">
      <c r="A863" s="20" t="s">
        <v>47</v>
      </c>
      <c r="B863" s="20" t="s">
        <v>3231</v>
      </c>
      <c r="C863" s="21" t="s">
        <v>2998</v>
      </c>
      <c r="D863" s="22" t="s">
        <v>74</v>
      </c>
      <c r="E863" s="23">
        <v>45767.343715277777</v>
      </c>
      <c r="F863" s="10" t="str">
        <f>TEXT(events[[#This Row],[Start Date]],"DDD")</f>
        <v>Sun</v>
      </c>
      <c r="G863" s="10">
        <f>YEAR(events[[#This Row],[Start Date]])</f>
        <v>2025</v>
      </c>
      <c r="H863" s="10" t="str">
        <f>TEXT(events[[#This Row],[Start Date]],"mmm")</f>
        <v>Apr</v>
      </c>
      <c r="I863" s="10" t="str">
        <f>CONCATENATE("WK_",WEEKNUM(events[[#This Row],[Start Date]]))</f>
        <v>WK_17</v>
      </c>
      <c r="J863" s="23">
        <v>45767.34375</v>
      </c>
      <c r="K863" s="20">
        <v>82</v>
      </c>
      <c r="L863" s="20" t="s">
        <v>25</v>
      </c>
      <c r="M863" s="20" t="s">
        <v>75</v>
      </c>
      <c r="N863" s="24">
        <f t="shared" si="13"/>
        <v>0.05</v>
      </c>
      <c r="O863" s="22" t="s">
        <v>65</v>
      </c>
      <c r="P863" s="22" t="s">
        <v>65</v>
      </c>
      <c r="Q863" s="22" t="s">
        <v>79</v>
      </c>
      <c r="R863" s="22" t="s">
        <v>97</v>
      </c>
      <c r="S863" s="22" t="s">
        <v>273</v>
      </c>
      <c r="T863" s="22" t="s">
        <v>274</v>
      </c>
      <c r="U863" s="15">
        <v>9.4E-2</v>
      </c>
      <c r="V863" s="17">
        <v>1</v>
      </c>
    </row>
    <row r="864" spans="1:22" ht="18" customHeight="1" x14ac:dyDescent="0.35">
      <c r="A864" s="20" t="s">
        <v>123</v>
      </c>
      <c r="B864" s="20" t="s">
        <v>3339</v>
      </c>
      <c r="C864" s="21" t="s">
        <v>3135</v>
      </c>
      <c r="D864" s="22" t="s">
        <v>74</v>
      </c>
      <c r="E864" s="23">
        <v>45766.289803240739</v>
      </c>
      <c r="F864" s="10" t="str">
        <f>TEXT(events[[#This Row],[Start Date]],"DDD")</f>
        <v>Sat</v>
      </c>
      <c r="G864" s="10">
        <f>YEAR(events[[#This Row],[Start Date]])</f>
        <v>2025</v>
      </c>
      <c r="H864" s="10" t="str">
        <f>TEXT(events[[#This Row],[Start Date]],"mmm")</f>
        <v>Apr</v>
      </c>
      <c r="I864" s="10" t="str">
        <f>CONCATENATE("WK_",WEEKNUM(events[[#This Row],[Start Date]]))</f>
        <v>WK_16</v>
      </c>
      <c r="J864" s="23">
        <v>45766.291168981479</v>
      </c>
      <c r="K864" s="20">
        <v>108</v>
      </c>
      <c r="L864" s="20" t="s">
        <v>25</v>
      </c>
      <c r="M864" s="20" t="s">
        <v>283</v>
      </c>
      <c r="N864" s="24">
        <f t="shared" si="13"/>
        <v>1.95</v>
      </c>
      <c r="O864" s="22"/>
      <c r="P864" s="22"/>
      <c r="Q864" s="22" t="s">
        <v>284</v>
      </c>
      <c r="R864" s="22" t="s">
        <v>285</v>
      </c>
      <c r="S864" s="22" t="s">
        <v>286</v>
      </c>
      <c r="T864" s="22" t="s">
        <v>287</v>
      </c>
      <c r="U864" s="15">
        <v>3</v>
      </c>
      <c r="V864" s="17">
        <v>1</v>
      </c>
    </row>
    <row r="865" spans="1:22" ht="18" customHeight="1" x14ac:dyDescent="0.35">
      <c r="A865" s="20" t="s">
        <v>23</v>
      </c>
      <c r="B865" s="20" t="s">
        <v>3163</v>
      </c>
      <c r="C865" s="21" t="s">
        <v>2929</v>
      </c>
      <c r="D865" s="22" t="s">
        <v>24</v>
      </c>
      <c r="E865" s="23">
        <v>45764.236250000002</v>
      </c>
      <c r="F865" s="10" t="str">
        <f>TEXT(events[[#This Row],[Start Date]],"DDD")</f>
        <v>Thu</v>
      </c>
      <c r="G865" s="10">
        <f>YEAR(events[[#This Row],[Start Date]])</f>
        <v>2025</v>
      </c>
      <c r="H865" s="10" t="str">
        <f>TEXT(events[[#This Row],[Start Date]],"mmm")</f>
        <v>Apr</v>
      </c>
      <c r="I865" s="10" t="str">
        <f>CONCATENATE("WK_",WEEKNUM(events[[#This Row],[Start Date]]))</f>
        <v>WK_16</v>
      </c>
      <c r="J865" s="23">
        <v>45764.236261574071</v>
      </c>
      <c r="K865" s="20">
        <v>33</v>
      </c>
      <c r="L865" s="20" t="s">
        <v>25</v>
      </c>
      <c r="M865" s="20" t="s">
        <v>26</v>
      </c>
      <c r="N865" s="24">
        <f t="shared" si="13"/>
        <v>1.6666666666666666E-2</v>
      </c>
      <c r="O865" s="22" t="s">
        <v>38</v>
      </c>
      <c r="P865" s="22" t="s">
        <v>38</v>
      </c>
      <c r="Q865" s="22" t="s">
        <v>265</v>
      </c>
      <c r="R865" s="22" t="s">
        <v>265</v>
      </c>
      <c r="S865" s="22" t="s">
        <v>266</v>
      </c>
      <c r="T865" s="22" t="s">
        <v>267</v>
      </c>
      <c r="U865" s="15">
        <v>0</v>
      </c>
      <c r="V865" s="17">
        <v>1</v>
      </c>
    </row>
    <row r="866" spans="1:22" ht="18" customHeight="1" x14ac:dyDescent="0.35">
      <c r="A866" s="20" t="s">
        <v>47</v>
      </c>
      <c r="B866" s="20" t="s">
        <v>3354</v>
      </c>
      <c r="C866" s="21" t="s">
        <v>3155</v>
      </c>
      <c r="D866" s="22" t="s">
        <v>82</v>
      </c>
      <c r="E866" s="23">
        <v>45762.50172453704</v>
      </c>
      <c r="F866" s="10" t="str">
        <f>TEXT(events[[#This Row],[Start Date]],"DDD")</f>
        <v>Tue</v>
      </c>
      <c r="G866" s="10">
        <f>YEAR(events[[#This Row],[Start Date]])</f>
        <v>2025</v>
      </c>
      <c r="H866" s="10" t="str">
        <f>TEXT(events[[#This Row],[Start Date]],"mmm")</f>
        <v>Apr</v>
      </c>
      <c r="I866" s="10" t="str">
        <f>CONCATENATE("WK_",WEEKNUM(events[[#This Row],[Start Date]]))</f>
        <v>WK_16</v>
      </c>
      <c r="J866" s="23">
        <v>45762.50172453704</v>
      </c>
      <c r="K866" s="20">
        <v>16</v>
      </c>
      <c r="L866" s="20" t="s">
        <v>83</v>
      </c>
      <c r="M866" s="20" t="s">
        <v>87</v>
      </c>
      <c r="N866" s="24">
        <f t="shared" si="13"/>
        <v>0</v>
      </c>
      <c r="O866" s="22" t="s">
        <v>268</v>
      </c>
      <c r="P866" s="22" t="s">
        <v>268</v>
      </c>
      <c r="Q866" s="22" t="s">
        <v>269</v>
      </c>
      <c r="R866" s="22" t="s">
        <v>269</v>
      </c>
      <c r="S866" s="22" t="s">
        <v>270</v>
      </c>
      <c r="T866" s="22" t="s">
        <v>270</v>
      </c>
      <c r="U866" s="15">
        <v>0</v>
      </c>
      <c r="V866" s="17">
        <v>1</v>
      </c>
    </row>
    <row r="867" spans="1:22" ht="18" customHeight="1" x14ac:dyDescent="0.35">
      <c r="A867" s="20" t="s">
        <v>123</v>
      </c>
      <c r="B867" s="20" t="s">
        <v>3355</v>
      </c>
      <c r="C867" s="21" t="s">
        <v>3156</v>
      </c>
      <c r="D867" s="22" t="s">
        <v>74</v>
      </c>
      <c r="E867" s="23">
        <v>45762.472268518519</v>
      </c>
      <c r="F867" s="10" t="str">
        <f>TEXT(events[[#This Row],[Start Date]],"DDD")</f>
        <v>Tue</v>
      </c>
      <c r="G867" s="10">
        <f>YEAR(events[[#This Row],[Start Date]])</f>
        <v>2025</v>
      </c>
      <c r="H867" s="10" t="str">
        <f>TEXT(events[[#This Row],[Start Date]],"mmm")</f>
        <v>Apr</v>
      </c>
      <c r="I867" s="10" t="str">
        <f>CONCATENATE("WK_",WEEKNUM(events[[#This Row],[Start Date]]))</f>
        <v>WK_16</v>
      </c>
      <c r="J867" s="23">
        <v>45762.473773148151</v>
      </c>
      <c r="K867" s="20">
        <v>94</v>
      </c>
      <c r="L867" s="20" t="s">
        <v>25</v>
      </c>
      <c r="M867" s="20" t="s">
        <v>278</v>
      </c>
      <c r="N867" s="24">
        <f t="shared" si="13"/>
        <v>2.1666666666666665</v>
      </c>
      <c r="O867" s="22"/>
      <c r="P867" s="22"/>
      <c r="Q867" s="22" t="s">
        <v>279</v>
      </c>
      <c r="R867" s="22" t="s">
        <v>280</v>
      </c>
      <c r="S867" s="22" t="s">
        <v>281</v>
      </c>
      <c r="T867" s="22" t="s">
        <v>282</v>
      </c>
      <c r="U867" s="15">
        <v>3.1</v>
      </c>
      <c r="V867" s="17">
        <v>1</v>
      </c>
    </row>
    <row r="868" spans="1:22" ht="18" customHeight="1" x14ac:dyDescent="0.35">
      <c r="A868" s="20" t="s">
        <v>86</v>
      </c>
      <c r="B868" s="20" t="s">
        <v>3356</v>
      </c>
      <c r="C868" s="21" t="s">
        <v>3391</v>
      </c>
      <c r="D868" s="22" t="s">
        <v>74</v>
      </c>
      <c r="E868" s="23">
        <v>45760.957974537036</v>
      </c>
      <c r="F868" s="10" t="str">
        <f>TEXT(events[[#This Row],[Start Date]],"DDD")</f>
        <v>Sun</v>
      </c>
      <c r="G868" s="10">
        <f>YEAR(events[[#This Row],[Start Date]])</f>
        <v>2025</v>
      </c>
      <c r="H868" s="10" t="str">
        <f>TEXT(events[[#This Row],[Start Date]],"mmm")</f>
        <v>Apr</v>
      </c>
      <c r="I868" s="10" t="str">
        <f>CONCATENATE("WK_",WEEKNUM(events[[#This Row],[Start Date]]))</f>
        <v>WK_16</v>
      </c>
      <c r="J868" s="23">
        <v>45760.958020833335</v>
      </c>
      <c r="K868" s="20">
        <v>86</v>
      </c>
      <c r="L868" s="20" t="s">
        <v>25</v>
      </c>
      <c r="M868" s="20" t="s">
        <v>275</v>
      </c>
      <c r="N868" s="24">
        <f t="shared" si="13"/>
        <v>6.6666666666666666E-2</v>
      </c>
      <c r="O868" s="22" t="s">
        <v>138</v>
      </c>
      <c r="P868" s="22" t="s">
        <v>138</v>
      </c>
      <c r="Q868" s="22" t="s">
        <v>297</v>
      </c>
      <c r="R868" s="22" t="s">
        <v>298</v>
      </c>
      <c r="S868" s="22" t="s">
        <v>299</v>
      </c>
      <c r="T868" s="22" t="s">
        <v>300</v>
      </c>
      <c r="U868" s="15">
        <v>6.2E-2</v>
      </c>
      <c r="V868" s="17">
        <v>1</v>
      </c>
    </row>
    <row r="869" spans="1:22" ht="18" customHeight="1" x14ac:dyDescent="0.35">
      <c r="A869" s="20" t="s">
        <v>86</v>
      </c>
      <c r="B869" s="20" t="s">
        <v>3356</v>
      </c>
      <c r="C869" s="21" t="s">
        <v>3391</v>
      </c>
      <c r="D869" s="22" t="s">
        <v>74</v>
      </c>
      <c r="E869" s="23">
        <v>45759.508877314816</v>
      </c>
      <c r="F869" s="10" t="str">
        <f>TEXT(events[[#This Row],[Start Date]],"DDD")</f>
        <v>Sat</v>
      </c>
      <c r="G869" s="10">
        <f>YEAR(events[[#This Row],[Start Date]])</f>
        <v>2025</v>
      </c>
      <c r="H869" s="10" t="str">
        <f>TEXT(events[[#This Row],[Start Date]],"mmm")</f>
        <v>Apr</v>
      </c>
      <c r="I869" s="10" t="str">
        <f>CONCATENATE("WK_",WEEKNUM(events[[#This Row],[Start Date]]))</f>
        <v>WK_15</v>
      </c>
      <c r="J869" s="23">
        <v>45759.508888888886</v>
      </c>
      <c r="K869" s="20">
        <v>81</v>
      </c>
      <c r="L869" s="20" t="s">
        <v>25</v>
      </c>
      <c r="M869" s="20" t="s">
        <v>26</v>
      </c>
      <c r="N869" s="24">
        <f t="shared" si="13"/>
        <v>1.6666666666666666E-2</v>
      </c>
      <c r="O869" s="22" t="s">
        <v>38</v>
      </c>
      <c r="P869" s="22" t="s">
        <v>38</v>
      </c>
      <c r="Q869" s="22" t="s">
        <v>294</v>
      </c>
      <c r="R869" s="22" t="s">
        <v>294</v>
      </c>
      <c r="S869" s="22" t="s">
        <v>295</v>
      </c>
      <c r="T869" s="22" t="s">
        <v>296</v>
      </c>
      <c r="U869" s="15">
        <v>0</v>
      </c>
      <c r="V869" s="17">
        <v>1</v>
      </c>
    </row>
    <row r="870" spans="1:22" ht="18" customHeight="1" x14ac:dyDescent="0.35">
      <c r="A870" s="20" t="s">
        <v>123</v>
      </c>
      <c r="B870" s="20" t="s">
        <v>3357</v>
      </c>
      <c r="C870" s="21" t="s">
        <v>3392</v>
      </c>
      <c r="D870" s="22" t="s">
        <v>35</v>
      </c>
      <c r="E870" s="23">
        <v>45758.144201388888</v>
      </c>
      <c r="F870" s="10" t="str">
        <f>TEXT(events[[#This Row],[Start Date]],"DDD")</f>
        <v>Fri</v>
      </c>
      <c r="G870" s="10">
        <f>YEAR(events[[#This Row],[Start Date]])</f>
        <v>2025</v>
      </c>
      <c r="H870" s="10" t="str">
        <f>TEXT(events[[#This Row],[Start Date]],"mmm")</f>
        <v>Apr</v>
      </c>
      <c r="I870" s="10" t="str">
        <f>CONCATENATE("WK_",WEEKNUM(events[[#This Row],[Start Date]]))</f>
        <v>WK_15</v>
      </c>
      <c r="J870" s="23">
        <v>45758.146550925929</v>
      </c>
      <c r="K870" s="20"/>
      <c r="L870" s="20"/>
      <c r="M870" s="20" t="s">
        <v>307</v>
      </c>
      <c r="N870" s="24">
        <f t="shared" si="13"/>
        <v>3.3833333333333333</v>
      </c>
      <c r="O870" s="22"/>
      <c r="P870" s="22"/>
      <c r="Q870" s="22" t="s">
        <v>304</v>
      </c>
      <c r="R870" s="22" t="s">
        <v>308</v>
      </c>
      <c r="S870" s="22" t="s">
        <v>309</v>
      </c>
      <c r="T870" s="22" t="s">
        <v>310</v>
      </c>
      <c r="U870" s="15">
        <v>49</v>
      </c>
      <c r="V870" s="17">
        <v>1</v>
      </c>
    </row>
    <row r="871" spans="1:22" ht="18" customHeight="1" x14ac:dyDescent="0.35">
      <c r="A871" s="20" t="s">
        <v>23</v>
      </c>
      <c r="B871" s="20" t="s">
        <v>3163</v>
      </c>
      <c r="C871" s="21" t="s">
        <v>2929</v>
      </c>
      <c r="D871" s="22" t="s">
        <v>24</v>
      </c>
      <c r="E871" s="23">
        <v>45757.333379629628</v>
      </c>
      <c r="F871" s="10" t="str">
        <f>TEXT(events[[#This Row],[Start Date]],"DDD")</f>
        <v>Thu</v>
      </c>
      <c r="G871" s="10">
        <f>YEAR(events[[#This Row],[Start Date]])</f>
        <v>2025</v>
      </c>
      <c r="H871" s="10" t="str">
        <f>TEXT(events[[#This Row],[Start Date]],"mmm")</f>
        <v>Apr</v>
      </c>
      <c r="I871" s="10" t="str">
        <f>CONCATENATE("WK_",WEEKNUM(events[[#This Row],[Start Date]]))</f>
        <v>WK_15</v>
      </c>
      <c r="J871" s="23">
        <v>45757.333391203705</v>
      </c>
      <c r="K871" s="20">
        <v>59</v>
      </c>
      <c r="L871" s="20" t="s">
        <v>25</v>
      </c>
      <c r="M871" s="20" t="s">
        <v>26</v>
      </c>
      <c r="N871" s="24">
        <f t="shared" si="13"/>
        <v>1.6666666666666666E-2</v>
      </c>
      <c r="O871" s="22" t="s">
        <v>27</v>
      </c>
      <c r="P871" s="22" t="s">
        <v>27</v>
      </c>
      <c r="Q871" s="22" t="s">
        <v>288</v>
      </c>
      <c r="R871" s="22" t="s">
        <v>288</v>
      </c>
      <c r="S871" s="22" t="s">
        <v>289</v>
      </c>
      <c r="T871" s="22" t="s">
        <v>290</v>
      </c>
      <c r="U871" s="15">
        <v>0</v>
      </c>
      <c r="V871" s="17">
        <v>1</v>
      </c>
    </row>
    <row r="872" spans="1:22" ht="18" customHeight="1" x14ac:dyDescent="0.35">
      <c r="A872" s="20" t="s">
        <v>123</v>
      </c>
      <c r="B872" s="20" t="s">
        <v>3358</v>
      </c>
      <c r="C872" s="21" t="s">
        <v>3393</v>
      </c>
      <c r="D872" s="22" t="s">
        <v>74</v>
      </c>
      <c r="E872" s="23">
        <v>45755.893171296295</v>
      </c>
      <c r="F872" s="10" t="str">
        <f>TEXT(events[[#This Row],[Start Date]],"DDD")</f>
        <v>Tue</v>
      </c>
      <c r="G872" s="10">
        <f>YEAR(events[[#This Row],[Start Date]])</f>
        <v>2025</v>
      </c>
      <c r="H872" s="10" t="str">
        <f>TEXT(events[[#This Row],[Start Date]],"mmm")</f>
        <v>Apr</v>
      </c>
      <c r="I872" s="10" t="str">
        <f>CONCATENATE("WK_",WEEKNUM(events[[#This Row],[Start Date]]))</f>
        <v>WK_15</v>
      </c>
      <c r="J872" s="23">
        <v>45755.893472222226</v>
      </c>
      <c r="K872" s="20">
        <v>87</v>
      </c>
      <c r="L872" s="20" t="s">
        <v>25</v>
      </c>
      <c r="M872" s="20" t="s">
        <v>128</v>
      </c>
      <c r="N872" s="24">
        <f t="shared" si="13"/>
        <v>0.41666666666666669</v>
      </c>
      <c r="O872" s="22"/>
      <c r="P872" s="22"/>
      <c r="Q872" s="22" t="s">
        <v>304</v>
      </c>
      <c r="R872" s="22" t="s">
        <v>304</v>
      </c>
      <c r="S872" s="22" t="s">
        <v>305</v>
      </c>
      <c r="T872" s="22" t="s">
        <v>306</v>
      </c>
      <c r="U872" s="15">
        <v>0.7</v>
      </c>
      <c r="V872" s="17">
        <v>1</v>
      </c>
    </row>
    <row r="873" spans="1:22" ht="18" customHeight="1" x14ac:dyDescent="0.35">
      <c r="A873" s="20" t="s">
        <v>86</v>
      </c>
      <c r="B873" s="20" t="s">
        <v>3356</v>
      </c>
      <c r="C873" s="21" t="s">
        <v>3391</v>
      </c>
      <c r="D873" s="22" t="s">
        <v>74</v>
      </c>
      <c r="E873" s="23">
        <v>45755.504166666666</v>
      </c>
      <c r="F873" s="10" t="str">
        <f>TEXT(events[[#This Row],[Start Date]],"DDD")</f>
        <v>Tue</v>
      </c>
      <c r="G873" s="10">
        <f>YEAR(events[[#This Row],[Start Date]])</f>
        <v>2025</v>
      </c>
      <c r="H873" s="10" t="str">
        <f>TEXT(events[[#This Row],[Start Date]],"mmm")</f>
        <v>Apr</v>
      </c>
      <c r="I873" s="10" t="str">
        <f>CONCATENATE("WK_",WEEKNUM(events[[#This Row],[Start Date]]))</f>
        <v>WK_15</v>
      </c>
      <c r="J873" s="23">
        <v>45755.504189814812</v>
      </c>
      <c r="K873" s="20">
        <v>83</v>
      </c>
      <c r="L873" s="20" t="s">
        <v>25</v>
      </c>
      <c r="M873" s="20" t="s">
        <v>31</v>
      </c>
      <c r="N873" s="24">
        <f t="shared" si="13"/>
        <v>3.3333333333333333E-2</v>
      </c>
      <c r="O873" s="22" t="s">
        <v>27</v>
      </c>
      <c r="P873" s="22" t="s">
        <v>27</v>
      </c>
      <c r="Q873" s="22" t="s">
        <v>291</v>
      </c>
      <c r="R873" s="22" t="s">
        <v>291</v>
      </c>
      <c r="S873" s="22" t="s">
        <v>292</v>
      </c>
      <c r="T873" s="22" t="s">
        <v>293</v>
      </c>
      <c r="U873" s="15">
        <v>0</v>
      </c>
      <c r="V873" s="17">
        <v>1</v>
      </c>
    </row>
    <row r="874" spans="1:22" ht="18" customHeight="1" x14ac:dyDescent="0.35">
      <c r="A874" s="20" t="s">
        <v>123</v>
      </c>
      <c r="B874" s="20" t="s">
        <v>3359</v>
      </c>
      <c r="C874" s="21" t="s">
        <v>3394</v>
      </c>
      <c r="D874" s="22" t="s">
        <v>74</v>
      </c>
      <c r="E874" s="23">
        <v>45755.045127314814</v>
      </c>
      <c r="F874" s="10" t="str">
        <f>TEXT(events[[#This Row],[Start Date]],"DDD")</f>
        <v>Tue</v>
      </c>
      <c r="G874" s="10">
        <f>YEAR(events[[#This Row],[Start Date]])</f>
        <v>2025</v>
      </c>
      <c r="H874" s="10" t="str">
        <f>TEXT(events[[#This Row],[Start Date]],"mmm")</f>
        <v>Apr</v>
      </c>
      <c r="I874" s="10" t="str">
        <f>CONCATENATE("WK_",WEEKNUM(events[[#This Row],[Start Date]]))</f>
        <v>WK_15</v>
      </c>
      <c r="J874" s="23">
        <v>45755.045370370368</v>
      </c>
      <c r="K874" s="20">
        <v>88</v>
      </c>
      <c r="L874" s="20" t="s">
        <v>25</v>
      </c>
      <c r="M874" s="20" t="s">
        <v>301</v>
      </c>
      <c r="N874" s="24">
        <f t="shared" si="13"/>
        <v>0.33333333333333331</v>
      </c>
      <c r="O874" s="22"/>
      <c r="P874" s="22"/>
      <c r="Q874" s="22" t="s">
        <v>125</v>
      </c>
      <c r="R874" s="22" t="s">
        <v>125</v>
      </c>
      <c r="S874" s="22" t="s">
        <v>302</v>
      </c>
      <c r="T874" s="22" t="s">
        <v>303</v>
      </c>
      <c r="U874" s="15">
        <v>0.6</v>
      </c>
      <c r="V874" s="17">
        <v>1</v>
      </c>
    </row>
    <row r="875" spans="1:22" ht="18" customHeight="1" x14ac:dyDescent="0.35">
      <c r="A875" s="20" t="s">
        <v>86</v>
      </c>
      <c r="B875" s="20" t="s">
        <v>3189</v>
      </c>
      <c r="C875" s="21" t="s">
        <v>3395</v>
      </c>
      <c r="D875" s="22" t="s">
        <v>35</v>
      </c>
      <c r="E875" s="23">
        <v>45754.97283564815</v>
      </c>
      <c r="F875" s="10" t="str">
        <f>TEXT(events[[#This Row],[Start Date]],"DDD")</f>
        <v>Mon</v>
      </c>
      <c r="G875" s="10">
        <f>YEAR(events[[#This Row],[Start Date]])</f>
        <v>2025</v>
      </c>
      <c r="H875" s="10" t="str">
        <f>TEXT(events[[#This Row],[Start Date]],"mmm")</f>
        <v>Apr</v>
      </c>
      <c r="I875" s="10" t="str">
        <f>CONCATENATE("WK_",WEEKNUM(events[[#This Row],[Start Date]]))</f>
        <v>WK_15</v>
      </c>
      <c r="J875" s="23">
        <v>45754.980196759258</v>
      </c>
      <c r="K875" s="20">
        <v>1.5</v>
      </c>
      <c r="L875" s="20" t="s">
        <v>36</v>
      </c>
      <c r="M875" s="20" t="s">
        <v>350</v>
      </c>
      <c r="N875" s="24">
        <f t="shared" si="13"/>
        <v>10.6</v>
      </c>
      <c r="O875" s="22" t="s">
        <v>138</v>
      </c>
      <c r="P875" s="22" t="s">
        <v>50</v>
      </c>
      <c r="Q875" s="22" t="s">
        <v>347</v>
      </c>
      <c r="R875" s="22" t="s">
        <v>347</v>
      </c>
      <c r="S875" s="22" t="s">
        <v>351</v>
      </c>
      <c r="T875" s="22" t="s">
        <v>352</v>
      </c>
      <c r="U875" s="15">
        <v>1.25</v>
      </c>
      <c r="V875" s="17">
        <v>1</v>
      </c>
    </row>
    <row r="876" spans="1:22" ht="18" customHeight="1" x14ac:dyDescent="0.35">
      <c r="A876" s="20" t="s">
        <v>86</v>
      </c>
      <c r="B876" s="20" t="s">
        <v>3189</v>
      </c>
      <c r="C876" s="21" t="s">
        <v>3395</v>
      </c>
      <c r="D876" s="22" t="s">
        <v>35</v>
      </c>
      <c r="E876" s="23">
        <v>45754.958344907405</v>
      </c>
      <c r="F876" s="10" t="str">
        <f>TEXT(events[[#This Row],[Start Date]],"DDD")</f>
        <v>Mon</v>
      </c>
      <c r="G876" s="10">
        <f>YEAR(events[[#This Row],[Start Date]])</f>
        <v>2025</v>
      </c>
      <c r="H876" s="10" t="str">
        <f>TEXT(events[[#This Row],[Start Date]],"mmm")</f>
        <v>Apr</v>
      </c>
      <c r="I876" s="10" t="str">
        <f>CONCATENATE("WK_",WEEKNUM(events[[#This Row],[Start Date]]))</f>
        <v>WK_15</v>
      </c>
      <c r="J876" s="23">
        <v>45754.965648148151</v>
      </c>
      <c r="K876" s="20">
        <v>11.2</v>
      </c>
      <c r="L876" s="20" t="s">
        <v>36</v>
      </c>
      <c r="M876" s="20" t="s">
        <v>346</v>
      </c>
      <c r="N876" s="24">
        <f t="shared" si="13"/>
        <v>10.516666666666667</v>
      </c>
      <c r="O876" s="22" t="s">
        <v>138</v>
      </c>
      <c r="P876" s="22" t="s">
        <v>138</v>
      </c>
      <c r="Q876" s="22" t="s">
        <v>347</v>
      </c>
      <c r="R876" s="22" t="s">
        <v>347</v>
      </c>
      <c r="S876" s="22" t="s">
        <v>348</v>
      </c>
      <c r="T876" s="22" t="s">
        <v>349</v>
      </c>
      <c r="U876" s="15">
        <v>1</v>
      </c>
      <c r="V876" s="17">
        <v>1</v>
      </c>
    </row>
    <row r="877" spans="1:22" ht="18" customHeight="1" x14ac:dyDescent="0.35">
      <c r="A877" s="20" t="s">
        <v>86</v>
      </c>
      <c r="B877" s="20" t="s">
        <v>3236</v>
      </c>
      <c r="C877" s="21" t="s">
        <v>3113</v>
      </c>
      <c r="D877" s="22" t="s">
        <v>35</v>
      </c>
      <c r="E877" s="23">
        <v>45754.958344907405</v>
      </c>
      <c r="F877" s="10" t="str">
        <f>TEXT(events[[#This Row],[Start Date]],"DDD")</f>
        <v>Mon</v>
      </c>
      <c r="G877" s="10">
        <f>YEAR(events[[#This Row],[Start Date]])</f>
        <v>2025</v>
      </c>
      <c r="H877" s="10" t="str">
        <f>TEXT(events[[#This Row],[Start Date]],"mmm")</f>
        <v>Apr</v>
      </c>
      <c r="I877" s="10" t="str">
        <f>CONCATENATE("WK_",WEEKNUM(events[[#This Row],[Start Date]]))</f>
        <v>WK_15</v>
      </c>
      <c r="J877" s="23">
        <v>45754.980509259258</v>
      </c>
      <c r="K877" s="20">
        <v>12.4</v>
      </c>
      <c r="L877" s="20" t="s">
        <v>36</v>
      </c>
      <c r="M877" s="20" t="s">
        <v>362</v>
      </c>
      <c r="N877" s="24">
        <f t="shared" si="13"/>
        <v>31.916666666666668</v>
      </c>
      <c r="O877" s="22" t="s">
        <v>138</v>
      </c>
      <c r="P877" s="22" t="s">
        <v>50</v>
      </c>
      <c r="Q877" s="22" t="s">
        <v>347</v>
      </c>
      <c r="R877" s="22" t="s">
        <v>347</v>
      </c>
      <c r="S877" s="22" t="s">
        <v>363</v>
      </c>
      <c r="T877" s="22" t="s">
        <v>364</v>
      </c>
      <c r="U877" s="15">
        <v>2.375</v>
      </c>
      <c r="V877" s="17">
        <v>1</v>
      </c>
    </row>
    <row r="878" spans="1:22" ht="18" customHeight="1" x14ac:dyDescent="0.35">
      <c r="A878" s="20" t="s">
        <v>123</v>
      </c>
      <c r="B878" s="20" t="s">
        <v>3360</v>
      </c>
      <c r="C878" s="21" t="s">
        <v>3396</v>
      </c>
      <c r="D878" s="22" t="s">
        <v>74</v>
      </c>
      <c r="E878" s="23">
        <v>45754.6253125</v>
      </c>
      <c r="F878" s="10" t="str">
        <f>TEXT(events[[#This Row],[Start Date]],"DDD")</f>
        <v>Mon</v>
      </c>
      <c r="G878" s="10">
        <f>YEAR(events[[#This Row],[Start Date]])</f>
        <v>2025</v>
      </c>
      <c r="H878" s="10" t="str">
        <f>TEXT(events[[#This Row],[Start Date]],"mmm")</f>
        <v>Apr</v>
      </c>
      <c r="I878" s="10" t="str">
        <f>CONCATENATE("WK_",WEEKNUM(events[[#This Row],[Start Date]]))</f>
        <v>WK_15</v>
      </c>
      <c r="J878" s="23">
        <v>45754.626388888886</v>
      </c>
      <c r="K878" s="20">
        <v>91</v>
      </c>
      <c r="L878" s="20" t="s">
        <v>25</v>
      </c>
      <c r="M878" s="20" t="s">
        <v>373</v>
      </c>
      <c r="N878" s="24">
        <f t="shared" si="13"/>
        <v>1.55</v>
      </c>
      <c r="O878" s="22"/>
      <c r="P878" s="22"/>
      <c r="Q878" s="22" t="s">
        <v>374</v>
      </c>
      <c r="R878" s="22" t="s">
        <v>375</v>
      </c>
      <c r="S878" s="22" t="s">
        <v>376</v>
      </c>
      <c r="T878" s="22" t="s">
        <v>377</v>
      </c>
      <c r="U878" s="15">
        <v>2.4</v>
      </c>
      <c r="V878" s="17">
        <v>1</v>
      </c>
    </row>
    <row r="879" spans="1:22" ht="18" customHeight="1" x14ac:dyDescent="0.35">
      <c r="A879" s="20" t="s">
        <v>47</v>
      </c>
      <c r="B879" s="20" t="s">
        <v>3216</v>
      </c>
      <c r="C879" s="21" t="s">
        <v>3140</v>
      </c>
      <c r="D879" s="22" t="s">
        <v>74</v>
      </c>
      <c r="E879" s="23">
        <v>45754.364930555559</v>
      </c>
      <c r="F879" s="10" t="str">
        <f>TEXT(events[[#This Row],[Start Date]],"DDD")</f>
        <v>Mon</v>
      </c>
      <c r="G879" s="10">
        <f>YEAR(events[[#This Row],[Start Date]])</f>
        <v>2025</v>
      </c>
      <c r="H879" s="10" t="str">
        <f>TEXT(events[[#This Row],[Start Date]],"mmm")</f>
        <v>Apr</v>
      </c>
      <c r="I879" s="10" t="str">
        <f>CONCATENATE("WK_",WEEKNUM(events[[#This Row],[Start Date]]))</f>
        <v>WK_15</v>
      </c>
      <c r="J879" s="23">
        <v>45754.364942129629</v>
      </c>
      <c r="K879" s="20">
        <v>81</v>
      </c>
      <c r="L879" s="20" t="s">
        <v>25</v>
      </c>
      <c r="M879" s="20" t="s">
        <v>26</v>
      </c>
      <c r="N879" s="24">
        <f t="shared" si="13"/>
        <v>1.6666666666666666E-2</v>
      </c>
      <c r="O879" s="22" t="s">
        <v>27</v>
      </c>
      <c r="P879" s="22" t="s">
        <v>27</v>
      </c>
      <c r="Q879" s="22" t="s">
        <v>191</v>
      </c>
      <c r="R879" s="22" t="s">
        <v>191</v>
      </c>
      <c r="S879" s="22" t="s">
        <v>338</v>
      </c>
      <c r="T879" s="22" t="s">
        <v>339</v>
      </c>
      <c r="U879" s="15">
        <v>0</v>
      </c>
      <c r="V879" s="17">
        <v>1</v>
      </c>
    </row>
    <row r="880" spans="1:22" ht="18" customHeight="1" x14ac:dyDescent="0.35">
      <c r="A880" s="20" t="s">
        <v>47</v>
      </c>
      <c r="B880" s="20" t="s">
        <v>3216</v>
      </c>
      <c r="C880" s="21" t="s">
        <v>3140</v>
      </c>
      <c r="D880" s="22" t="s">
        <v>74</v>
      </c>
      <c r="E880" s="23">
        <v>45754.364016203705</v>
      </c>
      <c r="F880" s="10" t="str">
        <f>TEXT(events[[#This Row],[Start Date]],"DDD")</f>
        <v>Mon</v>
      </c>
      <c r="G880" s="10">
        <f>YEAR(events[[#This Row],[Start Date]])</f>
        <v>2025</v>
      </c>
      <c r="H880" s="10" t="str">
        <f>TEXT(events[[#This Row],[Start Date]],"mmm")</f>
        <v>Apr</v>
      </c>
      <c r="I880" s="10" t="str">
        <f>CONCATENATE("WK_",WEEKNUM(events[[#This Row],[Start Date]]))</f>
        <v>WK_15</v>
      </c>
      <c r="J880" s="23">
        <v>45754.364027777781</v>
      </c>
      <c r="K880" s="20">
        <v>81</v>
      </c>
      <c r="L880" s="20" t="s">
        <v>25</v>
      </c>
      <c r="M880" s="20" t="s">
        <v>26</v>
      </c>
      <c r="N880" s="24">
        <f t="shared" si="13"/>
        <v>1.6666666666666666E-2</v>
      </c>
      <c r="O880" s="22" t="s">
        <v>27</v>
      </c>
      <c r="P880" s="22" t="s">
        <v>27</v>
      </c>
      <c r="Q880" s="22" t="s">
        <v>335</v>
      </c>
      <c r="R880" s="22" t="s">
        <v>191</v>
      </c>
      <c r="S880" s="22" t="s">
        <v>336</v>
      </c>
      <c r="T880" s="22" t="s">
        <v>337</v>
      </c>
      <c r="U880" s="15">
        <v>0</v>
      </c>
      <c r="V880" s="17">
        <v>1</v>
      </c>
    </row>
    <row r="881" spans="1:22" ht="18" customHeight="1" x14ac:dyDescent="0.35">
      <c r="A881" s="20" t="s">
        <v>47</v>
      </c>
      <c r="B881" s="20" t="s">
        <v>3216</v>
      </c>
      <c r="C881" s="21" t="s">
        <v>3140</v>
      </c>
      <c r="D881" s="22" t="s">
        <v>74</v>
      </c>
      <c r="E881" s="23">
        <v>45754.362824074073</v>
      </c>
      <c r="F881" s="10" t="str">
        <f>TEXT(events[[#This Row],[Start Date]],"DDD")</f>
        <v>Mon</v>
      </c>
      <c r="G881" s="10">
        <f>YEAR(events[[#This Row],[Start Date]])</f>
        <v>2025</v>
      </c>
      <c r="H881" s="10" t="str">
        <f>TEXT(events[[#This Row],[Start Date]],"mmm")</f>
        <v>Apr</v>
      </c>
      <c r="I881" s="10" t="str">
        <f>CONCATENATE("WK_",WEEKNUM(events[[#This Row],[Start Date]]))</f>
        <v>WK_15</v>
      </c>
      <c r="J881" s="23">
        <v>45754.362835648149</v>
      </c>
      <c r="K881" s="20">
        <v>81</v>
      </c>
      <c r="L881" s="20" t="s">
        <v>25</v>
      </c>
      <c r="M881" s="20" t="s">
        <v>26</v>
      </c>
      <c r="N881" s="24">
        <f t="shared" si="13"/>
        <v>1.6666666666666666E-2</v>
      </c>
      <c r="O881" s="22" t="s">
        <v>92</v>
      </c>
      <c r="P881" s="22" t="s">
        <v>92</v>
      </c>
      <c r="Q881" s="22" t="s">
        <v>332</v>
      </c>
      <c r="R881" s="22" t="s">
        <v>332</v>
      </c>
      <c r="S881" s="22" t="s">
        <v>333</v>
      </c>
      <c r="T881" s="22" t="s">
        <v>334</v>
      </c>
      <c r="U881" s="15">
        <v>0</v>
      </c>
      <c r="V881" s="17">
        <v>1</v>
      </c>
    </row>
    <row r="882" spans="1:22" ht="18" customHeight="1" x14ac:dyDescent="0.35">
      <c r="A882" s="20" t="s">
        <v>86</v>
      </c>
      <c r="B882" s="20" t="s">
        <v>3189</v>
      </c>
      <c r="C882" s="21" t="s">
        <v>3395</v>
      </c>
      <c r="D882" s="22" t="s">
        <v>35</v>
      </c>
      <c r="E882" s="23">
        <v>45753.959131944444</v>
      </c>
      <c r="F882" s="10" t="str">
        <f>TEXT(events[[#This Row],[Start Date]],"DDD")</f>
        <v>Sun</v>
      </c>
      <c r="G882" s="10">
        <f>YEAR(events[[#This Row],[Start Date]])</f>
        <v>2025</v>
      </c>
      <c r="H882" s="10" t="str">
        <f>TEXT(events[[#This Row],[Start Date]],"mmm")</f>
        <v>Apr</v>
      </c>
      <c r="I882" s="10" t="str">
        <f>CONCATENATE("WK_",WEEKNUM(events[[#This Row],[Start Date]]))</f>
        <v>WK_15</v>
      </c>
      <c r="J882" s="23">
        <v>45753.984247685185</v>
      </c>
      <c r="K882" s="20">
        <v>15.4</v>
      </c>
      <c r="L882" s="20" t="s">
        <v>36</v>
      </c>
      <c r="M882" s="20" t="s">
        <v>340</v>
      </c>
      <c r="N882" s="24">
        <f t="shared" si="13"/>
        <v>36.166666666666664</v>
      </c>
      <c r="O882" s="22" t="s">
        <v>209</v>
      </c>
      <c r="P882" s="22" t="s">
        <v>341</v>
      </c>
      <c r="Q882" s="22" t="s">
        <v>342</v>
      </c>
      <c r="R882" s="22" t="s">
        <v>343</v>
      </c>
      <c r="S882" s="22" t="s">
        <v>344</v>
      </c>
      <c r="T882" s="22" t="s">
        <v>345</v>
      </c>
      <c r="U882" s="15">
        <v>15.311999999999999</v>
      </c>
      <c r="V882" s="17">
        <v>1</v>
      </c>
    </row>
    <row r="883" spans="1:22" ht="18" customHeight="1" x14ac:dyDescent="0.35">
      <c r="A883" s="20" t="s">
        <v>123</v>
      </c>
      <c r="B883" s="20" t="s">
        <v>3361</v>
      </c>
      <c r="C883" s="21" t="s">
        <v>3397</v>
      </c>
      <c r="D883" s="22" t="s">
        <v>74</v>
      </c>
      <c r="E883" s="23">
        <v>45753.893460648149</v>
      </c>
      <c r="F883" s="10" t="str">
        <f>TEXT(events[[#This Row],[Start Date]],"DDD")</f>
        <v>Sun</v>
      </c>
      <c r="G883" s="10">
        <f>YEAR(events[[#This Row],[Start Date]])</f>
        <v>2025</v>
      </c>
      <c r="H883" s="10" t="str">
        <f>TEXT(events[[#This Row],[Start Date]],"mmm")</f>
        <v>Apr</v>
      </c>
      <c r="I883" s="10" t="str">
        <f>CONCATENATE("WK_",WEEKNUM(events[[#This Row],[Start Date]]))</f>
        <v>WK_15</v>
      </c>
      <c r="J883" s="23">
        <v>45753.894502314812</v>
      </c>
      <c r="K883" s="20">
        <v>95</v>
      </c>
      <c r="L883" s="20" t="s">
        <v>25</v>
      </c>
      <c r="M883" s="20" t="s">
        <v>365</v>
      </c>
      <c r="N883" s="24">
        <f t="shared" si="13"/>
        <v>1.5</v>
      </c>
      <c r="O883" s="22"/>
      <c r="P883" s="22"/>
      <c r="Q883" s="22" t="s">
        <v>366</v>
      </c>
      <c r="R883" s="22" t="s">
        <v>366</v>
      </c>
      <c r="S883" s="22" t="s">
        <v>367</v>
      </c>
      <c r="T883" s="22" t="s">
        <v>368</v>
      </c>
      <c r="U883" s="15">
        <v>2.2000000000000002</v>
      </c>
      <c r="V883" s="17">
        <v>1</v>
      </c>
    </row>
    <row r="884" spans="1:22" ht="18" customHeight="1" x14ac:dyDescent="0.35">
      <c r="A884" s="20" t="s">
        <v>47</v>
      </c>
      <c r="B884" s="20" t="s">
        <v>3321</v>
      </c>
      <c r="C884" s="21" t="s">
        <v>3110</v>
      </c>
      <c r="D884" s="22" t="s">
        <v>24</v>
      </c>
      <c r="E884" s="23">
        <v>45753.35769675926</v>
      </c>
      <c r="F884" s="10" t="str">
        <f>TEXT(events[[#This Row],[Start Date]],"DDD")</f>
        <v>Sun</v>
      </c>
      <c r="G884" s="10">
        <f>YEAR(events[[#This Row],[Start Date]])</f>
        <v>2025</v>
      </c>
      <c r="H884" s="10" t="str">
        <f>TEXT(events[[#This Row],[Start Date]],"mmm")</f>
        <v>Apr</v>
      </c>
      <c r="I884" s="10" t="str">
        <f>CONCATENATE("WK_",WEEKNUM(events[[#This Row],[Start Date]]))</f>
        <v>WK_15</v>
      </c>
      <c r="J884" s="23">
        <v>45753.357986111114</v>
      </c>
      <c r="K884" s="20">
        <v>42</v>
      </c>
      <c r="L884" s="20" t="s">
        <v>25</v>
      </c>
      <c r="M884" s="20" t="s">
        <v>128</v>
      </c>
      <c r="N884" s="24">
        <f t="shared" si="13"/>
        <v>0.41666666666666669</v>
      </c>
      <c r="O884" s="22" t="s">
        <v>92</v>
      </c>
      <c r="P884" s="22" t="s">
        <v>92</v>
      </c>
      <c r="Q884" s="22" t="s">
        <v>315</v>
      </c>
      <c r="R884" s="22" t="s">
        <v>315</v>
      </c>
      <c r="S884" s="22" t="s">
        <v>316</v>
      </c>
      <c r="T884" s="22" t="s">
        <v>317</v>
      </c>
      <c r="U884" s="15">
        <v>0.29699999999999999</v>
      </c>
      <c r="V884" s="17">
        <v>1</v>
      </c>
    </row>
    <row r="885" spans="1:22" ht="18" customHeight="1" x14ac:dyDescent="0.35">
      <c r="A885" s="20" t="s">
        <v>47</v>
      </c>
      <c r="B885" s="20" t="s">
        <v>3292</v>
      </c>
      <c r="C885" s="21" t="s">
        <v>3078</v>
      </c>
      <c r="D885" s="22" t="s">
        <v>24</v>
      </c>
      <c r="E885" s="23">
        <v>45752.565520833334</v>
      </c>
      <c r="F885" s="10" t="str">
        <f>TEXT(events[[#This Row],[Start Date]],"DDD")</f>
        <v>Sat</v>
      </c>
      <c r="G885" s="10">
        <f>YEAR(events[[#This Row],[Start Date]])</f>
        <v>2025</v>
      </c>
      <c r="H885" s="10" t="str">
        <f>TEXT(events[[#This Row],[Start Date]],"mmm")</f>
        <v>Apr</v>
      </c>
      <c r="I885" s="10" t="str">
        <f>CONCATENATE("WK_",WEEKNUM(events[[#This Row],[Start Date]]))</f>
        <v>WK_14</v>
      </c>
      <c r="J885" s="23">
        <v>45752.565555555557</v>
      </c>
      <c r="K885" s="20">
        <v>53</v>
      </c>
      <c r="L885" s="20" t="s">
        <v>25</v>
      </c>
      <c r="M885" s="20" t="s">
        <v>75</v>
      </c>
      <c r="N885" s="24">
        <f t="shared" si="13"/>
        <v>0.05</v>
      </c>
      <c r="O885" s="22" t="s">
        <v>92</v>
      </c>
      <c r="P885" s="22" t="s">
        <v>92</v>
      </c>
      <c r="Q885" s="22" t="s">
        <v>325</v>
      </c>
      <c r="R885" s="22" t="s">
        <v>325</v>
      </c>
      <c r="S885" s="22" t="s">
        <v>326</v>
      </c>
      <c r="T885" s="22" t="s">
        <v>327</v>
      </c>
      <c r="U885" s="15">
        <v>0</v>
      </c>
      <c r="V885" s="17">
        <v>1</v>
      </c>
    </row>
    <row r="886" spans="1:22" ht="18" customHeight="1" x14ac:dyDescent="0.35">
      <c r="A886" s="20" t="s">
        <v>47</v>
      </c>
      <c r="B886" s="20" t="s">
        <v>3186</v>
      </c>
      <c r="C886" s="21" t="s">
        <v>3148</v>
      </c>
      <c r="D886" s="22" t="s">
        <v>74</v>
      </c>
      <c r="E886" s="23">
        <v>45751.724374999998</v>
      </c>
      <c r="F886" s="10" t="str">
        <f>TEXT(events[[#This Row],[Start Date]],"DDD")</f>
        <v>Fri</v>
      </c>
      <c r="G886" s="10">
        <f>YEAR(events[[#This Row],[Start Date]])</f>
        <v>2025</v>
      </c>
      <c r="H886" s="10" t="str">
        <f>TEXT(events[[#This Row],[Start Date]],"mmm")</f>
        <v>Apr</v>
      </c>
      <c r="I886" s="10" t="str">
        <f>CONCATENATE("WK_",WEEKNUM(events[[#This Row],[Start Date]]))</f>
        <v>WK_14</v>
      </c>
      <c r="J886" s="23">
        <v>45751.724386574075</v>
      </c>
      <c r="K886" s="20">
        <v>81</v>
      </c>
      <c r="L886" s="20" t="s">
        <v>25</v>
      </c>
      <c r="M886" s="20" t="s">
        <v>26</v>
      </c>
      <c r="N886" s="24">
        <f t="shared" si="13"/>
        <v>1.6666666666666666E-2</v>
      </c>
      <c r="O886" s="22" t="s">
        <v>231</v>
      </c>
      <c r="P886" s="22" t="s">
        <v>231</v>
      </c>
      <c r="Q886" s="22" t="s">
        <v>318</v>
      </c>
      <c r="R886" s="22" t="s">
        <v>318</v>
      </c>
      <c r="S886" s="22" t="s">
        <v>319</v>
      </c>
      <c r="T886" s="22" t="s">
        <v>320</v>
      </c>
      <c r="U886" s="15">
        <v>0</v>
      </c>
      <c r="V886" s="17">
        <v>1</v>
      </c>
    </row>
    <row r="887" spans="1:22" ht="18" customHeight="1" x14ac:dyDescent="0.35">
      <c r="A887" s="20" t="s">
        <v>47</v>
      </c>
      <c r="B887" s="20" t="s">
        <v>3362</v>
      </c>
      <c r="C887" s="21" t="s">
        <v>3398</v>
      </c>
      <c r="D887" s="22" t="s">
        <v>24</v>
      </c>
      <c r="E887" s="23">
        <v>45751.674884259257</v>
      </c>
      <c r="F887" s="10" t="str">
        <f>TEXT(events[[#This Row],[Start Date]],"DDD")</f>
        <v>Fri</v>
      </c>
      <c r="G887" s="10">
        <f>YEAR(events[[#This Row],[Start Date]])</f>
        <v>2025</v>
      </c>
      <c r="H887" s="10" t="str">
        <f>TEXT(events[[#This Row],[Start Date]],"mmm")</f>
        <v>Apr</v>
      </c>
      <c r="I887" s="10" t="str">
        <f>CONCATENATE("WK_",WEEKNUM(events[[#This Row],[Start Date]]))</f>
        <v>WK_14</v>
      </c>
      <c r="J887" s="23">
        <v>45751.674953703703</v>
      </c>
      <c r="K887" s="20">
        <v>47</v>
      </c>
      <c r="L887" s="20" t="s">
        <v>25</v>
      </c>
      <c r="M887" s="20" t="s">
        <v>328</v>
      </c>
      <c r="N887" s="24">
        <f t="shared" si="13"/>
        <v>0.1</v>
      </c>
      <c r="O887" s="22" t="s">
        <v>27</v>
      </c>
      <c r="P887" s="22" t="s">
        <v>27</v>
      </c>
      <c r="Q887" s="22" t="s">
        <v>329</v>
      </c>
      <c r="R887" s="22" t="s">
        <v>329</v>
      </c>
      <c r="S887" s="22" t="s">
        <v>330</v>
      </c>
      <c r="T887" s="22" t="s">
        <v>331</v>
      </c>
      <c r="U887" s="15">
        <v>9.4E-2</v>
      </c>
      <c r="V887" s="17">
        <v>1</v>
      </c>
    </row>
    <row r="888" spans="1:22" ht="18" customHeight="1" x14ac:dyDescent="0.35">
      <c r="A888" s="20" t="s">
        <v>47</v>
      </c>
      <c r="B888" s="20" t="s">
        <v>3222</v>
      </c>
      <c r="C888" s="21" t="s">
        <v>2991</v>
      </c>
      <c r="D888" s="22" t="s">
        <v>24</v>
      </c>
      <c r="E888" s="23">
        <v>45751.167245370372</v>
      </c>
      <c r="F888" s="10" t="str">
        <f>TEXT(events[[#This Row],[Start Date]],"DDD")</f>
        <v>Fri</v>
      </c>
      <c r="G888" s="10">
        <f>YEAR(events[[#This Row],[Start Date]])</f>
        <v>2025</v>
      </c>
      <c r="H888" s="10" t="str">
        <f>TEXT(events[[#This Row],[Start Date]],"mmm")</f>
        <v>Apr</v>
      </c>
      <c r="I888" s="10" t="str">
        <f>CONCATENATE("WK_",WEEKNUM(events[[#This Row],[Start Date]]))</f>
        <v>WK_14</v>
      </c>
      <c r="J888" s="23">
        <v>45751.167268518519</v>
      </c>
      <c r="K888" s="20">
        <v>43</v>
      </c>
      <c r="L888" s="20" t="s">
        <v>25</v>
      </c>
      <c r="M888" s="20" t="s">
        <v>31</v>
      </c>
      <c r="N888" s="24">
        <f t="shared" si="13"/>
        <v>3.3333333333333333E-2</v>
      </c>
      <c r="O888" s="22" t="s">
        <v>321</v>
      </c>
      <c r="P888" s="22" t="s">
        <v>321</v>
      </c>
      <c r="Q888" s="22" t="s">
        <v>322</v>
      </c>
      <c r="R888" s="22" t="s">
        <v>322</v>
      </c>
      <c r="S888" s="22" t="s">
        <v>323</v>
      </c>
      <c r="T888" s="22" t="s">
        <v>324</v>
      </c>
      <c r="U888" s="15">
        <v>0.10199999999999999</v>
      </c>
      <c r="V888" s="17">
        <v>1</v>
      </c>
    </row>
    <row r="889" spans="1:22" ht="18" customHeight="1" x14ac:dyDescent="0.35">
      <c r="A889" s="20" t="s">
        <v>23</v>
      </c>
      <c r="B889" s="20" t="s">
        <v>3363</v>
      </c>
      <c r="C889" s="21" t="s">
        <v>3073</v>
      </c>
      <c r="D889" s="22" t="s">
        <v>24</v>
      </c>
      <c r="E889" s="23">
        <v>45750.76090277778</v>
      </c>
      <c r="F889" s="10" t="str">
        <f>TEXT(events[[#This Row],[Start Date]],"DDD")</f>
        <v>Thu</v>
      </c>
      <c r="G889" s="10">
        <f>YEAR(events[[#This Row],[Start Date]])</f>
        <v>2025</v>
      </c>
      <c r="H889" s="10" t="str">
        <f>TEXT(events[[#This Row],[Start Date]],"mmm")</f>
        <v>Apr</v>
      </c>
      <c r="I889" s="10" t="str">
        <f>CONCATENATE("WK_",WEEKNUM(events[[#This Row],[Start Date]]))</f>
        <v>WK_14</v>
      </c>
      <c r="J889" s="23">
        <v>45750.761493055557</v>
      </c>
      <c r="K889" s="20">
        <v>73</v>
      </c>
      <c r="L889" s="20" t="s">
        <v>25</v>
      </c>
      <c r="M889" s="20" t="s">
        <v>311</v>
      </c>
      <c r="N889" s="24">
        <f t="shared" si="13"/>
        <v>0.85</v>
      </c>
      <c r="O889" s="22" t="s">
        <v>27</v>
      </c>
      <c r="P889" s="22" t="s">
        <v>27</v>
      </c>
      <c r="Q889" s="22" t="s">
        <v>312</v>
      </c>
      <c r="R889" s="22" t="s">
        <v>312</v>
      </c>
      <c r="S889" s="22" t="s">
        <v>313</v>
      </c>
      <c r="T889" s="22" t="s">
        <v>314</v>
      </c>
      <c r="U889" s="15">
        <v>0.90600000000000003</v>
      </c>
      <c r="V889" s="17">
        <v>1</v>
      </c>
    </row>
    <row r="890" spans="1:22" ht="18" customHeight="1" x14ac:dyDescent="0.35">
      <c r="A890" s="20" t="s">
        <v>86</v>
      </c>
      <c r="B890" s="20" t="s">
        <v>3342</v>
      </c>
      <c r="C890" s="21" t="s">
        <v>3055</v>
      </c>
      <c r="D890" s="22" t="s">
        <v>74</v>
      </c>
      <c r="E890" s="23">
        <v>45749.658599537041</v>
      </c>
      <c r="F890" s="10" t="str">
        <f>TEXT(events[[#This Row],[Start Date]],"DDD")</f>
        <v>Wed</v>
      </c>
      <c r="G890" s="10">
        <f>YEAR(events[[#This Row],[Start Date]])</f>
        <v>2025</v>
      </c>
      <c r="H890" s="10" t="str">
        <f>TEXT(events[[#This Row],[Start Date]],"mmm")</f>
        <v>Apr</v>
      </c>
      <c r="I890" s="10" t="str">
        <f>CONCATENATE("WK_",WEEKNUM(events[[#This Row],[Start Date]]))</f>
        <v>WK_14</v>
      </c>
      <c r="J890" s="23">
        <v>45749.658692129633</v>
      </c>
      <c r="K890" s="20">
        <v>83</v>
      </c>
      <c r="L890" s="20" t="s">
        <v>25</v>
      </c>
      <c r="M890" s="20" t="s">
        <v>357</v>
      </c>
      <c r="N890" s="24">
        <f t="shared" si="13"/>
        <v>0.13333333333333333</v>
      </c>
      <c r="O890" s="22" t="s">
        <v>92</v>
      </c>
      <c r="P890" s="22" t="s">
        <v>92</v>
      </c>
      <c r="Q890" s="22" t="s">
        <v>358</v>
      </c>
      <c r="R890" s="22" t="s">
        <v>359</v>
      </c>
      <c r="S890" s="22" t="s">
        <v>360</v>
      </c>
      <c r="T890" s="22" t="s">
        <v>361</v>
      </c>
      <c r="U890" s="15">
        <v>0.188</v>
      </c>
      <c r="V890" s="17">
        <v>1</v>
      </c>
    </row>
    <row r="891" spans="1:22" ht="18" customHeight="1" x14ac:dyDescent="0.35">
      <c r="A891" s="20" t="s">
        <v>86</v>
      </c>
      <c r="B891" s="20" t="s">
        <v>3342</v>
      </c>
      <c r="C891" s="21" t="s">
        <v>3055</v>
      </c>
      <c r="D891" s="22" t="s">
        <v>74</v>
      </c>
      <c r="E891" s="23">
        <v>45749.625520833331</v>
      </c>
      <c r="F891" s="10" t="str">
        <f>TEXT(events[[#This Row],[Start Date]],"DDD")</f>
        <v>Wed</v>
      </c>
      <c r="G891" s="10">
        <f>YEAR(events[[#This Row],[Start Date]])</f>
        <v>2025</v>
      </c>
      <c r="H891" s="10" t="str">
        <f>TEXT(events[[#This Row],[Start Date]],"mmm")</f>
        <v>Apr</v>
      </c>
      <c r="I891" s="10" t="str">
        <f>CONCATENATE("WK_",WEEKNUM(events[[#This Row],[Start Date]]))</f>
        <v>WK_14</v>
      </c>
      <c r="J891" s="23">
        <v>45749.625706018516</v>
      </c>
      <c r="K891" s="20">
        <v>82</v>
      </c>
      <c r="L891" s="20" t="s">
        <v>25</v>
      </c>
      <c r="M891" s="20" t="s">
        <v>353</v>
      </c>
      <c r="N891" s="24">
        <f t="shared" si="13"/>
        <v>0.26666666666666666</v>
      </c>
      <c r="O891" s="22" t="s">
        <v>92</v>
      </c>
      <c r="P891" s="22" t="s">
        <v>92</v>
      </c>
      <c r="Q891" s="22" t="s">
        <v>354</v>
      </c>
      <c r="R891" s="22" t="s">
        <v>354</v>
      </c>
      <c r="S891" s="22" t="s">
        <v>355</v>
      </c>
      <c r="T891" s="22" t="s">
        <v>356</v>
      </c>
      <c r="U891" s="15">
        <v>0.40600000000000003</v>
      </c>
      <c r="V891" s="17">
        <v>1</v>
      </c>
    </row>
    <row r="892" spans="1:22" ht="18" customHeight="1" x14ac:dyDescent="0.35">
      <c r="A892" s="20" t="s">
        <v>123</v>
      </c>
      <c r="B892" s="20" t="s">
        <v>3161</v>
      </c>
      <c r="C892" s="21" t="s">
        <v>2927</v>
      </c>
      <c r="D892" s="22" t="s">
        <v>74</v>
      </c>
      <c r="E892" s="23">
        <v>45749.475312499999</v>
      </c>
      <c r="F892" s="10" t="str">
        <f>TEXT(events[[#This Row],[Start Date]],"DDD")</f>
        <v>Wed</v>
      </c>
      <c r="G892" s="10">
        <f>YEAR(events[[#This Row],[Start Date]])</f>
        <v>2025</v>
      </c>
      <c r="H892" s="10" t="str">
        <f>TEXT(events[[#This Row],[Start Date]],"mmm")</f>
        <v>Apr</v>
      </c>
      <c r="I892" s="10" t="str">
        <f>CONCATENATE("WK_",WEEKNUM(events[[#This Row],[Start Date]]))</f>
        <v>WK_14</v>
      </c>
      <c r="J892" s="23">
        <v>45749.47556712963</v>
      </c>
      <c r="K892" s="20">
        <v>96</v>
      </c>
      <c r="L892" s="20" t="s">
        <v>25</v>
      </c>
      <c r="M892" s="20" t="s">
        <v>369</v>
      </c>
      <c r="N892" s="24">
        <f t="shared" si="13"/>
        <v>0.35</v>
      </c>
      <c r="O892" s="22"/>
      <c r="P892" s="22"/>
      <c r="Q892" s="22" t="s">
        <v>280</v>
      </c>
      <c r="R892" s="22" t="s">
        <v>370</v>
      </c>
      <c r="S892" s="22" t="s">
        <v>371</v>
      </c>
      <c r="T892" s="22" t="s">
        <v>372</v>
      </c>
      <c r="U892" s="15">
        <v>0.7</v>
      </c>
      <c r="V892" s="17">
        <v>1</v>
      </c>
    </row>
    <row r="893" spans="1:22" ht="18" customHeight="1" x14ac:dyDescent="0.35">
      <c r="A893" s="20" t="s">
        <v>23</v>
      </c>
      <c r="B893" s="20" t="s">
        <v>3226</v>
      </c>
      <c r="C893" s="21" t="s">
        <v>3081</v>
      </c>
      <c r="D893" s="22" t="s">
        <v>24</v>
      </c>
      <c r="E893" s="23">
        <v>45746.74386574074</v>
      </c>
      <c r="F893" s="10" t="str">
        <f>TEXT(events[[#This Row],[Start Date]],"DDD")</f>
        <v>Sun</v>
      </c>
      <c r="G893" s="10">
        <f>YEAR(events[[#This Row],[Start Date]])</f>
        <v>2025</v>
      </c>
      <c r="H893" s="10" t="str">
        <f>TEXT(events[[#This Row],[Start Date]],"mmm")</f>
        <v>Mar</v>
      </c>
      <c r="I893" s="10" t="str">
        <f>CONCATENATE("WK_",WEEKNUM(events[[#This Row],[Start Date]]))</f>
        <v>WK_14</v>
      </c>
      <c r="J893" s="23">
        <v>45746.744074074071</v>
      </c>
      <c r="K893" s="20">
        <v>57</v>
      </c>
      <c r="L893" s="20" t="s">
        <v>25</v>
      </c>
      <c r="M893" s="20" t="s">
        <v>120</v>
      </c>
      <c r="N893" s="24">
        <f t="shared" si="13"/>
        <v>0.3</v>
      </c>
      <c r="O893" s="22" t="s">
        <v>378</v>
      </c>
      <c r="P893" s="22" t="s">
        <v>378</v>
      </c>
      <c r="Q893" s="22" t="s">
        <v>379</v>
      </c>
      <c r="R893" s="22" t="s">
        <v>379</v>
      </c>
      <c r="S893" s="22" t="s">
        <v>380</v>
      </c>
      <c r="T893" s="22" t="s">
        <v>381</v>
      </c>
      <c r="U893" s="15">
        <v>0.312</v>
      </c>
      <c r="V893" s="17">
        <v>1</v>
      </c>
    </row>
    <row r="894" spans="1:22" ht="18" customHeight="1" x14ac:dyDescent="0.35">
      <c r="A894" s="20" t="s">
        <v>86</v>
      </c>
      <c r="B894" s="20" t="s">
        <v>3364</v>
      </c>
      <c r="C894" s="21" t="s">
        <v>3399</v>
      </c>
      <c r="D894" s="22" t="s">
        <v>74</v>
      </c>
      <c r="E894" s="23">
        <v>45745.847581018519</v>
      </c>
      <c r="F894" s="10" t="str">
        <f>TEXT(events[[#This Row],[Start Date]],"DDD")</f>
        <v>Sat</v>
      </c>
      <c r="G894" s="10">
        <f>YEAR(events[[#This Row],[Start Date]])</f>
        <v>2025</v>
      </c>
      <c r="H894" s="10" t="str">
        <f>TEXT(events[[#This Row],[Start Date]],"mmm")</f>
        <v>Mar</v>
      </c>
      <c r="I894" s="10" t="str">
        <f>CONCATENATE("WK_",WEEKNUM(events[[#This Row],[Start Date]]))</f>
        <v>WK_13</v>
      </c>
      <c r="J894" s="23">
        <v>45745.847592592596</v>
      </c>
      <c r="K894" s="20">
        <v>85</v>
      </c>
      <c r="L894" s="20" t="s">
        <v>25</v>
      </c>
      <c r="M894" s="20" t="s">
        <v>26</v>
      </c>
      <c r="N894" s="24">
        <f t="shared" si="13"/>
        <v>1.6666666666666666E-2</v>
      </c>
      <c r="O894" s="22" t="s">
        <v>38</v>
      </c>
      <c r="P894" s="22" t="s">
        <v>38</v>
      </c>
      <c r="Q894" s="22" t="s">
        <v>39</v>
      </c>
      <c r="R894" s="22" t="s">
        <v>39</v>
      </c>
      <c r="S894" s="22" t="s">
        <v>388</v>
      </c>
      <c r="T894" s="22" t="s">
        <v>389</v>
      </c>
      <c r="U894" s="15">
        <v>0.125</v>
      </c>
      <c r="V894" s="17">
        <v>1</v>
      </c>
    </row>
    <row r="895" spans="1:22" ht="18" customHeight="1" x14ac:dyDescent="0.35">
      <c r="A895" s="20" t="s">
        <v>86</v>
      </c>
      <c r="B895" s="20" t="s">
        <v>3351</v>
      </c>
      <c r="C895" s="21" t="s">
        <v>3152</v>
      </c>
      <c r="D895" s="22" t="s">
        <v>74</v>
      </c>
      <c r="E895" s="23">
        <v>45745.838310185187</v>
      </c>
      <c r="F895" s="10" t="str">
        <f>TEXT(events[[#This Row],[Start Date]],"DDD")</f>
        <v>Sat</v>
      </c>
      <c r="G895" s="10">
        <f>YEAR(events[[#This Row],[Start Date]])</f>
        <v>2025</v>
      </c>
      <c r="H895" s="10" t="str">
        <f>TEXT(events[[#This Row],[Start Date]],"mmm")</f>
        <v>Mar</v>
      </c>
      <c r="I895" s="10" t="str">
        <f>CONCATENATE("WK_",WEEKNUM(events[[#This Row],[Start Date]]))</f>
        <v>WK_13</v>
      </c>
      <c r="J895" s="23">
        <v>45745.838599537034</v>
      </c>
      <c r="K895" s="20">
        <v>92</v>
      </c>
      <c r="L895" s="20" t="s">
        <v>25</v>
      </c>
      <c r="M895" s="20" t="s">
        <v>128</v>
      </c>
      <c r="N895" s="24">
        <f t="shared" si="13"/>
        <v>0.41666666666666669</v>
      </c>
      <c r="O895" s="22" t="s">
        <v>27</v>
      </c>
      <c r="P895" s="22" t="s">
        <v>27</v>
      </c>
      <c r="Q895" s="22" t="s">
        <v>390</v>
      </c>
      <c r="R895" s="22" t="s">
        <v>391</v>
      </c>
      <c r="S895" s="22" t="s">
        <v>392</v>
      </c>
      <c r="T895" s="22" t="s">
        <v>393</v>
      </c>
      <c r="U895" s="15">
        <v>0.56200000000000006</v>
      </c>
      <c r="V895" s="17">
        <v>1</v>
      </c>
    </row>
    <row r="896" spans="1:22" ht="18" customHeight="1" x14ac:dyDescent="0.35">
      <c r="A896" s="10" t="s">
        <v>123</v>
      </c>
      <c r="B896" s="20" t="s">
        <v>3206</v>
      </c>
      <c r="C896" s="21" t="s">
        <v>2974</v>
      </c>
      <c r="D896" s="22" t="s">
        <v>74</v>
      </c>
      <c r="E896" s="23">
        <v>45745.755856481483</v>
      </c>
      <c r="F896" s="10" t="str">
        <f>TEXT(events[[#This Row],[Start Date]],"DDD")</f>
        <v>Sat</v>
      </c>
      <c r="G896" s="10">
        <f>YEAR(events[[#This Row],[Start Date]])</f>
        <v>2025</v>
      </c>
      <c r="H896" s="10" t="str">
        <f>TEXT(events[[#This Row],[Start Date]],"mmm")</f>
        <v>Mar</v>
      </c>
      <c r="I896" s="10" t="str">
        <f>CONCATENATE("WK_",WEEKNUM(events[[#This Row],[Start Date]]))</f>
        <v>WK_13</v>
      </c>
      <c r="J896" s="23">
        <v>45745.756377314814</v>
      </c>
      <c r="K896" s="20">
        <v>91</v>
      </c>
      <c r="L896" s="20" t="s">
        <v>25</v>
      </c>
      <c r="M896" s="20" t="s">
        <v>403</v>
      </c>
      <c r="N896" s="24">
        <f t="shared" si="13"/>
        <v>0.73333333333333328</v>
      </c>
      <c r="O896" s="22"/>
      <c r="P896" s="22"/>
      <c r="Q896" s="22" t="s">
        <v>404</v>
      </c>
      <c r="R896" s="22" t="s">
        <v>405</v>
      </c>
      <c r="S896" s="22" t="s">
        <v>406</v>
      </c>
      <c r="T896" s="22" t="s">
        <v>407</v>
      </c>
      <c r="U896" s="15">
        <v>1.1000000000000001</v>
      </c>
      <c r="V896" s="17">
        <v>1</v>
      </c>
    </row>
    <row r="897" spans="1:22" ht="18" customHeight="1" x14ac:dyDescent="0.35">
      <c r="A897" s="20" t="s">
        <v>47</v>
      </c>
      <c r="B897" s="20" t="s">
        <v>3365</v>
      </c>
      <c r="C897" s="21" t="s">
        <v>3400</v>
      </c>
      <c r="D897" s="22" t="s">
        <v>24</v>
      </c>
      <c r="E897" s="23">
        <v>45745.250972222224</v>
      </c>
      <c r="F897" s="10" t="str">
        <f>TEXT(events[[#This Row],[Start Date]],"DDD")</f>
        <v>Sat</v>
      </c>
      <c r="G897" s="10">
        <f>YEAR(events[[#This Row],[Start Date]])</f>
        <v>2025</v>
      </c>
      <c r="H897" s="10" t="str">
        <f>TEXT(events[[#This Row],[Start Date]],"mmm")</f>
        <v>Mar</v>
      </c>
      <c r="I897" s="10" t="str">
        <f>CONCATENATE("WK_",WEEKNUM(events[[#This Row],[Start Date]]))</f>
        <v>WK_13</v>
      </c>
      <c r="J897" s="23">
        <v>45745.250972222224</v>
      </c>
      <c r="K897" s="20">
        <v>31</v>
      </c>
      <c r="L897" s="20" t="s">
        <v>25</v>
      </c>
      <c r="M897" s="20" t="s">
        <v>87</v>
      </c>
      <c r="N897" s="24">
        <f t="shared" si="13"/>
        <v>0</v>
      </c>
      <c r="O897" s="22" t="s">
        <v>92</v>
      </c>
      <c r="P897" s="22" t="s">
        <v>92</v>
      </c>
      <c r="Q897" s="22" t="s">
        <v>335</v>
      </c>
      <c r="R897" s="22" t="s">
        <v>335</v>
      </c>
      <c r="S897" s="22" t="s">
        <v>385</v>
      </c>
      <c r="T897" s="22" t="s">
        <v>385</v>
      </c>
      <c r="U897" s="15">
        <v>0</v>
      </c>
      <c r="V897" s="17">
        <v>1</v>
      </c>
    </row>
    <row r="898" spans="1:22" ht="18" customHeight="1" x14ac:dyDescent="0.35">
      <c r="A898" s="20" t="s">
        <v>86</v>
      </c>
      <c r="B898" s="20" t="s">
        <v>3224</v>
      </c>
      <c r="C898" s="21" t="s">
        <v>3059</v>
      </c>
      <c r="D898" s="22" t="s">
        <v>74</v>
      </c>
      <c r="E898" s="23">
        <v>45744.682650462964</v>
      </c>
      <c r="F898" s="10" t="str">
        <f>TEXT(events[[#This Row],[Start Date]],"DDD")</f>
        <v>Fri</v>
      </c>
      <c r="G898" s="10">
        <f>YEAR(events[[#This Row],[Start Date]])</f>
        <v>2025</v>
      </c>
      <c r="H898" s="10" t="str">
        <f>TEXT(events[[#This Row],[Start Date]],"mmm")</f>
        <v>Mar</v>
      </c>
      <c r="I898" s="10" t="str">
        <f>CONCATENATE("WK_",WEEKNUM(events[[#This Row],[Start Date]]))</f>
        <v>WK_13</v>
      </c>
      <c r="J898" s="23">
        <v>45744.682696759257</v>
      </c>
      <c r="K898" s="20">
        <v>82</v>
      </c>
      <c r="L898" s="20" t="s">
        <v>25</v>
      </c>
      <c r="M898" s="20" t="s">
        <v>275</v>
      </c>
      <c r="N898" s="24">
        <f t="shared" ref="N898:N961" si="14">HOUR(M898)*60+MINUTE(M898)+SECOND(M898)/60</f>
        <v>6.6666666666666666E-2</v>
      </c>
      <c r="O898" s="22" t="s">
        <v>50</v>
      </c>
      <c r="P898" s="22" t="s">
        <v>50</v>
      </c>
      <c r="Q898" s="22" t="s">
        <v>112</v>
      </c>
      <c r="R898" s="22" t="s">
        <v>112</v>
      </c>
      <c r="S898" s="22" t="s">
        <v>386</v>
      </c>
      <c r="T898" s="22" t="s">
        <v>387</v>
      </c>
      <c r="U898" s="15">
        <v>9.4E-2</v>
      </c>
      <c r="V898" s="17">
        <v>1</v>
      </c>
    </row>
    <row r="899" spans="1:22" ht="18" customHeight="1" x14ac:dyDescent="0.35">
      <c r="A899" s="10" t="s">
        <v>123</v>
      </c>
      <c r="B899" s="20" t="s">
        <v>3198</v>
      </c>
      <c r="C899" s="21" t="s">
        <v>2965</v>
      </c>
      <c r="D899" s="22" t="s">
        <v>74</v>
      </c>
      <c r="E899" s="23">
        <v>45744.02144675926</v>
      </c>
      <c r="F899" s="10" t="str">
        <f>TEXT(events[[#This Row],[Start Date]],"DDD")</f>
        <v>Fri</v>
      </c>
      <c r="G899" s="10">
        <f>YEAR(events[[#This Row],[Start Date]])</f>
        <v>2025</v>
      </c>
      <c r="H899" s="10" t="str">
        <f>TEXT(events[[#This Row],[Start Date]],"mmm")</f>
        <v>Mar</v>
      </c>
      <c r="I899" s="10" t="str">
        <f>CONCATENATE("WK_",WEEKNUM(events[[#This Row],[Start Date]]))</f>
        <v>WK_13</v>
      </c>
      <c r="J899" s="23">
        <v>45744.021631944444</v>
      </c>
      <c r="K899" s="20">
        <v>84</v>
      </c>
      <c r="L899" s="20" t="s">
        <v>25</v>
      </c>
      <c r="M899" s="20" t="s">
        <v>394</v>
      </c>
      <c r="N899" s="24">
        <f t="shared" si="14"/>
        <v>0.25</v>
      </c>
      <c r="O899" s="22"/>
      <c r="P899" s="22"/>
      <c r="Q899" s="22" t="s">
        <v>395</v>
      </c>
      <c r="R899" s="22" t="s">
        <v>395</v>
      </c>
      <c r="S899" s="22" t="s">
        <v>396</v>
      </c>
      <c r="T899" s="22" t="s">
        <v>397</v>
      </c>
      <c r="U899" s="15">
        <v>0.5</v>
      </c>
      <c r="V899" s="17">
        <v>1</v>
      </c>
    </row>
    <row r="900" spans="1:22" ht="18" customHeight="1" x14ac:dyDescent="0.35">
      <c r="A900" s="20" t="s">
        <v>47</v>
      </c>
      <c r="B900" s="20" t="s">
        <v>3216</v>
      </c>
      <c r="C900" s="21" t="s">
        <v>3140</v>
      </c>
      <c r="D900" s="22" t="s">
        <v>24</v>
      </c>
      <c r="E900" s="23">
        <v>45743.641793981478</v>
      </c>
      <c r="F900" s="10" t="str">
        <f>TEXT(events[[#This Row],[Start Date]],"DDD")</f>
        <v>Thu</v>
      </c>
      <c r="G900" s="10">
        <f>YEAR(events[[#This Row],[Start Date]])</f>
        <v>2025</v>
      </c>
      <c r="H900" s="10" t="str">
        <f>TEXT(events[[#This Row],[Start Date]],"mmm")</f>
        <v>Mar</v>
      </c>
      <c r="I900" s="10" t="str">
        <f>CONCATENATE("WK_",WEEKNUM(events[[#This Row],[Start Date]]))</f>
        <v>WK_13</v>
      </c>
      <c r="J900" s="23">
        <v>45743.641805555555</v>
      </c>
      <c r="K900" s="20">
        <v>41</v>
      </c>
      <c r="L900" s="20" t="s">
        <v>25</v>
      </c>
      <c r="M900" s="20" t="s">
        <v>26</v>
      </c>
      <c r="N900" s="24">
        <f t="shared" si="14"/>
        <v>1.6666666666666666E-2</v>
      </c>
      <c r="O900" s="22" t="s">
        <v>231</v>
      </c>
      <c r="P900" s="22" t="s">
        <v>231</v>
      </c>
      <c r="Q900" s="22" t="s">
        <v>382</v>
      </c>
      <c r="R900" s="22" t="s">
        <v>382</v>
      </c>
      <c r="S900" s="22" t="s">
        <v>383</v>
      </c>
      <c r="T900" s="22" t="s">
        <v>384</v>
      </c>
      <c r="U900" s="15">
        <v>0</v>
      </c>
      <c r="V900" s="17">
        <v>1</v>
      </c>
    </row>
    <row r="901" spans="1:22" ht="18" customHeight="1" x14ac:dyDescent="0.35">
      <c r="A901" s="10" t="s">
        <v>123</v>
      </c>
      <c r="B901" s="20" t="s">
        <v>3291</v>
      </c>
      <c r="C901" s="21" t="s">
        <v>3077</v>
      </c>
      <c r="D901" s="22" t="s">
        <v>74</v>
      </c>
      <c r="E901" s="23">
        <v>45742.404629629629</v>
      </c>
      <c r="F901" s="10" t="str">
        <f>TEXT(events[[#This Row],[Start Date]],"DDD")</f>
        <v>Wed</v>
      </c>
      <c r="G901" s="10">
        <f>YEAR(events[[#This Row],[Start Date]])</f>
        <v>2025</v>
      </c>
      <c r="H901" s="10" t="str">
        <f>TEXT(events[[#This Row],[Start Date]],"mmm")</f>
        <v>Mar</v>
      </c>
      <c r="I901" s="10" t="str">
        <f>CONCATENATE("WK_",WEEKNUM(events[[#This Row],[Start Date]]))</f>
        <v>WK_13</v>
      </c>
      <c r="J901" s="23">
        <v>45742.406238425923</v>
      </c>
      <c r="K901" s="20">
        <v>103</v>
      </c>
      <c r="L901" s="20" t="s">
        <v>25</v>
      </c>
      <c r="M901" s="20" t="s">
        <v>398</v>
      </c>
      <c r="N901" s="24">
        <f t="shared" si="14"/>
        <v>2.2999999999999998</v>
      </c>
      <c r="O901" s="22"/>
      <c r="P901" s="22"/>
      <c r="Q901" s="22" t="s">
        <v>399</v>
      </c>
      <c r="R901" s="22" t="s">
        <v>400</v>
      </c>
      <c r="S901" s="22" t="s">
        <v>401</v>
      </c>
      <c r="T901" s="22" t="s">
        <v>402</v>
      </c>
      <c r="U901" s="15">
        <v>3.2</v>
      </c>
      <c r="V901" s="17">
        <v>1</v>
      </c>
    </row>
    <row r="902" spans="1:22" ht="18" customHeight="1" x14ac:dyDescent="0.35">
      <c r="A902" s="10" t="s">
        <v>123</v>
      </c>
      <c r="B902" s="20" t="s">
        <v>3230</v>
      </c>
      <c r="C902" s="21" t="s">
        <v>2997</v>
      </c>
      <c r="D902" s="22" t="s">
        <v>74</v>
      </c>
      <c r="E902" s="23">
        <v>45741.247939814813</v>
      </c>
      <c r="F902" s="10" t="str">
        <f>TEXT(events[[#This Row],[Start Date]],"DDD")</f>
        <v>Tue</v>
      </c>
      <c r="G902" s="10">
        <f>YEAR(events[[#This Row],[Start Date]])</f>
        <v>2025</v>
      </c>
      <c r="H902" s="10" t="str">
        <f>TEXT(events[[#This Row],[Start Date]],"mmm")</f>
        <v>Mar</v>
      </c>
      <c r="I902" s="10" t="str">
        <f>CONCATENATE("WK_",WEEKNUM(events[[#This Row],[Start Date]]))</f>
        <v>WK_13</v>
      </c>
      <c r="J902" s="23">
        <v>45741.24931712963</v>
      </c>
      <c r="K902" s="20">
        <v>92</v>
      </c>
      <c r="L902" s="20" t="s">
        <v>25</v>
      </c>
      <c r="M902" s="20" t="s">
        <v>408</v>
      </c>
      <c r="N902" s="24">
        <f t="shared" si="14"/>
        <v>1.9666666666666668</v>
      </c>
      <c r="O902" s="22"/>
      <c r="P902" s="22"/>
      <c r="Q902" s="22" t="s">
        <v>409</v>
      </c>
      <c r="R902" s="22" t="s">
        <v>409</v>
      </c>
      <c r="S902" s="22" t="s">
        <v>410</v>
      </c>
      <c r="T902" s="22" t="s">
        <v>411</v>
      </c>
      <c r="U902" s="15">
        <v>2.9</v>
      </c>
      <c r="V902" s="17">
        <v>1</v>
      </c>
    </row>
    <row r="903" spans="1:22" ht="18" customHeight="1" x14ac:dyDescent="0.35">
      <c r="A903" s="10" t="s">
        <v>86</v>
      </c>
      <c r="B903" s="10" t="s">
        <v>3366</v>
      </c>
      <c r="C903" s="18" t="s">
        <v>3152</v>
      </c>
      <c r="D903" s="14" t="s">
        <v>74</v>
      </c>
      <c r="E903" s="12">
        <v>45740.837557870371</v>
      </c>
      <c r="F903" s="10" t="str">
        <f>TEXT(events[[#This Row],[Start Date]],"DDD")</f>
        <v>Mon</v>
      </c>
      <c r="G903" s="10">
        <f>YEAR(events[[#This Row],[Start Date]])</f>
        <v>2025</v>
      </c>
      <c r="H903" s="10" t="str">
        <f>TEXT(events[[#This Row],[Start Date]],"mmm")</f>
        <v>Mar</v>
      </c>
      <c r="I903" s="10" t="str">
        <f>CONCATENATE("WK_",WEEKNUM(events[[#This Row],[Start Date]]))</f>
        <v>WK_13</v>
      </c>
      <c r="J903" s="12">
        <v>45740.837650462963</v>
      </c>
      <c r="K903" s="10">
        <v>86</v>
      </c>
      <c r="L903" s="10" t="s">
        <v>25</v>
      </c>
      <c r="M903" s="10" t="s">
        <v>357</v>
      </c>
      <c r="N903" s="13">
        <f t="shared" si="14"/>
        <v>0.13333333333333333</v>
      </c>
      <c r="O903" s="14" t="s">
        <v>65</v>
      </c>
      <c r="P903" s="14" t="s">
        <v>65</v>
      </c>
      <c r="Q903" s="14" t="s">
        <v>97</v>
      </c>
      <c r="R903" s="14" t="s">
        <v>79</v>
      </c>
      <c r="S903" s="14" t="s">
        <v>427</v>
      </c>
      <c r="T903" s="14" t="s">
        <v>428</v>
      </c>
      <c r="U903" s="10">
        <v>0.312</v>
      </c>
      <c r="V903" s="17">
        <v>1</v>
      </c>
    </row>
    <row r="904" spans="1:22" ht="18" customHeight="1" x14ac:dyDescent="0.35">
      <c r="A904" s="10" t="s">
        <v>123</v>
      </c>
      <c r="B904" s="10" t="s">
        <v>3367</v>
      </c>
      <c r="C904" s="18" t="s">
        <v>3401</v>
      </c>
      <c r="D904" s="14" t="s">
        <v>74</v>
      </c>
      <c r="E904" s="12">
        <v>45740.61178240741</v>
      </c>
      <c r="F904" s="10" t="str">
        <f>TEXT(events[[#This Row],[Start Date]],"DDD")</f>
        <v>Mon</v>
      </c>
      <c r="G904" s="10">
        <f>YEAR(events[[#This Row],[Start Date]])</f>
        <v>2025</v>
      </c>
      <c r="H904" s="10" t="str">
        <f>TEXT(events[[#This Row],[Start Date]],"mmm")</f>
        <v>Mar</v>
      </c>
      <c r="I904" s="10" t="str">
        <f>CONCATENATE("WK_",WEEKNUM(events[[#This Row],[Start Date]]))</f>
        <v>WK_13</v>
      </c>
      <c r="J904" s="12">
        <v>45740.612696759257</v>
      </c>
      <c r="K904" s="10">
        <v>90</v>
      </c>
      <c r="L904" s="10" t="s">
        <v>25</v>
      </c>
      <c r="M904" s="10" t="s">
        <v>454</v>
      </c>
      <c r="N904" s="13">
        <f t="shared" si="14"/>
        <v>1.3</v>
      </c>
      <c r="O904" s="14"/>
      <c r="P904" s="14"/>
      <c r="Q904" s="14" t="s">
        <v>455</v>
      </c>
      <c r="R904" s="14" t="s">
        <v>455</v>
      </c>
      <c r="S904" s="14" t="s">
        <v>456</v>
      </c>
      <c r="T904" s="14" t="s">
        <v>457</v>
      </c>
      <c r="U904" s="10">
        <v>1.9</v>
      </c>
      <c r="V904" s="17">
        <v>1</v>
      </c>
    </row>
    <row r="905" spans="1:22" ht="18" customHeight="1" x14ac:dyDescent="0.35">
      <c r="A905" s="10" t="s">
        <v>86</v>
      </c>
      <c r="B905" s="10" t="s">
        <v>3366</v>
      </c>
      <c r="C905" s="18" t="s">
        <v>3152</v>
      </c>
      <c r="D905" s="14" t="s">
        <v>74</v>
      </c>
      <c r="E905" s="12">
        <v>45740.49759259259</v>
      </c>
      <c r="F905" s="10" t="str">
        <f>TEXT(events[[#This Row],[Start Date]],"DDD")</f>
        <v>Mon</v>
      </c>
      <c r="G905" s="10">
        <f>YEAR(events[[#This Row],[Start Date]])</f>
        <v>2025</v>
      </c>
      <c r="H905" s="10" t="str">
        <f>TEXT(events[[#This Row],[Start Date]],"mmm")</f>
        <v>Mar</v>
      </c>
      <c r="I905" s="10" t="str">
        <f>CONCATENATE("WK_",WEEKNUM(events[[#This Row],[Start Date]]))</f>
        <v>WK_13</v>
      </c>
      <c r="J905" s="12">
        <v>45740.49763888889</v>
      </c>
      <c r="K905" s="10">
        <v>83</v>
      </c>
      <c r="L905" s="10" t="s">
        <v>25</v>
      </c>
      <c r="M905" s="10" t="s">
        <v>275</v>
      </c>
      <c r="N905" s="13">
        <f t="shared" si="14"/>
        <v>6.6666666666666666E-2</v>
      </c>
      <c r="O905" s="14" t="s">
        <v>65</v>
      </c>
      <c r="P905" s="14" t="s">
        <v>65</v>
      </c>
      <c r="Q905" s="14" t="s">
        <v>66</v>
      </c>
      <c r="R905" s="14" t="s">
        <v>66</v>
      </c>
      <c r="S905" s="14" t="s">
        <v>425</v>
      </c>
      <c r="T905" s="14" t="s">
        <v>426</v>
      </c>
      <c r="U905" s="10">
        <v>0.125</v>
      </c>
      <c r="V905" s="17">
        <v>1</v>
      </c>
    </row>
    <row r="906" spans="1:22" ht="18" customHeight="1" x14ac:dyDescent="0.35">
      <c r="A906" s="10" t="s">
        <v>86</v>
      </c>
      <c r="B906" s="10" t="s">
        <v>3366</v>
      </c>
      <c r="C906" s="18" t="s">
        <v>3152</v>
      </c>
      <c r="D906" s="14" t="s">
        <v>74</v>
      </c>
      <c r="E906" s="12">
        <v>45740.495196759257</v>
      </c>
      <c r="F906" s="10" t="str">
        <f>TEXT(events[[#This Row],[Start Date]],"DDD")</f>
        <v>Mon</v>
      </c>
      <c r="G906" s="10">
        <f>YEAR(events[[#This Row],[Start Date]])</f>
        <v>2025</v>
      </c>
      <c r="H906" s="10" t="str">
        <f>TEXT(events[[#This Row],[Start Date]],"mmm")</f>
        <v>Mar</v>
      </c>
      <c r="I906" s="10" t="str">
        <f>CONCATENATE("WK_",WEEKNUM(events[[#This Row],[Start Date]]))</f>
        <v>WK_13</v>
      </c>
      <c r="J906" s="12">
        <v>45740.495358796295</v>
      </c>
      <c r="K906" s="10">
        <v>90</v>
      </c>
      <c r="L906" s="10" t="s">
        <v>25</v>
      </c>
      <c r="M906" s="10" t="s">
        <v>418</v>
      </c>
      <c r="N906" s="13">
        <f t="shared" si="14"/>
        <v>0.23333333333333334</v>
      </c>
      <c r="O906" s="14" t="s">
        <v>138</v>
      </c>
      <c r="P906" s="14" t="s">
        <v>138</v>
      </c>
      <c r="Q906" s="14" t="s">
        <v>245</v>
      </c>
      <c r="R906" s="14" t="s">
        <v>422</v>
      </c>
      <c r="S906" s="14" t="s">
        <v>423</v>
      </c>
      <c r="T906" s="14" t="s">
        <v>424</v>
      </c>
      <c r="U906" s="10">
        <v>0.438</v>
      </c>
      <c r="V906" s="17">
        <v>1</v>
      </c>
    </row>
    <row r="907" spans="1:22" ht="18" customHeight="1" x14ac:dyDescent="0.35">
      <c r="A907" s="10" t="s">
        <v>86</v>
      </c>
      <c r="B907" s="10" t="s">
        <v>3366</v>
      </c>
      <c r="C907" s="18" t="s">
        <v>3152</v>
      </c>
      <c r="D907" s="14" t="s">
        <v>74</v>
      </c>
      <c r="E907" s="12">
        <v>45740.42701388889</v>
      </c>
      <c r="F907" s="10" t="str">
        <f>TEXT(events[[#This Row],[Start Date]],"DDD")</f>
        <v>Mon</v>
      </c>
      <c r="G907" s="10">
        <f>YEAR(events[[#This Row],[Start Date]])</f>
        <v>2025</v>
      </c>
      <c r="H907" s="10" t="str">
        <f>TEXT(events[[#This Row],[Start Date]],"mmm")</f>
        <v>Mar</v>
      </c>
      <c r="I907" s="10" t="str">
        <f>CONCATENATE("WK_",WEEKNUM(events[[#This Row],[Start Date]]))</f>
        <v>WK_13</v>
      </c>
      <c r="J907" s="12">
        <v>45740.427175925928</v>
      </c>
      <c r="K907" s="10">
        <v>87</v>
      </c>
      <c r="L907" s="10" t="s">
        <v>25</v>
      </c>
      <c r="M907" s="10" t="s">
        <v>418</v>
      </c>
      <c r="N907" s="13">
        <f t="shared" si="14"/>
        <v>0.23333333333333334</v>
      </c>
      <c r="O907" s="14" t="s">
        <v>92</v>
      </c>
      <c r="P907" s="14" t="s">
        <v>92</v>
      </c>
      <c r="Q907" s="14" t="s">
        <v>419</v>
      </c>
      <c r="R907" s="14" t="s">
        <v>419</v>
      </c>
      <c r="S907" s="14" t="s">
        <v>420</v>
      </c>
      <c r="T907" s="14" t="s">
        <v>421</v>
      </c>
      <c r="U907" s="10">
        <v>0.438</v>
      </c>
      <c r="V907" s="17">
        <v>1</v>
      </c>
    </row>
    <row r="908" spans="1:22" ht="18" customHeight="1" x14ac:dyDescent="0.35">
      <c r="A908" s="10" t="s">
        <v>86</v>
      </c>
      <c r="B908" s="10" t="s">
        <v>3368</v>
      </c>
      <c r="C908" s="18" t="s">
        <v>3402</v>
      </c>
      <c r="D908" s="14" t="s">
        <v>74</v>
      </c>
      <c r="E908" s="12">
        <v>45740.390381944446</v>
      </c>
      <c r="F908" s="10" t="str">
        <f>TEXT(events[[#This Row],[Start Date]],"DDD")</f>
        <v>Mon</v>
      </c>
      <c r="G908" s="10">
        <f>YEAR(events[[#This Row],[Start Date]])</f>
        <v>2025</v>
      </c>
      <c r="H908" s="10" t="str">
        <f>TEXT(events[[#This Row],[Start Date]],"mmm")</f>
        <v>Mar</v>
      </c>
      <c r="I908" s="10" t="str">
        <f>CONCATENATE("WK_",WEEKNUM(events[[#This Row],[Start Date]]))</f>
        <v>WK_13</v>
      </c>
      <c r="J908" s="12">
        <v>45740.390439814815</v>
      </c>
      <c r="K908" s="10">
        <v>81</v>
      </c>
      <c r="L908" s="10" t="s">
        <v>25</v>
      </c>
      <c r="M908" s="10" t="s">
        <v>431</v>
      </c>
      <c r="N908" s="13">
        <f t="shared" si="14"/>
        <v>8.3333333333333329E-2</v>
      </c>
      <c r="O908" s="14" t="s">
        <v>138</v>
      </c>
      <c r="P908" s="14" t="s">
        <v>138</v>
      </c>
      <c r="Q908" s="14" t="s">
        <v>245</v>
      </c>
      <c r="R908" s="14" t="s">
        <v>245</v>
      </c>
      <c r="S908" s="14" t="s">
        <v>432</v>
      </c>
      <c r="T908" s="14" t="s">
        <v>433</v>
      </c>
      <c r="U908" s="10">
        <v>0.125</v>
      </c>
      <c r="V908" s="17">
        <v>1</v>
      </c>
    </row>
    <row r="909" spans="1:22" ht="18" customHeight="1" x14ac:dyDescent="0.35">
      <c r="A909" s="10" t="s">
        <v>86</v>
      </c>
      <c r="B909" s="10" t="s">
        <v>3368</v>
      </c>
      <c r="C909" s="18" t="s">
        <v>3402</v>
      </c>
      <c r="D909" s="14" t="s">
        <v>74</v>
      </c>
      <c r="E909" s="12">
        <v>45740.332106481481</v>
      </c>
      <c r="F909" s="10" t="str">
        <f>TEXT(events[[#This Row],[Start Date]],"DDD")</f>
        <v>Mon</v>
      </c>
      <c r="G909" s="10">
        <f>YEAR(events[[#This Row],[Start Date]])</f>
        <v>2025</v>
      </c>
      <c r="H909" s="10" t="str">
        <f>TEXT(events[[#This Row],[Start Date]],"mmm")</f>
        <v>Mar</v>
      </c>
      <c r="I909" s="10" t="str">
        <f>CONCATENATE("WK_",WEEKNUM(events[[#This Row],[Start Date]]))</f>
        <v>WK_13</v>
      </c>
      <c r="J909" s="12">
        <v>45740.332129629627</v>
      </c>
      <c r="K909" s="10">
        <v>81</v>
      </c>
      <c r="L909" s="10" t="s">
        <v>25</v>
      </c>
      <c r="M909" s="10" t="s">
        <v>31</v>
      </c>
      <c r="N909" s="13">
        <f t="shared" si="14"/>
        <v>3.3333333333333333E-2</v>
      </c>
      <c r="O909" s="14" t="s">
        <v>92</v>
      </c>
      <c r="P909" s="14" t="s">
        <v>92</v>
      </c>
      <c r="Q909" s="14" t="s">
        <v>419</v>
      </c>
      <c r="R909" s="14" t="s">
        <v>419</v>
      </c>
      <c r="S909" s="14" t="s">
        <v>429</v>
      </c>
      <c r="T909" s="14" t="s">
        <v>430</v>
      </c>
      <c r="U909" s="10">
        <v>0.125</v>
      </c>
      <c r="V909" s="17">
        <v>1</v>
      </c>
    </row>
    <row r="910" spans="1:22" ht="18" customHeight="1" x14ac:dyDescent="0.35">
      <c r="A910" s="10" t="s">
        <v>123</v>
      </c>
      <c r="B910" s="10" t="s">
        <v>3184</v>
      </c>
      <c r="C910" s="18" t="s">
        <v>2951</v>
      </c>
      <c r="D910" s="14" t="s">
        <v>74</v>
      </c>
      <c r="E910" s="12">
        <v>45739.541296296295</v>
      </c>
      <c r="F910" s="10" t="str">
        <f>TEXT(events[[#This Row],[Start Date]],"DDD")</f>
        <v>Sun</v>
      </c>
      <c r="G910" s="10">
        <f>YEAR(events[[#This Row],[Start Date]])</f>
        <v>2025</v>
      </c>
      <c r="H910" s="10" t="str">
        <f>TEXT(events[[#This Row],[Start Date]],"mmm")</f>
        <v>Mar</v>
      </c>
      <c r="I910" s="10" t="str">
        <f>CONCATENATE("WK_",WEEKNUM(events[[#This Row],[Start Date]]))</f>
        <v>WK_13</v>
      </c>
      <c r="J910" s="12">
        <v>45739.54184027778</v>
      </c>
      <c r="K910" s="10">
        <v>85</v>
      </c>
      <c r="L910" s="10" t="s">
        <v>25</v>
      </c>
      <c r="M910" s="10" t="s">
        <v>450</v>
      </c>
      <c r="N910" s="13">
        <f t="shared" si="14"/>
        <v>0.78333333333333333</v>
      </c>
      <c r="O910" s="14"/>
      <c r="P910" s="14"/>
      <c r="Q910" s="14" t="s">
        <v>451</v>
      </c>
      <c r="R910" s="14" t="s">
        <v>451</v>
      </c>
      <c r="S910" s="14" t="s">
        <v>452</v>
      </c>
      <c r="T910" s="14" t="s">
        <v>453</v>
      </c>
      <c r="U910" s="10">
        <v>1.2</v>
      </c>
      <c r="V910" s="17">
        <v>1</v>
      </c>
    </row>
    <row r="911" spans="1:22" ht="18" customHeight="1" x14ac:dyDescent="0.35">
      <c r="A911" s="10" t="s">
        <v>47</v>
      </c>
      <c r="B911" s="10" t="s">
        <v>3321</v>
      </c>
      <c r="C911" s="18" t="s">
        <v>3110</v>
      </c>
      <c r="D911" s="14" t="s">
        <v>82</v>
      </c>
      <c r="E911" s="12">
        <v>45739.245671296296</v>
      </c>
      <c r="F911" s="10" t="str">
        <f>TEXT(events[[#This Row],[Start Date]],"DDD")</f>
        <v>Sun</v>
      </c>
      <c r="G911" s="10">
        <f>YEAR(events[[#This Row],[Start Date]])</f>
        <v>2025</v>
      </c>
      <c r="H911" s="10" t="str">
        <f>TEXT(events[[#This Row],[Start Date]],"mmm")</f>
        <v>Mar</v>
      </c>
      <c r="I911" s="10" t="str">
        <f>CONCATENATE("WK_",WEEKNUM(events[[#This Row],[Start Date]]))</f>
        <v>WK_13</v>
      </c>
      <c r="J911" s="12">
        <v>45739.245682870373</v>
      </c>
      <c r="K911" s="10">
        <v>16</v>
      </c>
      <c r="L911" s="10" t="s">
        <v>83</v>
      </c>
      <c r="M911" s="10" t="s">
        <v>26</v>
      </c>
      <c r="N911" s="13">
        <f t="shared" si="14"/>
        <v>1.6666666666666666E-2</v>
      </c>
      <c r="O911" s="14" t="s">
        <v>209</v>
      </c>
      <c r="P911" s="14"/>
      <c r="Q911" s="14" t="s">
        <v>412</v>
      </c>
      <c r="R911" s="14"/>
      <c r="S911" s="14" t="s">
        <v>413</v>
      </c>
      <c r="T911" s="14"/>
      <c r="U911" s="10">
        <v>0</v>
      </c>
      <c r="V911" s="17">
        <v>1</v>
      </c>
    </row>
    <row r="912" spans="1:22" ht="18" customHeight="1" x14ac:dyDescent="0.35">
      <c r="A912" s="10" t="s">
        <v>86</v>
      </c>
      <c r="B912" s="10" t="s">
        <v>3366</v>
      </c>
      <c r="C912" s="18" t="s">
        <v>3152</v>
      </c>
      <c r="D912" s="14" t="s">
        <v>74</v>
      </c>
      <c r="E912" s="12">
        <v>45738.756157407406</v>
      </c>
      <c r="F912" s="10" t="str">
        <f>TEXT(events[[#This Row],[Start Date]],"DDD")</f>
        <v>Sat</v>
      </c>
      <c r="G912" s="10">
        <f>YEAR(events[[#This Row],[Start Date]])</f>
        <v>2025</v>
      </c>
      <c r="H912" s="10" t="str">
        <f>TEXT(events[[#This Row],[Start Date]],"mmm")</f>
        <v>Mar</v>
      </c>
      <c r="I912" s="10" t="str">
        <f>CONCATENATE("WK_",WEEKNUM(events[[#This Row],[Start Date]]))</f>
        <v>WK_12</v>
      </c>
      <c r="J912" s="12">
        <v>45738.756203703706</v>
      </c>
      <c r="K912" s="10">
        <v>87</v>
      </c>
      <c r="L912" s="10" t="s">
        <v>25</v>
      </c>
      <c r="M912" s="10" t="s">
        <v>275</v>
      </c>
      <c r="N912" s="13">
        <f t="shared" si="14"/>
        <v>6.6666666666666666E-2</v>
      </c>
      <c r="O912" s="14" t="s">
        <v>50</v>
      </c>
      <c r="P912" s="14" t="s">
        <v>50</v>
      </c>
      <c r="Q912" s="14" t="s">
        <v>112</v>
      </c>
      <c r="R912" s="14" t="s">
        <v>112</v>
      </c>
      <c r="S912" s="14" t="s">
        <v>417</v>
      </c>
      <c r="T912" s="14" t="s">
        <v>387</v>
      </c>
      <c r="U912" s="10">
        <v>6.2E-2</v>
      </c>
      <c r="V912" s="17">
        <v>1</v>
      </c>
    </row>
    <row r="913" spans="1:22" ht="18" customHeight="1" x14ac:dyDescent="0.35">
      <c r="A913" s="10" t="s">
        <v>123</v>
      </c>
      <c r="B913" s="10" t="s">
        <v>3369</v>
      </c>
      <c r="C913" s="18" t="s">
        <v>3403</v>
      </c>
      <c r="D913" s="14" t="s">
        <v>74</v>
      </c>
      <c r="E913" s="12">
        <v>45738.459050925929</v>
      </c>
      <c r="F913" s="10" t="str">
        <f>TEXT(events[[#This Row],[Start Date]],"DDD")</f>
        <v>Sat</v>
      </c>
      <c r="G913" s="10">
        <f>YEAR(events[[#This Row],[Start Date]])</f>
        <v>2025</v>
      </c>
      <c r="H913" s="10" t="str">
        <f>TEXT(events[[#This Row],[Start Date]],"mmm")</f>
        <v>Mar</v>
      </c>
      <c r="I913" s="10" t="str">
        <f>CONCATENATE("WK_",WEEKNUM(events[[#This Row],[Start Date]]))</f>
        <v>WK_12</v>
      </c>
      <c r="J913" s="12">
        <v>45738.459456018521</v>
      </c>
      <c r="K913" s="10">
        <v>88</v>
      </c>
      <c r="L913" s="10" t="s">
        <v>25</v>
      </c>
      <c r="M913" s="10" t="s">
        <v>215</v>
      </c>
      <c r="N913" s="13">
        <f t="shared" si="14"/>
        <v>0.58333333333333337</v>
      </c>
      <c r="O913" s="14"/>
      <c r="P913" s="14"/>
      <c r="Q913" s="14" t="s">
        <v>438</v>
      </c>
      <c r="R913" s="14" t="s">
        <v>438</v>
      </c>
      <c r="S913" s="14" t="s">
        <v>439</v>
      </c>
      <c r="T913" s="14" t="s">
        <v>440</v>
      </c>
      <c r="U913" s="10">
        <v>0.9</v>
      </c>
      <c r="V913" s="17">
        <v>1</v>
      </c>
    </row>
    <row r="914" spans="1:22" ht="18" customHeight="1" x14ac:dyDescent="0.35">
      <c r="A914" s="10" t="s">
        <v>123</v>
      </c>
      <c r="B914" s="10" t="s">
        <v>3370</v>
      </c>
      <c r="C914" s="18" t="s">
        <v>3404</v>
      </c>
      <c r="D914" s="14" t="s">
        <v>74</v>
      </c>
      <c r="E914" s="12">
        <v>45738.395844907405</v>
      </c>
      <c r="F914" s="10" t="str">
        <f>TEXT(events[[#This Row],[Start Date]],"DDD")</f>
        <v>Sat</v>
      </c>
      <c r="G914" s="10">
        <f>YEAR(events[[#This Row],[Start Date]])</f>
        <v>2025</v>
      </c>
      <c r="H914" s="10" t="str">
        <f>TEXT(events[[#This Row],[Start Date]],"mmm")</f>
        <v>Mar</v>
      </c>
      <c r="I914" s="10" t="str">
        <f>CONCATENATE("WK_",WEEKNUM(events[[#This Row],[Start Date]]))</f>
        <v>WK_12</v>
      </c>
      <c r="J914" s="12">
        <v>45738.396770833337</v>
      </c>
      <c r="K914" s="10">
        <v>92</v>
      </c>
      <c r="L914" s="10" t="s">
        <v>25</v>
      </c>
      <c r="M914" s="10" t="s">
        <v>441</v>
      </c>
      <c r="N914" s="13">
        <f t="shared" si="14"/>
        <v>1.3166666666666667</v>
      </c>
      <c r="O914" s="14"/>
      <c r="P914" s="14"/>
      <c r="Q914" s="14" t="s">
        <v>280</v>
      </c>
      <c r="R914" s="14" t="s">
        <v>442</v>
      </c>
      <c r="S914" s="14" t="s">
        <v>443</v>
      </c>
      <c r="T914" s="14" t="s">
        <v>444</v>
      </c>
      <c r="U914" s="10">
        <v>1.9</v>
      </c>
      <c r="V914" s="17">
        <v>1</v>
      </c>
    </row>
    <row r="915" spans="1:22" ht="18" customHeight="1" x14ac:dyDescent="0.35">
      <c r="A915" s="10" t="s">
        <v>86</v>
      </c>
      <c r="B915" s="10" t="s">
        <v>3364</v>
      </c>
      <c r="C915" s="18" t="s">
        <v>3399</v>
      </c>
      <c r="D915" s="14" t="s">
        <v>74</v>
      </c>
      <c r="E915" s="12">
        <v>45735.489201388889</v>
      </c>
      <c r="F915" s="10" t="str">
        <f>TEXT(events[[#This Row],[Start Date]],"DDD")</f>
        <v>Wed</v>
      </c>
      <c r="G915" s="10">
        <f>YEAR(events[[#This Row],[Start Date]])</f>
        <v>2025</v>
      </c>
      <c r="H915" s="10" t="str">
        <f>TEXT(events[[#This Row],[Start Date]],"mmm")</f>
        <v>Mar</v>
      </c>
      <c r="I915" s="10" t="str">
        <f>CONCATENATE("WK_",WEEKNUM(events[[#This Row],[Start Date]]))</f>
        <v>WK_12</v>
      </c>
      <c r="J915" s="12">
        <v>45735.489270833335</v>
      </c>
      <c r="K915" s="10">
        <v>84</v>
      </c>
      <c r="L915" s="10" t="s">
        <v>25</v>
      </c>
      <c r="M915" s="10" t="s">
        <v>328</v>
      </c>
      <c r="N915" s="13">
        <f t="shared" si="14"/>
        <v>0.1</v>
      </c>
      <c r="O915" s="14" t="s">
        <v>50</v>
      </c>
      <c r="P915" s="14" t="s">
        <v>50</v>
      </c>
      <c r="Q915" s="14" t="s">
        <v>434</v>
      </c>
      <c r="R915" s="14" t="s">
        <v>435</v>
      </c>
      <c r="S915" s="14" t="s">
        <v>436</v>
      </c>
      <c r="T915" s="14" t="s">
        <v>437</v>
      </c>
      <c r="U915" s="10">
        <v>0.125</v>
      </c>
      <c r="V915" s="17">
        <v>1</v>
      </c>
    </row>
    <row r="916" spans="1:22" ht="18" customHeight="1" x14ac:dyDescent="0.35">
      <c r="A916" s="10" t="s">
        <v>47</v>
      </c>
      <c r="B916" s="10" t="s">
        <v>3201</v>
      </c>
      <c r="C916" s="18" t="s">
        <v>2968</v>
      </c>
      <c r="D916" s="14" t="s">
        <v>74</v>
      </c>
      <c r="E916" s="12">
        <v>45734.5155787037</v>
      </c>
      <c r="F916" s="10" t="str">
        <f>TEXT(events[[#This Row],[Start Date]],"DDD")</f>
        <v>Tue</v>
      </c>
      <c r="G916" s="10">
        <f>YEAR(events[[#This Row],[Start Date]])</f>
        <v>2025</v>
      </c>
      <c r="H916" s="10" t="str">
        <f>TEXT(events[[#This Row],[Start Date]],"mmm")</f>
        <v>Mar</v>
      </c>
      <c r="I916" s="10" t="str">
        <f>CONCATENATE("WK_",WEEKNUM(events[[#This Row],[Start Date]]))</f>
        <v>WK_12</v>
      </c>
      <c r="J916" s="12">
        <v>45734.515682870369</v>
      </c>
      <c r="K916" s="10">
        <v>85</v>
      </c>
      <c r="L916" s="10" t="s">
        <v>25</v>
      </c>
      <c r="M916" s="10" t="s">
        <v>414</v>
      </c>
      <c r="N916" s="13">
        <f t="shared" si="14"/>
        <v>0.15</v>
      </c>
      <c r="O916" s="14" t="s">
        <v>65</v>
      </c>
      <c r="P916" s="14" t="s">
        <v>65</v>
      </c>
      <c r="Q916" s="14" t="s">
        <v>79</v>
      </c>
      <c r="R916" s="14" t="s">
        <v>79</v>
      </c>
      <c r="S916" s="14" t="s">
        <v>415</v>
      </c>
      <c r="T916" s="14" t="s">
        <v>416</v>
      </c>
      <c r="U916" s="10">
        <v>0.219</v>
      </c>
      <c r="V916" s="17">
        <v>1</v>
      </c>
    </row>
    <row r="917" spans="1:22" ht="18" customHeight="1" x14ac:dyDescent="0.35">
      <c r="A917" s="10" t="s">
        <v>123</v>
      </c>
      <c r="B917" s="10" t="s">
        <v>3247</v>
      </c>
      <c r="C917" s="18" t="s">
        <v>3016</v>
      </c>
      <c r="D917" s="14" t="s">
        <v>74</v>
      </c>
      <c r="E917" s="12">
        <v>45734.363067129627</v>
      </c>
      <c r="F917" s="10" t="str">
        <f>TEXT(events[[#This Row],[Start Date]],"DDD")</f>
        <v>Tue</v>
      </c>
      <c r="G917" s="10">
        <f>YEAR(events[[#This Row],[Start Date]])</f>
        <v>2025</v>
      </c>
      <c r="H917" s="10" t="str">
        <f>TEXT(events[[#This Row],[Start Date]],"mmm")</f>
        <v>Mar</v>
      </c>
      <c r="I917" s="10" t="str">
        <f>CONCATENATE("WK_",WEEKNUM(events[[#This Row],[Start Date]]))</f>
        <v>WK_12</v>
      </c>
      <c r="J917" s="12">
        <v>45734.363298611112</v>
      </c>
      <c r="K917" s="10">
        <v>85</v>
      </c>
      <c r="L917" s="10" t="s">
        <v>25</v>
      </c>
      <c r="M917" s="10" t="s">
        <v>445</v>
      </c>
      <c r="N917" s="13">
        <f t="shared" si="14"/>
        <v>0.31666666666666665</v>
      </c>
      <c r="O917" s="14"/>
      <c r="P917" s="14"/>
      <c r="Q917" s="14" t="s">
        <v>446</v>
      </c>
      <c r="R917" s="14" t="s">
        <v>447</v>
      </c>
      <c r="S917" s="14" t="s">
        <v>448</v>
      </c>
      <c r="T917" s="14" t="s">
        <v>449</v>
      </c>
      <c r="U917" s="10">
        <v>0.6</v>
      </c>
      <c r="V917" s="17">
        <v>1</v>
      </c>
    </row>
    <row r="918" spans="1:22" ht="18" customHeight="1" x14ac:dyDescent="0.35">
      <c r="A918" s="10" t="s">
        <v>47</v>
      </c>
      <c r="B918" s="10" t="s">
        <v>3252</v>
      </c>
      <c r="C918" s="14" t="s">
        <v>3022</v>
      </c>
      <c r="D918" s="14" t="s">
        <v>24</v>
      </c>
      <c r="E918" s="12">
        <v>45733.591458333336</v>
      </c>
      <c r="F918" s="10" t="str">
        <f>TEXT(events[[#This Row],[Start Date]],"DDD")</f>
        <v>Mon</v>
      </c>
      <c r="G918" s="10">
        <f>YEAR(events[[#This Row],[Start Date]])</f>
        <v>2025</v>
      </c>
      <c r="H918" s="10" t="str">
        <f>TEXT(events[[#This Row],[Start Date]],"mmm")</f>
        <v>Mar</v>
      </c>
      <c r="I918" s="10" t="str">
        <f>CONCATENATE("WK_",WEEKNUM(events[[#This Row],[Start Date]]))</f>
        <v>WK_12</v>
      </c>
      <c r="J918" s="12">
        <v>45733.591469907406</v>
      </c>
      <c r="K918" s="10">
        <v>50</v>
      </c>
      <c r="L918" s="10" t="s">
        <v>25</v>
      </c>
      <c r="M918" s="10" t="s">
        <v>26</v>
      </c>
      <c r="N918" s="13">
        <f t="shared" si="14"/>
        <v>1.6666666666666666E-2</v>
      </c>
      <c r="O918" s="14" t="s">
        <v>92</v>
      </c>
      <c r="P918" s="14" t="s">
        <v>92</v>
      </c>
      <c r="Q918" s="14" t="s">
        <v>473</v>
      </c>
      <c r="R918" s="14" t="s">
        <v>473</v>
      </c>
      <c r="S918" s="14" t="s">
        <v>474</v>
      </c>
      <c r="T918" s="14" t="s">
        <v>475</v>
      </c>
      <c r="U918" s="10">
        <v>0</v>
      </c>
      <c r="V918" s="17">
        <v>1</v>
      </c>
    </row>
    <row r="919" spans="1:22" ht="18" customHeight="1" x14ac:dyDescent="0.35">
      <c r="A919" s="10" t="s">
        <v>86</v>
      </c>
      <c r="B919" s="10" t="s">
        <v>3224</v>
      </c>
      <c r="C919" s="14" t="s">
        <v>3405</v>
      </c>
      <c r="D919" s="14" t="s">
        <v>82</v>
      </c>
      <c r="E919" s="12">
        <v>45733.443206018521</v>
      </c>
      <c r="F919" s="10" t="str">
        <f>TEXT(events[[#This Row],[Start Date]],"DDD")</f>
        <v>Mon</v>
      </c>
      <c r="G919" s="10">
        <f>YEAR(events[[#This Row],[Start Date]])</f>
        <v>2025</v>
      </c>
      <c r="H919" s="10" t="str">
        <f>TEXT(events[[#This Row],[Start Date]],"mmm")</f>
        <v>Mar</v>
      </c>
      <c r="I919" s="10" t="str">
        <f>CONCATENATE("WK_",WEEKNUM(events[[#This Row],[Start Date]]))</f>
        <v>WK_12</v>
      </c>
      <c r="J919" s="12">
        <v>45733.443206018521</v>
      </c>
      <c r="K919" s="10">
        <v>18</v>
      </c>
      <c r="L919" s="10" t="s">
        <v>83</v>
      </c>
      <c r="M919" s="10" t="s">
        <v>87</v>
      </c>
      <c r="N919" s="13">
        <f t="shared" si="14"/>
        <v>0</v>
      </c>
      <c r="O919" s="14" t="s">
        <v>92</v>
      </c>
      <c r="P919" s="14" t="s">
        <v>92</v>
      </c>
      <c r="Q919" s="14" t="s">
        <v>479</v>
      </c>
      <c r="R919" s="14"/>
      <c r="S919" s="14" t="s">
        <v>480</v>
      </c>
      <c r="T919" s="14"/>
      <c r="U919" s="10">
        <v>0</v>
      </c>
      <c r="V919" s="17">
        <v>1</v>
      </c>
    </row>
    <row r="920" spans="1:22" ht="18" customHeight="1" x14ac:dyDescent="0.35">
      <c r="A920" s="10" t="s">
        <v>123</v>
      </c>
      <c r="B920" s="10" t="s">
        <v>3341</v>
      </c>
      <c r="C920" s="14" t="s">
        <v>3137</v>
      </c>
      <c r="D920" s="14" t="s">
        <v>74</v>
      </c>
      <c r="E920" s="12">
        <v>45733.401817129627</v>
      </c>
      <c r="F920" s="10" t="str">
        <f>TEXT(events[[#This Row],[Start Date]],"DDD")</f>
        <v>Mon</v>
      </c>
      <c r="G920" s="10">
        <f>YEAR(events[[#This Row],[Start Date]])</f>
        <v>2025</v>
      </c>
      <c r="H920" s="10" t="str">
        <f>TEXT(events[[#This Row],[Start Date]],"mmm")</f>
        <v>Mar</v>
      </c>
      <c r="I920" s="10" t="str">
        <f>CONCATENATE("WK_",WEEKNUM(events[[#This Row],[Start Date]]))</f>
        <v>WK_12</v>
      </c>
      <c r="J920" s="12">
        <v>45733.403090277781</v>
      </c>
      <c r="K920" s="10">
        <v>87</v>
      </c>
      <c r="L920" s="10" t="s">
        <v>25</v>
      </c>
      <c r="M920" s="10" t="s">
        <v>494</v>
      </c>
      <c r="N920" s="13">
        <f t="shared" si="14"/>
        <v>1.8333333333333335</v>
      </c>
      <c r="O920" s="14"/>
      <c r="P920" s="14"/>
      <c r="Q920" s="14" t="s">
        <v>451</v>
      </c>
      <c r="R920" s="14" t="s">
        <v>451</v>
      </c>
      <c r="S920" s="14" t="s">
        <v>495</v>
      </c>
      <c r="T920" s="14" t="s">
        <v>496</v>
      </c>
      <c r="U920" s="10">
        <v>2.6</v>
      </c>
      <c r="V920" s="17">
        <v>1</v>
      </c>
    </row>
    <row r="921" spans="1:22" ht="18" customHeight="1" x14ac:dyDescent="0.35">
      <c r="A921" s="10" t="s">
        <v>47</v>
      </c>
      <c r="B921" s="10" t="s">
        <v>3268</v>
      </c>
      <c r="C921" s="14" t="s">
        <v>3044</v>
      </c>
      <c r="D921" s="14" t="s">
        <v>82</v>
      </c>
      <c r="E921" s="12">
        <v>45733.103726851848</v>
      </c>
      <c r="F921" s="10" t="str">
        <f>TEXT(events[[#This Row],[Start Date]],"DDD")</f>
        <v>Mon</v>
      </c>
      <c r="G921" s="10">
        <f>YEAR(events[[#This Row],[Start Date]])</f>
        <v>2025</v>
      </c>
      <c r="H921" s="10" t="str">
        <f>TEXT(events[[#This Row],[Start Date]],"mmm")</f>
        <v>Mar</v>
      </c>
      <c r="I921" s="10" t="str">
        <f>CONCATENATE("WK_",WEEKNUM(events[[#This Row],[Start Date]]))</f>
        <v>WK_12</v>
      </c>
      <c r="J921" s="12">
        <v>45733.103738425925</v>
      </c>
      <c r="K921" s="10">
        <v>22</v>
      </c>
      <c r="L921" s="10" t="s">
        <v>83</v>
      </c>
      <c r="M921" s="10" t="s">
        <v>26</v>
      </c>
      <c r="N921" s="13">
        <f t="shared" si="14"/>
        <v>1.6666666666666666E-2</v>
      </c>
      <c r="O921" s="14" t="s">
        <v>38</v>
      </c>
      <c r="P921" s="14"/>
      <c r="Q921" s="14" t="s">
        <v>477</v>
      </c>
      <c r="R921" s="14"/>
      <c r="S921" s="14" t="s">
        <v>478</v>
      </c>
      <c r="T921" s="14"/>
      <c r="U921" s="10">
        <v>0</v>
      </c>
      <c r="V921" s="17">
        <v>1</v>
      </c>
    </row>
    <row r="922" spans="1:22" ht="18" customHeight="1" x14ac:dyDescent="0.35">
      <c r="A922" s="10" t="s">
        <v>123</v>
      </c>
      <c r="B922" s="10" t="s">
        <v>3288</v>
      </c>
      <c r="C922" s="14" t="s">
        <v>3074</v>
      </c>
      <c r="D922" s="14" t="s">
        <v>74</v>
      </c>
      <c r="E922" s="12">
        <v>45732.612210648149</v>
      </c>
      <c r="F922" s="10" t="str">
        <f>TEXT(events[[#This Row],[Start Date]],"DDD")</f>
        <v>Sun</v>
      </c>
      <c r="G922" s="10">
        <f>YEAR(events[[#This Row],[Start Date]])</f>
        <v>2025</v>
      </c>
      <c r="H922" s="10" t="str">
        <f>TEXT(events[[#This Row],[Start Date]],"mmm")</f>
        <v>Mar</v>
      </c>
      <c r="I922" s="10" t="str">
        <f>CONCATENATE("WK_",WEEKNUM(events[[#This Row],[Start Date]]))</f>
        <v>WK_12</v>
      </c>
      <c r="J922" s="12">
        <v>45732.612500000003</v>
      </c>
      <c r="K922" s="10">
        <v>85</v>
      </c>
      <c r="L922" s="10" t="s">
        <v>25</v>
      </c>
      <c r="M922" s="10" t="s">
        <v>124</v>
      </c>
      <c r="N922" s="13">
        <f t="shared" si="14"/>
        <v>0.4</v>
      </c>
      <c r="O922" s="14"/>
      <c r="P922" s="14"/>
      <c r="Q922" s="14" t="s">
        <v>484</v>
      </c>
      <c r="R922" s="14" t="s">
        <v>484</v>
      </c>
      <c r="S922" s="14" t="s">
        <v>485</v>
      </c>
      <c r="T922" s="14" t="s">
        <v>486</v>
      </c>
      <c r="U922" s="10">
        <v>0.7</v>
      </c>
      <c r="V922" s="17">
        <v>1</v>
      </c>
    </row>
    <row r="923" spans="1:22" ht="18" customHeight="1" x14ac:dyDescent="0.35">
      <c r="A923" s="10" t="s">
        <v>47</v>
      </c>
      <c r="B923" s="10" t="s">
        <v>3268</v>
      </c>
      <c r="C923" s="14" t="s">
        <v>3044</v>
      </c>
      <c r="D923" s="14" t="s">
        <v>82</v>
      </c>
      <c r="E923" s="12">
        <v>45731.759895833333</v>
      </c>
      <c r="F923" s="10" t="str">
        <f>TEXT(events[[#This Row],[Start Date]],"DDD")</f>
        <v>Sat</v>
      </c>
      <c r="G923" s="10">
        <f>YEAR(events[[#This Row],[Start Date]])</f>
        <v>2025</v>
      </c>
      <c r="H923" s="10" t="str">
        <f>TEXT(events[[#This Row],[Start Date]],"mmm")</f>
        <v>Mar</v>
      </c>
      <c r="I923" s="10" t="str">
        <f>CONCATENATE("WK_",WEEKNUM(events[[#This Row],[Start Date]]))</f>
        <v>WK_11</v>
      </c>
      <c r="J923" s="12">
        <v>45731.75990740741</v>
      </c>
      <c r="K923" s="10">
        <v>23</v>
      </c>
      <c r="L923" s="10" t="s">
        <v>83</v>
      </c>
      <c r="M923" s="10" t="s">
        <v>26</v>
      </c>
      <c r="N923" s="13">
        <f t="shared" si="14"/>
        <v>1.6666666666666666E-2</v>
      </c>
      <c r="O923" s="14" t="s">
        <v>27</v>
      </c>
      <c r="P923" s="14"/>
      <c r="Q923" s="14" t="s">
        <v>28</v>
      </c>
      <c r="R923" s="14"/>
      <c r="S923" s="14" t="s">
        <v>476</v>
      </c>
      <c r="T923" s="14"/>
      <c r="U923" s="10">
        <v>0</v>
      </c>
      <c r="V923" s="17">
        <v>1</v>
      </c>
    </row>
    <row r="924" spans="1:22" ht="18" customHeight="1" x14ac:dyDescent="0.35">
      <c r="A924" s="10" t="s">
        <v>47</v>
      </c>
      <c r="B924" s="10" t="s">
        <v>3191</v>
      </c>
      <c r="C924" s="14" t="s">
        <v>2958</v>
      </c>
      <c r="D924" s="14" t="s">
        <v>24</v>
      </c>
      <c r="E924" s="12">
        <v>45731.528958333336</v>
      </c>
      <c r="F924" s="10" t="str">
        <f>TEXT(events[[#This Row],[Start Date]],"DDD")</f>
        <v>Sat</v>
      </c>
      <c r="G924" s="10">
        <f>YEAR(events[[#This Row],[Start Date]])</f>
        <v>2025</v>
      </c>
      <c r="H924" s="10" t="str">
        <f>TEXT(events[[#This Row],[Start Date]],"mmm")</f>
        <v>Mar</v>
      </c>
      <c r="I924" s="10" t="str">
        <f>CONCATENATE("WK_",WEEKNUM(events[[#This Row],[Start Date]]))</f>
        <v>WK_11</v>
      </c>
      <c r="J924" s="12">
        <v>45731.529016203705</v>
      </c>
      <c r="K924" s="10">
        <v>52</v>
      </c>
      <c r="L924" s="10" t="s">
        <v>25</v>
      </c>
      <c r="M924" s="10" t="s">
        <v>431</v>
      </c>
      <c r="N924" s="13">
        <f t="shared" si="14"/>
        <v>8.3333333333333329E-2</v>
      </c>
      <c r="O924" s="14" t="s">
        <v>378</v>
      </c>
      <c r="P924" s="14" t="s">
        <v>378</v>
      </c>
      <c r="Q924" s="14" t="s">
        <v>470</v>
      </c>
      <c r="R924" s="14" t="s">
        <v>470</v>
      </c>
      <c r="S924" s="14" t="s">
        <v>471</v>
      </c>
      <c r="T924" s="14" t="s">
        <v>472</v>
      </c>
      <c r="U924" s="10">
        <v>0</v>
      </c>
      <c r="V924" s="17">
        <v>1</v>
      </c>
    </row>
    <row r="925" spans="1:22" ht="18" customHeight="1" x14ac:dyDescent="0.35">
      <c r="A925" s="10" t="s">
        <v>23</v>
      </c>
      <c r="B925" s="10" t="s">
        <v>3163</v>
      </c>
      <c r="C925" s="14" t="s">
        <v>2929</v>
      </c>
      <c r="D925" s="14" t="s">
        <v>24</v>
      </c>
      <c r="E925" s="12">
        <v>45730.736527777779</v>
      </c>
      <c r="F925" s="10" t="str">
        <f>TEXT(events[[#This Row],[Start Date]],"DDD")</f>
        <v>Fri</v>
      </c>
      <c r="G925" s="10">
        <f>YEAR(events[[#This Row],[Start Date]])</f>
        <v>2025</v>
      </c>
      <c r="H925" s="10" t="str">
        <f>TEXT(events[[#This Row],[Start Date]],"mmm")</f>
        <v>Mar</v>
      </c>
      <c r="I925" s="10" t="str">
        <f>CONCATENATE("WK_",WEEKNUM(events[[#This Row],[Start Date]]))</f>
        <v>WK_11</v>
      </c>
      <c r="J925" s="12">
        <v>45730.736539351848</v>
      </c>
      <c r="K925" s="10">
        <v>34</v>
      </c>
      <c r="L925" s="10" t="s">
        <v>25</v>
      </c>
      <c r="M925" s="10" t="s">
        <v>26</v>
      </c>
      <c r="N925" s="13">
        <f t="shared" si="14"/>
        <v>1.6666666666666666E-2</v>
      </c>
      <c r="O925" s="14" t="s">
        <v>157</v>
      </c>
      <c r="P925" s="14" t="s">
        <v>157</v>
      </c>
      <c r="Q925" s="14" t="s">
        <v>465</v>
      </c>
      <c r="R925" s="14" t="s">
        <v>465</v>
      </c>
      <c r="S925" s="14" t="s">
        <v>466</v>
      </c>
      <c r="T925" s="14" t="s">
        <v>467</v>
      </c>
      <c r="U925" s="10">
        <v>0</v>
      </c>
      <c r="V925" s="17">
        <v>1</v>
      </c>
    </row>
    <row r="926" spans="1:22" ht="18" customHeight="1" x14ac:dyDescent="0.35">
      <c r="A926" s="10" t="s">
        <v>123</v>
      </c>
      <c r="B926" s="10" t="s">
        <v>3371</v>
      </c>
      <c r="C926" s="14" t="s">
        <v>3406</v>
      </c>
      <c r="D926" s="14" t="s">
        <v>74</v>
      </c>
      <c r="E926" s="12">
        <v>45730.285740740743</v>
      </c>
      <c r="F926" s="10" t="str">
        <f>TEXT(events[[#This Row],[Start Date]],"DDD")</f>
        <v>Fri</v>
      </c>
      <c r="G926" s="10">
        <f>YEAR(events[[#This Row],[Start Date]])</f>
        <v>2025</v>
      </c>
      <c r="H926" s="10" t="str">
        <f>TEXT(events[[#This Row],[Start Date]],"mmm")</f>
        <v>Mar</v>
      </c>
      <c r="I926" s="10" t="str">
        <f>CONCATENATE("WK_",WEEKNUM(events[[#This Row],[Start Date]]))</f>
        <v>WK_11</v>
      </c>
      <c r="J926" s="12">
        <v>45730.286319444444</v>
      </c>
      <c r="K926" s="10">
        <v>99</v>
      </c>
      <c r="L926" s="10" t="s">
        <v>25</v>
      </c>
      <c r="M926" s="10" t="s">
        <v>489</v>
      </c>
      <c r="N926" s="13">
        <f t="shared" si="14"/>
        <v>0.81666666666666665</v>
      </c>
      <c r="O926" s="14"/>
      <c r="P926" s="14"/>
      <c r="Q926" s="14" t="s">
        <v>490</v>
      </c>
      <c r="R926" s="14" t="s">
        <v>491</v>
      </c>
      <c r="S926" s="14" t="s">
        <v>492</v>
      </c>
      <c r="T926" s="14" t="s">
        <v>493</v>
      </c>
      <c r="U926" s="10">
        <v>1.3</v>
      </c>
      <c r="V926" s="17">
        <v>1</v>
      </c>
    </row>
    <row r="927" spans="1:22" ht="18" customHeight="1" x14ac:dyDescent="0.35">
      <c r="A927" s="10" t="s">
        <v>86</v>
      </c>
      <c r="B927" s="10" t="s">
        <v>3372</v>
      </c>
      <c r="C927" s="14" t="s">
        <v>3407</v>
      </c>
      <c r="D927" s="14" t="s">
        <v>74</v>
      </c>
      <c r="E927" s="12">
        <v>45730.283182870371</v>
      </c>
      <c r="F927" s="10" t="str">
        <f>TEXT(events[[#This Row],[Start Date]],"DDD")</f>
        <v>Fri</v>
      </c>
      <c r="G927" s="10">
        <f>YEAR(events[[#This Row],[Start Date]])</f>
        <v>2025</v>
      </c>
      <c r="H927" s="10" t="str">
        <f>TEXT(events[[#This Row],[Start Date]],"mmm")</f>
        <v>Mar</v>
      </c>
      <c r="I927" s="10" t="str">
        <f>CONCATENATE("WK_",WEEKNUM(events[[#This Row],[Start Date]]))</f>
        <v>WK_11</v>
      </c>
      <c r="J927" s="12">
        <v>45730.283194444448</v>
      </c>
      <c r="K927" s="10">
        <v>81</v>
      </c>
      <c r="L927" s="10" t="s">
        <v>25</v>
      </c>
      <c r="M927" s="10" t="s">
        <v>26</v>
      </c>
      <c r="N927" s="13">
        <f t="shared" si="14"/>
        <v>1.6666666666666666E-2</v>
      </c>
      <c r="O927" s="14" t="s">
        <v>138</v>
      </c>
      <c r="P927" s="14" t="s">
        <v>138</v>
      </c>
      <c r="Q927" s="14" t="s">
        <v>245</v>
      </c>
      <c r="R927" s="14"/>
      <c r="S927" s="14" t="s">
        <v>481</v>
      </c>
      <c r="T927" s="14"/>
      <c r="U927" s="10">
        <v>0.125</v>
      </c>
      <c r="V927" s="17">
        <v>1</v>
      </c>
    </row>
    <row r="928" spans="1:22" ht="18" customHeight="1" x14ac:dyDescent="0.35">
      <c r="A928" s="10" t="s">
        <v>23</v>
      </c>
      <c r="B928" s="10" t="s">
        <v>3226</v>
      </c>
      <c r="C928" s="14" t="s">
        <v>3081</v>
      </c>
      <c r="D928" s="14" t="s">
        <v>24</v>
      </c>
      <c r="E928" s="12">
        <v>45729.638680555552</v>
      </c>
      <c r="F928" s="10" t="str">
        <f>TEXT(events[[#This Row],[Start Date]],"DDD")</f>
        <v>Thu</v>
      </c>
      <c r="G928" s="10">
        <f>YEAR(events[[#This Row],[Start Date]])</f>
        <v>2025</v>
      </c>
      <c r="H928" s="10" t="str">
        <f>TEXT(events[[#This Row],[Start Date]],"mmm")</f>
        <v>Mar</v>
      </c>
      <c r="I928" s="10" t="str">
        <f>CONCATENATE("WK_",WEEKNUM(events[[#This Row],[Start Date]]))</f>
        <v>WK_11</v>
      </c>
      <c r="J928" s="12">
        <v>45729.638784722221</v>
      </c>
      <c r="K928" s="10">
        <v>46</v>
      </c>
      <c r="L928" s="10" t="s">
        <v>25</v>
      </c>
      <c r="M928" s="10" t="s">
        <v>414</v>
      </c>
      <c r="N928" s="13">
        <f t="shared" si="14"/>
        <v>0.15</v>
      </c>
      <c r="O928" s="14" t="s">
        <v>92</v>
      </c>
      <c r="P928" s="14" t="s">
        <v>92</v>
      </c>
      <c r="Q928" s="14" t="s">
        <v>462</v>
      </c>
      <c r="R928" s="14" t="s">
        <v>462</v>
      </c>
      <c r="S928" s="14" t="s">
        <v>463</v>
      </c>
      <c r="T928" s="14" t="s">
        <v>464</v>
      </c>
      <c r="U928" s="10">
        <v>9.4E-2</v>
      </c>
      <c r="V928" s="17">
        <v>1</v>
      </c>
    </row>
    <row r="929" spans="1:22" ht="18" customHeight="1" x14ac:dyDescent="0.35">
      <c r="A929" s="10" t="s">
        <v>23</v>
      </c>
      <c r="B929" s="10" t="s">
        <v>3174</v>
      </c>
      <c r="C929" s="14" t="s">
        <v>2941</v>
      </c>
      <c r="D929" s="14" t="s">
        <v>82</v>
      </c>
      <c r="E929" s="12">
        <v>45728.680300925924</v>
      </c>
      <c r="F929" s="10" t="str">
        <f>TEXT(events[[#This Row],[Start Date]],"DDD")</f>
        <v>Wed</v>
      </c>
      <c r="G929" s="10">
        <f>YEAR(events[[#This Row],[Start Date]])</f>
        <v>2025</v>
      </c>
      <c r="H929" s="10" t="str">
        <f>TEXT(events[[#This Row],[Start Date]],"mmm")</f>
        <v>Mar</v>
      </c>
      <c r="I929" s="10" t="str">
        <f>CONCATENATE("WK_",WEEKNUM(events[[#This Row],[Start Date]]))</f>
        <v>WK_11</v>
      </c>
      <c r="J929" s="12">
        <v>45728.680312500001</v>
      </c>
      <c r="K929" s="10">
        <v>39</v>
      </c>
      <c r="L929" s="10" t="s">
        <v>83</v>
      </c>
      <c r="M929" s="10" t="s">
        <v>26</v>
      </c>
      <c r="N929" s="13">
        <f t="shared" si="14"/>
        <v>1.6666666666666666E-2</v>
      </c>
      <c r="O929" s="14" t="s">
        <v>92</v>
      </c>
      <c r="P929" s="14"/>
      <c r="Q929" s="14" t="s">
        <v>468</v>
      </c>
      <c r="R929" s="14"/>
      <c r="S929" s="14" t="s">
        <v>469</v>
      </c>
      <c r="T929" s="14"/>
      <c r="U929" s="10">
        <v>0</v>
      </c>
      <c r="V929" s="17">
        <v>1</v>
      </c>
    </row>
    <row r="930" spans="1:22" ht="18" customHeight="1" x14ac:dyDescent="0.35">
      <c r="A930" s="10" t="s">
        <v>123</v>
      </c>
      <c r="B930" s="10" t="s">
        <v>3168</v>
      </c>
      <c r="C930" s="14" t="s">
        <v>2934</v>
      </c>
      <c r="D930" s="14" t="s">
        <v>74</v>
      </c>
      <c r="E930" s="12">
        <v>45728.505787037036</v>
      </c>
      <c r="F930" s="10" t="str">
        <f>TEXT(events[[#This Row],[Start Date]],"DDD")</f>
        <v>Wed</v>
      </c>
      <c r="G930" s="10">
        <f>YEAR(events[[#This Row],[Start Date]])</f>
        <v>2025</v>
      </c>
      <c r="H930" s="10" t="str">
        <f>TEXT(events[[#This Row],[Start Date]],"mmm")</f>
        <v>Mar</v>
      </c>
      <c r="I930" s="10" t="str">
        <f>CONCATENATE("WK_",WEEKNUM(events[[#This Row],[Start Date]]))</f>
        <v>WK_11</v>
      </c>
      <c r="J930" s="12">
        <v>45728.506712962961</v>
      </c>
      <c r="K930" s="10">
        <v>91</v>
      </c>
      <c r="L930" s="10" t="s">
        <v>25</v>
      </c>
      <c r="M930" s="10" t="s">
        <v>173</v>
      </c>
      <c r="N930" s="13">
        <f t="shared" si="14"/>
        <v>1.3333333333333333</v>
      </c>
      <c r="O930" s="14"/>
      <c r="P930" s="14"/>
      <c r="Q930" s="14" t="s">
        <v>304</v>
      </c>
      <c r="R930" s="14" t="s">
        <v>304</v>
      </c>
      <c r="S930" s="14" t="s">
        <v>487</v>
      </c>
      <c r="T930" s="14" t="s">
        <v>488</v>
      </c>
      <c r="U930" s="10">
        <v>1.9</v>
      </c>
      <c r="V930" s="17">
        <v>1</v>
      </c>
    </row>
    <row r="931" spans="1:22" ht="18" customHeight="1" x14ac:dyDescent="0.35">
      <c r="A931" s="10" t="s">
        <v>123</v>
      </c>
      <c r="B931" s="10" t="s">
        <v>3373</v>
      </c>
      <c r="C931" s="14" t="s">
        <v>3408</v>
      </c>
      <c r="D931" s="14" t="s">
        <v>74</v>
      </c>
      <c r="E931" s="12">
        <v>45727.643692129626</v>
      </c>
      <c r="F931" s="10" t="str">
        <f>TEXT(events[[#This Row],[Start Date]],"DDD")</f>
        <v>Tue</v>
      </c>
      <c r="G931" s="10">
        <f>YEAR(events[[#This Row],[Start Date]])</f>
        <v>2025</v>
      </c>
      <c r="H931" s="10" t="str">
        <f>TEXT(events[[#This Row],[Start Date]],"mmm")</f>
        <v>Mar</v>
      </c>
      <c r="I931" s="10" t="str">
        <f>CONCATENATE("WK_",WEEKNUM(events[[#This Row],[Start Date]]))</f>
        <v>WK_11</v>
      </c>
      <c r="J931" s="12">
        <v>45727.643854166665</v>
      </c>
      <c r="K931" s="10">
        <v>83</v>
      </c>
      <c r="L931" s="10" t="s">
        <v>25</v>
      </c>
      <c r="M931" s="10" t="s">
        <v>418</v>
      </c>
      <c r="N931" s="13">
        <f t="shared" si="14"/>
        <v>0.23333333333333334</v>
      </c>
      <c r="O931" s="14"/>
      <c r="P931" s="14"/>
      <c r="Q931" s="14" t="s">
        <v>178</v>
      </c>
      <c r="R931" s="14" t="s">
        <v>178</v>
      </c>
      <c r="S931" s="14" t="s">
        <v>482</v>
      </c>
      <c r="T931" s="14" t="s">
        <v>483</v>
      </c>
      <c r="U931" s="10">
        <v>0.4</v>
      </c>
      <c r="V931" s="17">
        <v>1</v>
      </c>
    </row>
    <row r="932" spans="1:22" ht="18" customHeight="1" x14ac:dyDescent="0.35">
      <c r="A932" s="10" t="s">
        <v>23</v>
      </c>
      <c r="B932" s="10" t="s">
        <v>3174</v>
      </c>
      <c r="C932" s="14" t="s">
        <v>2941</v>
      </c>
      <c r="D932" s="14" t="s">
        <v>24</v>
      </c>
      <c r="E932" s="12">
        <v>45727.397094907406</v>
      </c>
      <c r="F932" s="10" t="str">
        <f>TEXT(events[[#This Row],[Start Date]],"DDD")</f>
        <v>Tue</v>
      </c>
      <c r="G932" s="10">
        <f>YEAR(events[[#This Row],[Start Date]])</f>
        <v>2025</v>
      </c>
      <c r="H932" s="10" t="str">
        <f>TEXT(events[[#This Row],[Start Date]],"mmm")</f>
        <v>Mar</v>
      </c>
      <c r="I932" s="10" t="str">
        <f>CONCATENATE("WK_",WEEKNUM(events[[#This Row],[Start Date]]))</f>
        <v>WK_11</v>
      </c>
      <c r="J932" s="12">
        <v>45727.397141203706</v>
      </c>
      <c r="K932" s="10">
        <v>58</v>
      </c>
      <c r="L932" s="10" t="s">
        <v>25</v>
      </c>
      <c r="M932" s="10" t="s">
        <v>275</v>
      </c>
      <c r="N932" s="13">
        <f t="shared" si="14"/>
        <v>6.6666666666666666E-2</v>
      </c>
      <c r="O932" s="14" t="s">
        <v>458</v>
      </c>
      <c r="P932" s="14" t="s">
        <v>458</v>
      </c>
      <c r="Q932" s="14" t="s">
        <v>459</v>
      </c>
      <c r="R932" s="14" t="s">
        <v>459</v>
      </c>
      <c r="S932" s="14" t="s">
        <v>460</v>
      </c>
      <c r="T932" s="14" t="s">
        <v>461</v>
      </c>
      <c r="U932" s="10">
        <v>0</v>
      </c>
      <c r="V932" s="17">
        <v>1</v>
      </c>
    </row>
    <row r="933" spans="1:22" ht="18" customHeight="1" x14ac:dyDescent="0.35">
      <c r="A933" s="10" t="s">
        <v>86</v>
      </c>
      <c r="B933" s="10" t="s">
        <v>3368</v>
      </c>
      <c r="C933" s="14" t="s">
        <v>3402</v>
      </c>
      <c r="D933" s="14" t="s">
        <v>74</v>
      </c>
      <c r="E933" s="12">
        <v>45726.659351851849</v>
      </c>
      <c r="F933" s="10" t="str">
        <f>TEXT(events[[#This Row],[Start Date]],"DDD")</f>
        <v>Mon</v>
      </c>
      <c r="G933" s="10">
        <f>YEAR(events[[#This Row],[Start Date]])</f>
        <v>2025</v>
      </c>
      <c r="H933" s="10" t="str">
        <f>TEXT(events[[#This Row],[Start Date]],"mmm")</f>
        <v>Mar</v>
      </c>
      <c r="I933" s="10" t="str">
        <f>CONCATENATE("WK_",WEEKNUM(events[[#This Row],[Start Date]]))</f>
        <v>WK_11</v>
      </c>
      <c r="J933" s="12">
        <v>45726.659398148149</v>
      </c>
      <c r="K933" s="10">
        <v>82</v>
      </c>
      <c r="L933" s="10" t="s">
        <v>25</v>
      </c>
      <c r="M933" s="10" t="s">
        <v>275</v>
      </c>
      <c r="N933" s="13">
        <f t="shared" si="14"/>
        <v>6.6666666666666666E-2</v>
      </c>
      <c r="O933" s="14" t="s">
        <v>50</v>
      </c>
      <c r="P933" s="14" t="s">
        <v>50</v>
      </c>
      <c r="Q933" s="14" t="s">
        <v>534</v>
      </c>
      <c r="R933" s="14" t="s">
        <v>534</v>
      </c>
      <c r="S933" s="14" t="s">
        <v>535</v>
      </c>
      <c r="T933" s="14" t="s">
        <v>536</v>
      </c>
      <c r="U933" s="15">
        <v>6.2E-2</v>
      </c>
      <c r="V933" s="10">
        <v>1</v>
      </c>
    </row>
    <row r="934" spans="1:22" ht="18" customHeight="1" x14ac:dyDescent="0.35">
      <c r="A934" s="10" t="s">
        <v>23</v>
      </c>
      <c r="B934" s="10" t="s">
        <v>3196</v>
      </c>
      <c r="C934" s="14" t="s">
        <v>2963</v>
      </c>
      <c r="D934" s="14" t="s">
        <v>24</v>
      </c>
      <c r="E934" s="12">
        <v>45726.638564814813</v>
      </c>
      <c r="F934" s="10" t="str">
        <f>TEXT(events[[#This Row],[Start Date]],"DDD")</f>
        <v>Mon</v>
      </c>
      <c r="G934" s="10">
        <f>YEAR(events[[#This Row],[Start Date]])</f>
        <v>2025</v>
      </c>
      <c r="H934" s="10" t="str">
        <f>TEXT(events[[#This Row],[Start Date]],"mmm")</f>
        <v>Mar</v>
      </c>
      <c r="I934" s="10" t="str">
        <f>CONCATENATE("WK_",WEEKNUM(events[[#This Row],[Start Date]]))</f>
        <v>WK_11</v>
      </c>
      <c r="J934" s="12">
        <v>45726.63857638889</v>
      </c>
      <c r="K934" s="10">
        <v>55</v>
      </c>
      <c r="L934" s="10" t="s">
        <v>25</v>
      </c>
      <c r="M934" s="10" t="s">
        <v>26</v>
      </c>
      <c r="N934" s="13">
        <f t="shared" si="14"/>
        <v>1.6666666666666666E-2</v>
      </c>
      <c r="O934" s="14" t="s">
        <v>38</v>
      </c>
      <c r="P934" s="14" t="s">
        <v>38</v>
      </c>
      <c r="Q934" s="14" t="s">
        <v>501</v>
      </c>
      <c r="R934" s="14" t="s">
        <v>501</v>
      </c>
      <c r="S934" s="14" t="s">
        <v>502</v>
      </c>
      <c r="T934" s="14" t="s">
        <v>503</v>
      </c>
      <c r="U934" s="15">
        <v>0</v>
      </c>
      <c r="V934" s="10">
        <v>1</v>
      </c>
    </row>
    <row r="935" spans="1:22" ht="18" customHeight="1" x14ac:dyDescent="0.35">
      <c r="A935" s="10" t="s">
        <v>123</v>
      </c>
      <c r="B935" s="10" t="s">
        <v>3161</v>
      </c>
      <c r="C935" s="14" t="s">
        <v>2927</v>
      </c>
      <c r="D935" s="14" t="s">
        <v>74</v>
      </c>
      <c r="E935" s="12">
        <v>45726.598981481482</v>
      </c>
      <c r="F935" s="10" t="str">
        <f>TEXT(events[[#This Row],[Start Date]],"DDD")</f>
        <v>Mon</v>
      </c>
      <c r="G935" s="10">
        <f>YEAR(events[[#This Row],[Start Date]])</f>
        <v>2025</v>
      </c>
      <c r="H935" s="10" t="str">
        <f>TEXT(events[[#This Row],[Start Date]],"mmm")</f>
        <v>Mar</v>
      </c>
      <c r="I935" s="10" t="str">
        <f>CONCATENATE("WK_",WEEKNUM(events[[#This Row],[Start Date]]))</f>
        <v>WK_11</v>
      </c>
      <c r="J935" s="12">
        <v>45726.599490740744</v>
      </c>
      <c r="K935" s="10" t="s">
        <v>548</v>
      </c>
      <c r="L935" s="10" t="s">
        <v>25</v>
      </c>
      <c r="M935" s="10" t="s">
        <v>403</v>
      </c>
      <c r="N935" s="13">
        <f t="shared" si="14"/>
        <v>0.73333333333333328</v>
      </c>
      <c r="O935" s="14"/>
      <c r="P935" s="14"/>
      <c r="Q935" s="14" t="s">
        <v>549</v>
      </c>
      <c r="R935" s="14" t="s">
        <v>550</v>
      </c>
      <c r="S935" s="14" t="s">
        <v>551</v>
      </c>
      <c r="T935" s="14" t="s">
        <v>552</v>
      </c>
      <c r="U935" s="15" t="s">
        <v>553</v>
      </c>
      <c r="V935" s="10">
        <v>1</v>
      </c>
    </row>
    <row r="936" spans="1:22" ht="18" customHeight="1" x14ac:dyDescent="0.35">
      <c r="A936" s="10" t="s">
        <v>47</v>
      </c>
      <c r="B936" s="10" t="s">
        <v>3252</v>
      </c>
      <c r="C936" s="14" t="s">
        <v>3022</v>
      </c>
      <c r="D936" s="14" t="s">
        <v>24</v>
      </c>
      <c r="E936" s="12">
        <v>45726.588194444441</v>
      </c>
      <c r="F936" s="10" t="str">
        <f>TEXT(events[[#This Row],[Start Date]],"DDD")</f>
        <v>Mon</v>
      </c>
      <c r="G936" s="10">
        <f>YEAR(events[[#This Row],[Start Date]])</f>
        <v>2025</v>
      </c>
      <c r="H936" s="10" t="str">
        <f>TEXT(events[[#This Row],[Start Date]],"mmm")</f>
        <v>Mar</v>
      </c>
      <c r="I936" s="10" t="str">
        <f>CONCATENATE("WK_",WEEKNUM(events[[#This Row],[Start Date]]))</f>
        <v>WK_11</v>
      </c>
      <c r="J936" s="12">
        <v>45726.588206018518</v>
      </c>
      <c r="K936" s="10">
        <v>64</v>
      </c>
      <c r="L936" s="10" t="s">
        <v>25</v>
      </c>
      <c r="M936" s="10" t="s">
        <v>26</v>
      </c>
      <c r="N936" s="13">
        <f t="shared" si="14"/>
        <v>1.6666666666666666E-2</v>
      </c>
      <c r="O936" s="14" t="s">
        <v>231</v>
      </c>
      <c r="P936" s="14" t="s">
        <v>231</v>
      </c>
      <c r="Q936" s="14" t="s">
        <v>531</v>
      </c>
      <c r="R936" s="14" t="s">
        <v>531</v>
      </c>
      <c r="S936" s="14" t="s">
        <v>532</v>
      </c>
      <c r="T936" s="14" t="s">
        <v>533</v>
      </c>
      <c r="U936" s="15">
        <v>0</v>
      </c>
      <c r="V936" s="10">
        <v>1</v>
      </c>
    </row>
    <row r="937" spans="1:22" ht="18" customHeight="1" x14ac:dyDescent="0.35">
      <c r="A937" s="10" t="s">
        <v>47</v>
      </c>
      <c r="B937" s="10" t="s">
        <v>3165</v>
      </c>
      <c r="C937" s="14" t="s">
        <v>2931</v>
      </c>
      <c r="D937" s="14" t="s">
        <v>82</v>
      </c>
      <c r="E937" s="12">
        <v>45726.55300925926</v>
      </c>
      <c r="F937" s="10" t="str">
        <f>TEXT(events[[#This Row],[Start Date]],"DDD")</f>
        <v>Mon</v>
      </c>
      <c r="G937" s="10">
        <f>YEAR(events[[#This Row],[Start Date]])</f>
        <v>2025</v>
      </c>
      <c r="H937" s="10" t="str">
        <f>TEXT(events[[#This Row],[Start Date]],"mmm")</f>
        <v>Mar</v>
      </c>
      <c r="I937" s="10" t="str">
        <f>CONCATENATE("WK_",WEEKNUM(events[[#This Row],[Start Date]]))</f>
        <v>WK_11</v>
      </c>
      <c r="J937" s="12">
        <v>45726.553020833337</v>
      </c>
      <c r="K937" s="10">
        <v>16</v>
      </c>
      <c r="L937" s="10" t="s">
        <v>83</v>
      </c>
      <c r="M937" s="10" t="s">
        <v>26</v>
      </c>
      <c r="N937" s="13">
        <f t="shared" si="14"/>
        <v>1.6666666666666666E-2</v>
      </c>
      <c r="O937" s="14" t="s">
        <v>27</v>
      </c>
      <c r="P937" s="14"/>
      <c r="Q937" s="14" t="s">
        <v>506</v>
      </c>
      <c r="R937" s="14"/>
      <c r="S937" s="14" t="s">
        <v>507</v>
      </c>
      <c r="T937" s="14"/>
      <c r="U937" s="15">
        <v>0</v>
      </c>
      <c r="V937" s="10">
        <v>1</v>
      </c>
    </row>
    <row r="938" spans="1:22" ht="18" customHeight="1" x14ac:dyDescent="0.35">
      <c r="A938" s="10" t="s">
        <v>123</v>
      </c>
      <c r="B938" s="10" t="s">
        <v>3168</v>
      </c>
      <c r="C938" s="14" t="s">
        <v>2934</v>
      </c>
      <c r="D938" s="14" t="s">
        <v>74</v>
      </c>
      <c r="E938" s="12">
        <v>45726.505532407406</v>
      </c>
      <c r="F938" s="10" t="str">
        <f>TEXT(events[[#This Row],[Start Date]],"DDD")</f>
        <v>Mon</v>
      </c>
      <c r="G938" s="10">
        <f>YEAR(events[[#This Row],[Start Date]])</f>
        <v>2025</v>
      </c>
      <c r="H938" s="10" t="str">
        <f>TEXT(events[[#This Row],[Start Date]],"mmm")</f>
        <v>Mar</v>
      </c>
      <c r="I938" s="10" t="str">
        <f>CONCATENATE("WK_",WEEKNUM(events[[#This Row],[Start Date]]))</f>
        <v>WK_11</v>
      </c>
      <c r="J938" s="12">
        <v>45726.507962962962</v>
      </c>
      <c r="K938" s="10" t="s">
        <v>554</v>
      </c>
      <c r="L938" s="10" t="s">
        <v>25</v>
      </c>
      <c r="M938" s="10" t="s">
        <v>555</v>
      </c>
      <c r="N938" s="13">
        <f t="shared" si="14"/>
        <v>3.4833333333333334</v>
      </c>
      <c r="O938" s="14"/>
      <c r="P938" s="14"/>
      <c r="Q938" s="14" t="s">
        <v>556</v>
      </c>
      <c r="R938" s="14" t="s">
        <v>556</v>
      </c>
      <c r="S938" s="14" t="s">
        <v>557</v>
      </c>
      <c r="T938" s="14" t="s">
        <v>558</v>
      </c>
      <c r="U938" s="15" t="s">
        <v>559</v>
      </c>
      <c r="V938" s="10">
        <v>1</v>
      </c>
    </row>
    <row r="939" spans="1:22" ht="18" customHeight="1" x14ac:dyDescent="0.35">
      <c r="A939" s="10" t="s">
        <v>47</v>
      </c>
      <c r="B939" s="10" t="s">
        <v>3165</v>
      </c>
      <c r="C939" s="14" t="s">
        <v>2931</v>
      </c>
      <c r="D939" s="14" t="s">
        <v>74</v>
      </c>
      <c r="E939" s="12">
        <v>45726.462766203702</v>
      </c>
      <c r="F939" s="10" t="str">
        <f>TEXT(events[[#This Row],[Start Date]],"DDD")</f>
        <v>Mon</v>
      </c>
      <c r="G939" s="10">
        <f>YEAR(events[[#This Row],[Start Date]])</f>
        <v>2025</v>
      </c>
      <c r="H939" s="10" t="str">
        <f>TEXT(events[[#This Row],[Start Date]],"mmm")</f>
        <v>Mar</v>
      </c>
      <c r="I939" s="10" t="str">
        <f>CONCATENATE("WK_",WEEKNUM(events[[#This Row],[Start Date]]))</f>
        <v>WK_11</v>
      </c>
      <c r="J939" s="12">
        <v>45726.462789351855</v>
      </c>
      <c r="K939" s="10">
        <v>85</v>
      </c>
      <c r="L939" s="10" t="s">
        <v>25</v>
      </c>
      <c r="M939" s="10" t="s">
        <v>31</v>
      </c>
      <c r="N939" s="13">
        <f t="shared" si="14"/>
        <v>3.3333333333333333E-2</v>
      </c>
      <c r="O939" s="14" t="s">
        <v>38</v>
      </c>
      <c r="P939" s="14" t="s">
        <v>38</v>
      </c>
      <c r="Q939" s="14" t="s">
        <v>477</v>
      </c>
      <c r="R939" s="14" t="s">
        <v>477</v>
      </c>
      <c r="S939" s="14" t="s">
        <v>508</v>
      </c>
      <c r="T939" s="14" t="s">
        <v>509</v>
      </c>
      <c r="U939" s="15">
        <v>9.8000000000000004E-2</v>
      </c>
      <c r="V939" s="10">
        <v>1</v>
      </c>
    </row>
    <row r="940" spans="1:22" ht="18" customHeight="1" x14ac:dyDescent="0.35">
      <c r="A940" s="10" t="s">
        <v>47</v>
      </c>
      <c r="B940" s="10" t="s">
        <v>3374</v>
      </c>
      <c r="C940" s="14" t="s">
        <v>3409</v>
      </c>
      <c r="D940" s="14" t="s">
        <v>74</v>
      </c>
      <c r="E940" s="12">
        <v>45725.678240740737</v>
      </c>
      <c r="F940" s="10" t="str">
        <f>TEXT(events[[#This Row],[Start Date]],"DDD")</f>
        <v>Sun</v>
      </c>
      <c r="G940" s="10">
        <f>YEAR(events[[#This Row],[Start Date]])</f>
        <v>2025</v>
      </c>
      <c r="H940" s="10" t="str">
        <f>TEXT(events[[#This Row],[Start Date]],"mmm")</f>
        <v>Mar</v>
      </c>
      <c r="I940" s="10" t="str">
        <f>CONCATENATE("WK_",WEEKNUM(events[[#This Row],[Start Date]]))</f>
        <v>WK_11</v>
      </c>
      <c r="J940" s="12">
        <v>45725.678298611114</v>
      </c>
      <c r="K940" s="10">
        <v>83</v>
      </c>
      <c r="L940" s="10" t="s">
        <v>25</v>
      </c>
      <c r="M940" s="10" t="s">
        <v>431</v>
      </c>
      <c r="N940" s="13">
        <f t="shared" si="14"/>
        <v>8.3333333333333329E-2</v>
      </c>
      <c r="O940" s="14" t="s">
        <v>65</v>
      </c>
      <c r="P940" s="14" t="s">
        <v>65</v>
      </c>
      <c r="Q940" s="14" t="s">
        <v>79</v>
      </c>
      <c r="R940" s="14" t="s">
        <v>97</v>
      </c>
      <c r="S940" s="14" t="s">
        <v>529</v>
      </c>
      <c r="T940" s="14" t="s">
        <v>530</v>
      </c>
      <c r="U940" s="15">
        <v>9.4E-2</v>
      </c>
      <c r="V940" s="10">
        <v>1</v>
      </c>
    </row>
    <row r="941" spans="1:22" ht="18" customHeight="1" x14ac:dyDescent="0.35">
      <c r="A941" s="10" t="s">
        <v>123</v>
      </c>
      <c r="B941" s="10" t="s">
        <v>3274</v>
      </c>
      <c r="C941" s="14" t="s">
        <v>3050</v>
      </c>
      <c r="D941" s="14" t="s">
        <v>74</v>
      </c>
      <c r="E941" s="12">
        <v>45725.536585648151</v>
      </c>
      <c r="F941" s="10" t="str">
        <f>TEXT(events[[#This Row],[Start Date]],"DDD")</f>
        <v>Sun</v>
      </c>
      <c r="G941" s="10">
        <f>YEAR(events[[#This Row],[Start Date]])</f>
        <v>2025</v>
      </c>
      <c r="H941" s="10" t="str">
        <f>TEXT(events[[#This Row],[Start Date]],"mmm")</f>
        <v>Mar</v>
      </c>
      <c r="I941" s="10" t="str">
        <f>CONCATENATE("WK_",WEEKNUM(events[[#This Row],[Start Date]]))</f>
        <v>WK_11</v>
      </c>
      <c r="J941" s="12">
        <v>45725.536979166667</v>
      </c>
      <c r="K941" s="10" t="s">
        <v>542</v>
      </c>
      <c r="L941" s="10" t="s">
        <v>25</v>
      </c>
      <c r="M941" s="10" t="s">
        <v>543</v>
      </c>
      <c r="N941" s="13">
        <f t="shared" si="14"/>
        <v>0.55000000000000004</v>
      </c>
      <c r="O941" s="14"/>
      <c r="P941" s="14"/>
      <c r="Q941" s="14" t="s">
        <v>544</v>
      </c>
      <c r="R941" s="14" t="s">
        <v>544</v>
      </c>
      <c r="S941" s="14" t="s">
        <v>545</v>
      </c>
      <c r="T941" s="14" t="s">
        <v>546</v>
      </c>
      <c r="U941" s="15" t="s">
        <v>547</v>
      </c>
      <c r="V941" s="10">
        <v>1</v>
      </c>
    </row>
    <row r="942" spans="1:22" ht="18" customHeight="1" x14ac:dyDescent="0.35">
      <c r="A942" s="10" t="s">
        <v>23</v>
      </c>
      <c r="B942" s="10" t="s">
        <v>3226</v>
      </c>
      <c r="C942" s="14" t="s">
        <v>3081</v>
      </c>
      <c r="D942" s="14" t="s">
        <v>82</v>
      </c>
      <c r="E942" s="12">
        <v>45725.345659722225</v>
      </c>
      <c r="F942" s="10" t="str">
        <f>TEXT(events[[#This Row],[Start Date]],"DDD")</f>
        <v>Sun</v>
      </c>
      <c r="G942" s="10">
        <f>YEAR(events[[#This Row],[Start Date]])</f>
        <v>2025</v>
      </c>
      <c r="H942" s="10" t="str">
        <f>TEXT(events[[#This Row],[Start Date]],"mmm")</f>
        <v>Mar</v>
      </c>
      <c r="I942" s="10" t="str">
        <f>CONCATENATE("WK_",WEEKNUM(events[[#This Row],[Start Date]]))</f>
        <v>WK_11</v>
      </c>
      <c r="J942" s="12">
        <v>45725.345671296294</v>
      </c>
      <c r="K942" s="10">
        <v>26</v>
      </c>
      <c r="L942" s="10" t="s">
        <v>83</v>
      </c>
      <c r="M942" s="10" t="s">
        <v>26</v>
      </c>
      <c r="N942" s="13">
        <f t="shared" si="14"/>
        <v>1.6666666666666666E-2</v>
      </c>
      <c r="O942" s="14" t="s">
        <v>27</v>
      </c>
      <c r="P942" s="14"/>
      <c r="Q942" s="14" t="s">
        <v>288</v>
      </c>
      <c r="R942" s="14"/>
      <c r="S942" s="14" t="s">
        <v>500</v>
      </c>
      <c r="T942" s="14"/>
      <c r="U942" s="15">
        <v>0</v>
      </c>
      <c r="V942" s="10">
        <v>1</v>
      </c>
    </row>
    <row r="943" spans="1:22" ht="18" customHeight="1" x14ac:dyDescent="0.35">
      <c r="A943" s="10" t="s">
        <v>23</v>
      </c>
      <c r="B943" s="10" t="s">
        <v>3226</v>
      </c>
      <c r="C943" s="14" t="s">
        <v>3081</v>
      </c>
      <c r="D943" s="14" t="s">
        <v>24</v>
      </c>
      <c r="E943" s="12">
        <v>45724.773958333331</v>
      </c>
      <c r="F943" s="10" t="str">
        <f>TEXT(events[[#This Row],[Start Date]],"DDD")</f>
        <v>Sat</v>
      </c>
      <c r="G943" s="10">
        <f>YEAR(events[[#This Row],[Start Date]])</f>
        <v>2025</v>
      </c>
      <c r="H943" s="10" t="str">
        <f>TEXT(events[[#This Row],[Start Date]],"mmm")</f>
        <v>Mar</v>
      </c>
      <c r="I943" s="10" t="str">
        <f>CONCATENATE("WK_",WEEKNUM(events[[#This Row],[Start Date]]))</f>
        <v>WK_10</v>
      </c>
      <c r="J943" s="12">
        <v>45724.774189814816</v>
      </c>
      <c r="K943" s="10">
        <v>59</v>
      </c>
      <c r="L943" s="10" t="s">
        <v>25</v>
      </c>
      <c r="M943" s="10" t="s">
        <v>301</v>
      </c>
      <c r="N943" s="13">
        <f t="shared" si="14"/>
        <v>0.33333333333333331</v>
      </c>
      <c r="O943" s="14" t="s">
        <v>142</v>
      </c>
      <c r="P943" s="14" t="s">
        <v>142</v>
      </c>
      <c r="Q943" s="14" t="s">
        <v>497</v>
      </c>
      <c r="R943" s="14" t="s">
        <v>497</v>
      </c>
      <c r="S943" s="14" t="s">
        <v>498</v>
      </c>
      <c r="T943" s="14" t="s">
        <v>499</v>
      </c>
      <c r="U943" s="15">
        <v>0.312</v>
      </c>
      <c r="V943" s="10">
        <v>1</v>
      </c>
    </row>
    <row r="944" spans="1:22" ht="18" customHeight="1" x14ac:dyDescent="0.35">
      <c r="A944" s="10" t="s">
        <v>47</v>
      </c>
      <c r="B944" s="10" t="s">
        <v>3374</v>
      </c>
      <c r="C944" s="14" t="s">
        <v>3409</v>
      </c>
      <c r="D944" s="14" t="s">
        <v>74</v>
      </c>
      <c r="E944" s="12">
        <v>45724.721782407411</v>
      </c>
      <c r="F944" s="10" t="str">
        <f>TEXT(events[[#This Row],[Start Date]],"DDD")</f>
        <v>Sat</v>
      </c>
      <c r="G944" s="10">
        <f>YEAR(events[[#This Row],[Start Date]])</f>
        <v>2025</v>
      </c>
      <c r="H944" s="10" t="str">
        <f>TEXT(events[[#This Row],[Start Date]],"mmm")</f>
        <v>Mar</v>
      </c>
      <c r="I944" s="10" t="str">
        <f>CONCATENATE("WK_",WEEKNUM(events[[#This Row],[Start Date]]))</f>
        <v>WK_10</v>
      </c>
      <c r="J944" s="12">
        <v>45724.72184027778</v>
      </c>
      <c r="K944" s="10">
        <v>82</v>
      </c>
      <c r="L944" s="10" t="s">
        <v>25</v>
      </c>
      <c r="M944" s="10" t="s">
        <v>431</v>
      </c>
      <c r="N944" s="13">
        <f t="shared" si="14"/>
        <v>8.3333333333333329E-2</v>
      </c>
      <c r="O944" s="14" t="s">
        <v>268</v>
      </c>
      <c r="P944" s="14" t="s">
        <v>268</v>
      </c>
      <c r="Q944" s="14" t="s">
        <v>526</v>
      </c>
      <c r="R944" s="14" t="s">
        <v>526</v>
      </c>
      <c r="S944" s="14" t="s">
        <v>527</v>
      </c>
      <c r="T944" s="14" t="s">
        <v>528</v>
      </c>
      <c r="U944" s="15">
        <v>0.109</v>
      </c>
      <c r="V944" s="10">
        <v>1</v>
      </c>
    </row>
    <row r="945" spans="1:22" ht="18" customHeight="1" x14ac:dyDescent="0.35">
      <c r="A945" s="10" t="s">
        <v>47</v>
      </c>
      <c r="B945" s="10" t="s">
        <v>3374</v>
      </c>
      <c r="C945" s="14" t="s">
        <v>3409</v>
      </c>
      <c r="D945" s="14" t="s">
        <v>74</v>
      </c>
      <c r="E945" s="12">
        <v>45724.708333333336</v>
      </c>
      <c r="F945" s="10" t="str">
        <f>TEXT(events[[#This Row],[Start Date]],"DDD")</f>
        <v>Sat</v>
      </c>
      <c r="G945" s="10">
        <f>YEAR(events[[#This Row],[Start Date]])</f>
        <v>2025</v>
      </c>
      <c r="H945" s="10" t="str">
        <f>TEXT(events[[#This Row],[Start Date]],"mmm")</f>
        <v>Mar</v>
      </c>
      <c r="I945" s="10" t="str">
        <f>CONCATENATE("WK_",WEEKNUM(events[[#This Row],[Start Date]]))</f>
        <v>WK_10</v>
      </c>
      <c r="J945" s="12">
        <v>45724.708391203705</v>
      </c>
      <c r="K945" s="10">
        <v>84</v>
      </c>
      <c r="L945" s="10" t="s">
        <v>25</v>
      </c>
      <c r="M945" s="10" t="s">
        <v>431</v>
      </c>
      <c r="N945" s="13">
        <f t="shared" si="14"/>
        <v>8.3333333333333329E-2</v>
      </c>
      <c r="O945" s="14" t="s">
        <v>268</v>
      </c>
      <c r="P945" s="14" t="s">
        <v>268</v>
      </c>
      <c r="Q945" s="14" t="s">
        <v>269</v>
      </c>
      <c r="R945" s="14" t="s">
        <v>269</v>
      </c>
      <c r="S945" s="14" t="s">
        <v>524</v>
      </c>
      <c r="T945" s="14" t="s">
        <v>525</v>
      </c>
      <c r="U945" s="15">
        <v>9.4E-2</v>
      </c>
      <c r="V945" s="10">
        <v>1</v>
      </c>
    </row>
    <row r="946" spans="1:22" ht="18" customHeight="1" x14ac:dyDescent="0.35">
      <c r="A946" s="10" t="s">
        <v>123</v>
      </c>
      <c r="B946" s="10" t="s">
        <v>3375</v>
      </c>
      <c r="C946" s="14" t="s">
        <v>3410</v>
      </c>
      <c r="D946" s="14" t="s">
        <v>74</v>
      </c>
      <c r="E946" s="12">
        <v>45724.447245370371</v>
      </c>
      <c r="F946" s="10" t="str">
        <f>TEXT(events[[#This Row],[Start Date]],"DDD")</f>
        <v>Sat</v>
      </c>
      <c r="G946" s="10">
        <f>YEAR(events[[#This Row],[Start Date]])</f>
        <v>2025</v>
      </c>
      <c r="H946" s="10" t="str">
        <f>TEXT(events[[#This Row],[Start Date]],"mmm")</f>
        <v>Mar</v>
      </c>
      <c r="I946" s="10" t="str">
        <f>CONCATENATE("WK_",WEEKNUM(events[[#This Row],[Start Date]]))</f>
        <v>WK_10</v>
      </c>
      <c r="J946" s="12">
        <v>45724.447824074072</v>
      </c>
      <c r="K946" s="10" t="s">
        <v>560</v>
      </c>
      <c r="L946" s="10" t="s">
        <v>25</v>
      </c>
      <c r="M946" s="10" t="s">
        <v>489</v>
      </c>
      <c r="N946" s="13">
        <f t="shared" si="14"/>
        <v>0.81666666666666665</v>
      </c>
      <c r="O946" s="14"/>
      <c r="P946" s="14"/>
      <c r="Q946" s="14" t="s">
        <v>280</v>
      </c>
      <c r="R946" s="14" t="s">
        <v>280</v>
      </c>
      <c r="S946" s="14" t="s">
        <v>561</v>
      </c>
      <c r="T946" s="14" t="s">
        <v>562</v>
      </c>
      <c r="U946" s="15" t="s">
        <v>563</v>
      </c>
      <c r="V946" s="10">
        <v>1</v>
      </c>
    </row>
    <row r="947" spans="1:22" ht="18" customHeight="1" x14ac:dyDescent="0.35">
      <c r="A947" s="10" t="s">
        <v>47</v>
      </c>
      <c r="B947" s="10" t="s">
        <v>3374</v>
      </c>
      <c r="C947" s="14" t="s">
        <v>3409</v>
      </c>
      <c r="D947" s="14" t="s">
        <v>74</v>
      </c>
      <c r="E947" s="12">
        <v>45724.361701388887</v>
      </c>
      <c r="F947" s="10" t="str">
        <f>TEXT(events[[#This Row],[Start Date]],"DDD")</f>
        <v>Sat</v>
      </c>
      <c r="G947" s="10">
        <f>YEAR(events[[#This Row],[Start Date]])</f>
        <v>2025</v>
      </c>
      <c r="H947" s="10" t="str">
        <f>TEXT(events[[#This Row],[Start Date]],"mmm")</f>
        <v>Mar</v>
      </c>
      <c r="I947" s="10" t="str">
        <f>CONCATENATE("WK_",WEEKNUM(events[[#This Row],[Start Date]]))</f>
        <v>WK_10</v>
      </c>
      <c r="J947" s="12">
        <v>45724.361724537041</v>
      </c>
      <c r="K947" s="10">
        <v>81</v>
      </c>
      <c r="L947" s="10" t="s">
        <v>25</v>
      </c>
      <c r="M947" s="10" t="s">
        <v>31</v>
      </c>
      <c r="N947" s="13">
        <f t="shared" si="14"/>
        <v>3.3333333333333333E-2</v>
      </c>
      <c r="O947" s="14" t="s">
        <v>157</v>
      </c>
      <c r="P947" s="14" t="s">
        <v>157</v>
      </c>
      <c r="Q947" s="14" t="s">
        <v>465</v>
      </c>
      <c r="R947" s="14" t="s">
        <v>465</v>
      </c>
      <c r="S947" s="14" t="s">
        <v>522</v>
      </c>
      <c r="T947" s="14" t="s">
        <v>523</v>
      </c>
      <c r="U947" s="15">
        <v>0</v>
      </c>
      <c r="V947" s="10">
        <v>1</v>
      </c>
    </row>
    <row r="948" spans="1:22" ht="18" customHeight="1" x14ac:dyDescent="0.35">
      <c r="A948" s="10" t="s">
        <v>47</v>
      </c>
      <c r="B948" s="10" t="s">
        <v>3374</v>
      </c>
      <c r="C948" s="14" t="s">
        <v>3409</v>
      </c>
      <c r="D948" s="14" t="s">
        <v>74</v>
      </c>
      <c r="E948" s="12">
        <v>45724.303715277776</v>
      </c>
      <c r="F948" s="10" t="str">
        <f>TEXT(events[[#This Row],[Start Date]],"DDD")</f>
        <v>Sat</v>
      </c>
      <c r="G948" s="10">
        <f>YEAR(events[[#This Row],[Start Date]])</f>
        <v>2025</v>
      </c>
      <c r="H948" s="10" t="str">
        <f>TEXT(events[[#This Row],[Start Date]],"mmm")</f>
        <v>Mar</v>
      </c>
      <c r="I948" s="10" t="str">
        <f>CONCATENATE("WK_",WEEKNUM(events[[#This Row],[Start Date]]))</f>
        <v>WK_10</v>
      </c>
      <c r="J948" s="12">
        <v>45724.303715277776</v>
      </c>
      <c r="K948" s="10">
        <v>81</v>
      </c>
      <c r="L948" s="10" t="s">
        <v>25</v>
      </c>
      <c r="M948" s="10" t="s">
        <v>87</v>
      </c>
      <c r="N948" s="13">
        <f t="shared" si="14"/>
        <v>0</v>
      </c>
      <c r="O948" s="14" t="s">
        <v>231</v>
      </c>
      <c r="P948" s="14" t="s">
        <v>231</v>
      </c>
      <c r="Q948" s="14" t="s">
        <v>520</v>
      </c>
      <c r="R948" s="14" t="s">
        <v>520</v>
      </c>
      <c r="S948" s="14" t="s">
        <v>521</v>
      </c>
      <c r="T948" s="14" t="s">
        <v>521</v>
      </c>
      <c r="U948" s="15">
        <v>0</v>
      </c>
      <c r="V948" s="10">
        <v>1</v>
      </c>
    </row>
    <row r="949" spans="1:22" ht="18" customHeight="1" x14ac:dyDescent="0.35">
      <c r="A949" s="10" t="s">
        <v>123</v>
      </c>
      <c r="B949" s="10" t="s">
        <v>3373</v>
      </c>
      <c r="C949" s="14" t="s">
        <v>3408</v>
      </c>
      <c r="D949" s="14" t="s">
        <v>74</v>
      </c>
      <c r="E949" s="12">
        <v>45724.281666666669</v>
      </c>
      <c r="F949" s="10" t="str">
        <f>TEXT(events[[#This Row],[Start Date]],"DDD")</f>
        <v>Sat</v>
      </c>
      <c r="G949" s="10">
        <f>YEAR(events[[#This Row],[Start Date]])</f>
        <v>2025</v>
      </c>
      <c r="H949" s="10" t="str">
        <f>TEXT(events[[#This Row],[Start Date]],"mmm")</f>
        <v>Mar</v>
      </c>
      <c r="I949" s="10" t="str">
        <f>CONCATENATE("WK_",WEEKNUM(events[[#This Row],[Start Date]]))</f>
        <v>WK_10</v>
      </c>
      <c r="J949" s="12">
        <v>45724.281840277778</v>
      </c>
      <c r="K949" s="10" t="s">
        <v>564</v>
      </c>
      <c r="L949" s="10" t="s">
        <v>25</v>
      </c>
      <c r="M949" s="10" t="s">
        <v>418</v>
      </c>
      <c r="N949" s="13">
        <f t="shared" si="14"/>
        <v>0.23333333333333334</v>
      </c>
      <c r="O949" s="14"/>
      <c r="P949" s="14"/>
      <c r="Q949" s="14" t="s">
        <v>404</v>
      </c>
      <c r="R949" s="14" t="s">
        <v>565</v>
      </c>
      <c r="S949" s="14" t="s">
        <v>566</v>
      </c>
      <c r="T949" s="14" t="s">
        <v>567</v>
      </c>
      <c r="U949" s="15" t="s">
        <v>568</v>
      </c>
      <c r="V949" s="10">
        <v>1</v>
      </c>
    </row>
    <row r="950" spans="1:22" ht="18" customHeight="1" x14ac:dyDescent="0.35">
      <c r="A950" s="10" t="s">
        <v>47</v>
      </c>
      <c r="B950" s="10" t="s">
        <v>3374</v>
      </c>
      <c r="C950" s="14" t="s">
        <v>3409</v>
      </c>
      <c r="D950" s="14" t="s">
        <v>74</v>
      </c>
      <c r="E950" s="12">
        <v>45724.225810185184</v>
      </c>
      <c r="F950" s="10" t="str">
        <f>TEXT(events[[#This Row],[Start Date]],"DDD")</f>
        <v>Sat</v>
      </c>
      <c r="G950" s="10">
        <f>YEAR(events[[#This Row],[Start Date]])</f>
        <v>2025</v>
      </c>
      <c r="H950" s="10" t="str">
        <f>TEXT(events[[#This Row],[Start Date]],"mmm")</f>
        <v>Mar</v>
      </c>
      <c r="I950" s="10" t="str">
        <f>CONCATENATE("WK_",WEEKNUM(events[[#This Row],[Start Date]]))</f>
        <v>WK_10</v>
      </c>
      <c r="J950" s="12">
        <v>45724.225856481484</v>
      </c>
      <c r="K950" s="10">
        <v>84</v>
      </c>
      <c r="L950" s="10" t="s">
        <v>25</v>
      </c>
      <c r="M950" s="10" t="s">
        <v>275</v>
      </c>
      <c r="N950" s="13">
        <f t="shared" si="14"/>
        <v>6.6666666666666666E-2</v>
      </c>
      <c r="O950" s="14" t="s">
        <v>138</v>
      </c>
      <c r="P950" s="14" t="s">
        <v>138</v>
      </c>
      <c r="Q950" s="14" t="s">
        <v>245</v>
      </c>
      <c r="R950" s="14" t="s">
        <v>245</v>
      </c>
      <c r="S950" s="14" t="s">
        <v>518</v>
      </c>
      <c r="T950" s="14" t="s">
        <v>519</v>
      </c>
      <c r="U950" s="15">
        <v>0.20300000000000001</v>
      </c>
      <c r="V950" s="10">
        <v>1</v>
      </c>
    </row>
    <row r="951" spans="1:22" ht="18" customHeight="1" x14ac:dyDescent="0.35">
      <c r="A951" s="10" t="s">
        <v>47</v>
      </c>
      <c r="B951" s="10" t="s">
        <v>3222</v>
      </c>
      <c r="C951" s="14" t="s">
        <v>2991</v>
      </c>
      <c r="D951" s="14" t="s">
        <v>74</v>
      </c>
      <c r="E951" s="12">
        <v>45723.884293981479</v>
      </c>
      <c r="F951" s="10" t="str">
        <f>TEXT(events[[#This Row],[Start Date]],"DDD")</f>
        <v>Fri</v>
      </c>
      <c r="G951" s="10">
        <f>YEAR(events[[#This Row],[Start Date]])</f>
        <v>2025</v>
      </c>
      <c r="H951" s="10" t="str">
        <f>TEXT(events[[#This Row],[Start Date]],"mmm")</f>
        <v>Mar</v>
      </c>
      <c r="I951" s="10" t="str">
        <f>CONCATENATE("WK_",WEEKNUM(events[[#This Row],[Start Date]]))</f>
        <v>WK_10</v>
      </c>
      <c r="J951" s="12">
        <v>45723.884293981479</v>
      </c>
      <c r="K951" s="10">
        <v>81</v>
      </c>
      <c r="L951" s="10" t="s">
        <v>25</v>
      </c>
      <c r="M951" s="10" t="s">
        <v>87</v>
      </c>
      <c r="N951" s="13">
        <f t="shared" si="14"/>
        <v>0</v>
      </c>
      <c r="O951" s="14" t="s">
        <v>108</v>
      </c>
      <c r="P951" s="14" t="s">
        <v>108</v>
      </c>
      <c r="Q951" s="14" t="s">
        <v>109</v>
      </c>
      <c r="R951" s="14" t="s">
        <v>109</v>
      </c>
      <c r="S951" s="14" t="s">
        <v>514</v>
      </c>
      <c r="T951" s="14" t="s">
        <v>514</v>
      </c>
      <c r="U951" s="15">
        <v>0</v>
      </c>
      <c r="V951" s="10">
        <v>1</v>
      </c>
    </row>
    <row r="952" spans="1:22" ht="18" customHeight="1" x14ac:dyDescent="0.35">
      <c r="A952" s="10" t="s">
        <v>123</v>
      </c>
      <c r="B952" s="10" t="s">
        <v>3192</v>
      </c>
      <c r="C952" s="14" t="s">
        <v>2959</v>
      </c>
      <c r="D952" s="14" t="s">
        <v>74</v>
      </c>
      <c r="E952" s="12">
        <v>45723.789594907408</v>
      </c>
      <c r="F952" s="10" t="str">
        <f>TEXT(events[[#This Row],[Start Date]],"DDD")</f>
        <v>Fri</v>
      </c>
      <c r="G952" s="10">
        <f>YEAR(events[[#This Row],[Start Date]])</f>
        <v>2025</v>
      </c>
      <c r="H952" s="10" t="str">
        <f>TEXT(events[[#This Row],[Start Date]],"mmm")</f>
        <v>Mar</v>
      </c>
      <c r="I952" s="10" t="str">
        <f>CONCATENATE("WK_",WEEKNUM(events[[#This Row],[Start Date]]))</f>
        <v>WK_10</v>
      </c>
      <c r="J952" s="12">
        <v>45723.790277777778</v>
      </c>
      <c r="K952" s="10" t="s">
        <v>537</v>
      </c>
      <c r="L952" s="10" t="s">
        <v>25</v>
      </c>
      <c r="M952" s="10" t="s">
        <v>538</v>
      </c>
      <c r="N952" s="13">
        <f t="shared" si="14"/>
        <v>0.98333333333333328</v>
      </c>
      <c r="O952" s="14"/>
      <c r="P952" s="14"/>
      <c r="Q952" s="14" t="s">
        <v>304</v>
      </c>
      <c r="R952" s="14" t="s">
        <v>304</v>
      </c>
      <c r="S952" s="14" t="s">
        <v>539</v>
      </c>
      <c r="T952" s="14" t="s">
        <v>540</v>
      </c>
      <c r="U952" s="15" t="s">
        <v>541</v>
      </c>
      <c r="V952" s="10">
        <v>1</v>
      </c>
    </row>
    <row r="953" spans="1:22" ht="18" customHeight="1" x14ac:dyDescent="0.35">
      <c r="A953" s="10" t="s">
        <v>47</v>
      </c>
      <c r="B953" s="10" t="s">
        <v>3159</v>
      </c>
      <c r="C953" s="14" t="s">
        <v>2954</v>
      </c>
      <c r="D953" s="14" t="s">
        <v>24</v>
      </c>
      <c r="E953" s="12">
        <v>45721.607083333336</v>
      </c>
      <c r="F953" s="10" t="str">
        <f>TEXT(events[[#This Row],[Start Date]],"DDD")</f>
        <v>Wed</v>
      </c>
      <c r="G953" s="10">
        <f>YEAR(events[[#This Row],[Start Date]])</f>
        <v>2025</v>
      </c>
      <c r="H953" s="10" t="str">
        <f>TEXT(events[[#This Row],[Start Date]],"mmm")</f>
        <v>Mar</v>
      </c>
      <c r="I953" s="10" t="str">
        <f>CONCATENATE("WK_",WEEKNUM(events[[#This Row],[Start Date]]))</f>
        <v>WK_10</v>
      </c>
      <c r="J953" s="12">
        <v>45721.607106481482</v>
      </c>
      <c r="K953" s="10">
        <v>62</v>
      </c>
      <c r="L953" s="10" t="s">
        <v>25</v>
      </c>
      <c r="M953" s="10" t="s">
        <v>31</v>
      </c>
      <c r="N953" s="13">
        <f t="shared" si="14"/>
        <v>3.3333333333333333E-2</v>
      </c>
      <c r="O953" s="14" t="s">
        <v>182</v>
      </c>
      <c r="P953" s="14" t="s">
        <v>182</v>
      </c>
      <c r="Q953" s="14" t="s">
        <v>515</v>
      </c>
      <c r="R953" s="14" t="s">
        <v>515</v>
      </c>
      <c r="S953" s="14" t="s">
        <v>516</v>
      </c>
      <c r="T953" s="14" t="s">
        <v>517</v>
      </c>
      <c r="U953" s="15">
        <v>9.4E-2</v>
      </c>
      <c r="V953" s="10">
        <v>1</v>
      </c>
    </row>
    <row r="954" spans="1:22" ht="18" customHeight="1" x14ac:dyDescent="0.35">
      <c r="A954" s="10" t="s">
        <v>47</v>
      </c>
      <c r="B954" s="10" t="s">
        <v>3222</v>
      </c>
      <c r="C954" s="14" t="s">
        <v>2991</v>
      </c>
      <c r="D954" s="14" t="s">
        <v>74</v>
      </c>
      <c r="E954" s="12">
        <v>45720.765694444446</v>
      </c>
      <c r="F954" s="10" t="str">
        <f>TEXT(events[[#This Row],[Start Date]],"DDD")</f>
        <v>Tue</v>
      </c>
      <c r="G954" s="10">
        <f>YEAR(events[[#This Row],[Start Date]])</f>
        <v>2025</v>
      </c>
      <c r="H954" s="10" t="str">
        <f>TEXT(events[[#This Row],[Start Date]],"mmm")</f>
        <v>Mar</v>
      </c>
      <c r="I954" s="10" t="str">
        <f>CONCATENATE("WK_",WEEKNUM(events[[#This Row],[Start Date]]))</f>
        <v>WK_10</v>
      </c>
      <c r="J954" s="12">
        <v>45720.765752314815</v>
      </c>
      <c r="K954" s="10">
        <v>88</v>
      </c>
      <c r="L954" s="10" t="s">
        <v>25</v>
      </c>
      <c r="M954" s="10" t="s">
        <v>431</v>
      </c>
      <c r="N954" s="13">
        <f t="shared" si="14"/>
        <v>8.3333333333333329E-2</v>
      </c>
      <c r="O954" s="14" t="s">
        <v>38</v>
      </c>
      <c r="P954" s="14" t="s">
        <v>38</v>
      </c>
      <c r="Q954" s="14" t="s">
        <v>510</v>
      </c>
      <c r="R954" s="14" t="s">
        <v>511</v>
      </c>
      <c r="S954" s="14" t="s">
        <v>512</v>
      </c>
      <c r="T954" s="14" t="s">
        <v>513</v>
      </c>
      <c r="U954" s="15">
        <v>0.19500000000000001</v>
      </c>
      <c r="V954" s="10">
        <v>1</v>
      </c>
    </row>
    <row r="955" spans="1:22" ht="18" customHeight="1" x14ac:dyDescent="0.35">
      <c r="A955" s="10" t="s">
        <v>23</v>
      </c>
      <c r="B955" s="10" t="s">
        <v>3363</v>
      </c>
      <c r="C955" s="14" t="s">
        <v>3073</v>
      </c>
      <c r="D955" s="14" t="s">
        <v>82</v>
      </c>
      <c r="E955" s="12">
        <v>45720.691342592596</v>
      </c>
      <c r="F955" s="10" t="str">
        <f>TEXT(events[[#This Row],[Start Date]],"DDD")</f>
        <v>Tue</v>
      </c>
      <c r="G955" s="10">
        <f>YEAR(events[[#This Row],[Start Date]])</f>
        <v>2025</v>
      </c>
      <c r="H955" s="10" t="str">
        <f>TEXT(events[[#This Row],[Start Date]],"mmm")</f>
        <v>Mar</v>
      </c>
      <c r="I955" s="10" t="str">
        <f>CONCATENATE("WK_",WEEKNUM(events[[#This Row],[Start Date]]))</f>
        <v>WK_10</v>
      </c>
      <c r="J955" s="12">
        <v>45720.691354166665</v>
      </c>
      <c r="K955" s="10">
        <v>32</v>
      </c>
      <c r="L955" s="10" t="s">
        <v>83</v>
      </c>
      <c r="M955" s="10" t="s">
        <v>26</v>
      </c>
      <c r="N955" s="13">
        <f t="shared" si="14"/>
        <v>1.6666666666666666E-2</v>
      </c>
      <c r="O955" s="14" t="s">
        <v>142</v>
      </c>
      <c r="P955" s="14"/>
      <c r="Q955" s="14" t="s">
        <v>504</v>
      </c>
      <c r="R955" s="14"/>
      <c r="S955" s="14" t="s">
        <v>505</v>
      </c>
      <c r="T955" s="14"/>
      <c r="U955" s="15">
        <v>0</v>
      </c>
      <c r="V955" s="10">
        <v>1</v>
      </c>
    </row>
    <row r="956" spans="1:22" ht="18" customHeight="1" x14ac:dyDescent="0.35">
      <c r="A956" s="10" t="s">
        <v>47</v>
      </c>
      <c r="B956" s="10" t="s">
        <v>3216</v>
      </c>
      <c r="C956" s="11" t="s">
        <v>3140</v>
      </c>
      <c r="D956" s="11" t="s">
        <v>24</v>
      </c>
      <c r="E956" s="12">
        <v>45719.711504629631</v>
      </c>
      <c r="F956" s="10" t="str">
        <f>TEXT(events[[#This Row],[Start Date]],"DDD")</f>
        <v>Mon</v>
      </c>
      <c r="G956" s="10">
        <f>YEAR(events[[#This Row],[Start Date]])</f>
        <v>2025</v>
      </c>
      <c r="H956" s="10" t="str">
        <f>TEXT(events[[#This Row],[Start Date]],"mmm")</f>
        <v>Mar</v>
      </c>
      <c r="I956" s="10" t="str">
        <f>CONCATENATE("WK_",WEEKNUM(events[[#This Row],[Start Date]]))</f>
        <v>WK_10</v>
      </c>
      <c r="J956" s="12">
        <v>45719.711516203701</v>
      </c>
      <c r="K956" s="10">
        <v>32</v>
      </c>
      <c r="L956" s="10" t="s">
        <v>25</v>
      </c>
      <c r="M956" s="10" t="s">
        <v>26</v>
      </c>
      <c r="N956" s="13">
        <f t="shared" si="14"/>
        <v>1.6666666666666666E-2</v>
      </c>
      <c r="O956" s="14" t="s">
        <v>27</v>
      </c>
      <c r="P956" s="14" t="s">
        <v>27</v>
      </c>
      <c r="Q956" s="14" t="s">
        <v>571</v>
      </c>
      <c r="R956" s="14" t="s">
        <v>571</v>
      </c>
      <c r="S956" s="14" t="s">
        <v>572</v>
      </c>
      <c r="T956" s="14" t="s">
        <v>573</v>
      </c>
      <c r="U956" s="15">
        <v>0</v>
      </c>
      <c r="V956" s="10">
        <v>1</v>
      </c>
    </row>
    <row r="957" spans="1:22" ht="18" customHeight="1" x14ac:dyDescent="0.35">
      <c r="A957" s="10" t="s">
        <v>47</v>
      </c>
      <c r="B957" s="10" t="s">
        <v>3374</v>
      </c>
      <c r="C957" s="11" t="s">
        <v>3409</v>
      </c>
      <c r="D957" s="11" t="s">
        <v>74</v>
      </c>
      <c r="E957" s="12">
        <v>45718.312881944446</v>
      </c>
      <c r="F957" s="10" t="str">
        <f>TEXT(events[[#This Row],[Start Date]],"DDD")</f>
        <v>Sun</v>
      </c>
      <c r="G957" s="10">
        <f>YEAR(events[[#This Row],[Start Date]])</f>
        <v>2025</v>
      </c>
      <c r="H957" s="10" t="str">
        <f>TEXT(events[[#This Row],[Start Date]],"mmm")</f>
        <v>Mar</v>
      </c>
      <c r="I957" s="10" t="str">
        <f>CONCATENATE("WK_",WEEKNUM(events[[#This Row],[Start Date]]))</f>
        <v>WK_10</v>
      </c>
      <c r="J957" s="12">
        <v>45718.312951388885</v>
      </c>
      <c r="K957" s="10">
        <v>84</v>
      </c>
      <c r="L957" s="10" t="s">
        <v>25</v>
      </c>
      <c r="M957" s="10" t="s">
        <v>328</v>
      </c>
      <c r="N957" s="13">
        <f t="shared" si="14"/>
        <v>0.1</v>
      </c>
      <c r="O957" s="14" t="s">
        <v>268</v>
      </c>
      <c r="P957" s="14" t="s">
        <v>268</v>
      </c>
      <c r="Q957" s="14" t="s">
        <v>574</v>
      </c>
      <c r="R957" s="14" t="s">
        <v>574</v>
      </c>
      <c r="S957" s="14" t="s">
        <v>576</v>
      </c>
      <c r="T957" s="14" t="s">
        <v>577</v>
      </c>
      <c r="U957" s="15">
        <v>9.4E-2</v>
      </c>
      <c r="V957" s="10">
        <v>1</v>
      </c>
    </row>
    <row r="958" spans="1:22" ht="18" customHeight="1" x14ac:dyDescent="0.35">
      <c r="A958" s="10" t="s">
        <v>47</v>
      </c>
      <c r="B958" s="10" t="s">
        <v>3374</v>
      </c>
      <c r="C958" s="11" t="s">
        <v>3409</v>
      </c>
      <c r="D958" s="11" t="s">
        <v>74</v>
      </c>
      <c r="E958" s="12">
        <v>45718.312754629631</v>
      </c>
      <c r="F958" s="10" t="str">
        <f>TEXT(events[[#This Row],[Start Date]],"DDD")</f>
        <v>Sun</v>
      </c>
      <c r="G958" s="10">
        <f>YEAR(events[[#This Row],[Start Date]])</f>
        <v>2025</v>
      </c>
      <c r="H958" s="10" t="str">
        <f>TEXT(events[[#This Row],[Start Date]],"mmm")</f>
        <v>Mar</v>
      </c>
      <c r="I958" s="10" t="str">
        <f>CONCATENATE("WK_",WEEKNUM(events[[#This Row],[Start Date]]))</f>
        <v>WK_10</v>
      </c>
      <c r="J958" s="12">
        <v>45718.312754629631</v>
      </c>
      <c r="K958" s="10">
        <v>81</v>
      </c>
      <c r="L958" s="10" t="s">
        <v>25</v>
      </c>
      <c r="M958" s="10" t="s">
        <v>87</v>
      </c>
      <c r="N958" s="13">
        <f t="shared" si="14"/>
        <v>0</v>
      </c>
      <c r="O958" s="14" t="s">
        <v>268</v>
      </c>
      <c r="P958" s="14" t="s">
        <v>268</v>
      </c>
      <c r="Q958" s="14" t="s">
        <v>574</v>
      </c>
      <c r="R958" s="14" t="s">
        <v>574</v>
      </c>
      <c r="S958" s="14" t="s">
        <v>575</v>
      </c>
      <c r="T958" s="14" t="s">
        <v>575</v>
      </c>
      <c r="U958" s="15">
        <v>9.4E-2</v>
      </c>
      <c r="V958" s="10">
        <v>1</v>
      </c>
    </row>
    <row r="959" spans="1:22" ht="18" customHeight="1" x14ac:dyDescent="0.35">
      <c r="A959" s="10" t="s">
        <v>123</v>
      </c>
      <c r="B959" s="10" t="s">
        <v>3161</v>
      </c>
      <c r="C959" s="11" t="s">
        <v>2927</v>
      </c>
      <c r="D959" s="11" t="s">
        <v>74</v>
      </c>
      <c r="E959" s="12">
        <v>45717.592326388891</v>
      </c>
      <c r="F959" s="10" t="str">
        <f>TEXT(events[[#This Row],[Start Date]],"DDD")</f>
        <v>Sat</v>
      </c>
      <c r="G959" s="10">
        <f>YEAR(events[[#This Row],[Start Date]])</f>
        <v>2025</v>
      </c>
      <c r="H959" s="10" t="str">
        <f>TEXT(events[[#This Row],[Start Date]],"mmm")</f>
        <v>Mar</v>
      </c>
      <c r="I959" s="10" t="str">
        <f>CONCATENATE("WK_",WEEKNUM(events[[#This Row],[Start Date]]))</f>
        <v>WK_9</v>
      </c>
      <c r="J959" s="12">
        <v>45717.592592592591</v>
      </c>
      <c r="K959" s="10">
        <v>87</v>
      </c>
      <c r="L959" s="10" t="s">
        <v>25</v>
      </c>
      <c r="M959" s="10" t="s">
        <v>583</v>
      </c>
      <c r="N959" s="13">
        <f t="shared" si="14"/>
        <v>0.38333333333333336</v>
      </c>
      <c r="O959" s="14"/>
      <c r="P959" s="14"/>
      <c r="Q959" s="14" t="s">
        <v>584</v>
      </c>
      <c r="R959" s="14" t="s">
        <v>584</v>
      </c>
      <c r="S959" s="14" t="s">
        <v>585</v>
      </c>
      <c r="T959" s="14" t="s">
        <v>586</v>
      </c>
      <c r="U959" s="15">
        <v>0.7</v>
      </c>
      <c r="V959" s="10">
        <v>1</v>
      </c>
    </row>
    <row r="960" spans="1:22" ht="18" customHeight="1" x14ac:dyDescent="0.35">
      <c r="A960" s="10" t="s">
        <v>23</v>
      </c>
      <c r="B960" s="10" t="s">
        <v>3363</v>
      </c>
      <c r="C960" s="11" t="s">
        <v>3073</v>
      </c>
      <c r="D960" s="11" t="s">
        <v>24</v>
      </c>
      <c r="E960" s="12">
        <v>45717.476712962962</v>
      </c>
      <c r="F960" s="10" t="str">
        <f>TEXT(events[[#This Row],[Start Date]],"DDD")</f>
        <v>Sat</v>
      </c>
      <c r="G960" s="10">
        <f>YEAR(events[[#This Row],[Start Date]])</f>
        <v>2025</v>
      </c>
      <c r="H960" s="10" t="str">
        <f>TEXT(events[[#This Row],[Start Date]],"mmm")</f>
        <v>Mar</v>
      </c>
      <c r="I960" s="10" t="str">
        <f>CONCATENATE("WK_",WEEKNUM(events[[#This Row],[Start Date]]))</f>
        <v>WK_9</v>
      </c>
      <c r="J960" s="12">
        <v>45717.476724537039</v>
      </c>
      <c r="K960" s="10">
        <v>53</v>
      </c>
      <c r="L960" s="10" t="s">
        <v>25</v>
      </c>
      <c r="M960" s="10" t="s">
        <v>26</v>
      </c>
      <c r="N960" s="13">
        <f t="shared" si="14"/>
        <v>1.6666666666666666E-2</v>
      </c>
      <c r="O960" s="14" t="s">
        <v>27</v>
      </c>
      <c r="P960" s="14" t="s">
        <v>27</v>
      </c>
      <c r="Q960" s="14" t="s">
        <v>312</v>
      </c>
      <c r="R960" s="14" t="s">
        <v>312</v>
      </c>
      <c r="S960" s="14" t="s">
        <v>569</v>
      </c>
      <c r="T960" s="14" t="s">
        <v>570</v>
      </c>
      <c r="U960" s="15">
        <v>0</v>
      </c>
      <c r="V960" s="10">
        <v>1</v>
      </c>
    </row>
    <row r="961" spans="1:22" ht="18" customHeight="1" x14ac:dyDescent="0.35">
      <c r="A961" s="10" t="s">
        <v>86</v>
      </c>
      <c r="B961" s="10" t="s">
        <v>3164</v>
      </c>
      <c r="C961" s="11" t="s">
        <v>3112</v>
      </c>
      <c r="D961" s="11" t="s">
        <v>74</v>
      </c>
      <c r="E961" s="12">
        <v>45716.371018518519</v>
      </c>
      <c r="F961" s="10" t="str">
        <f>TEXT(events[[#This Row],[Start Date]],"DDD")</f>
        <v>Fri</v>
      </c>
      <c r="G961" s="10">
        <f>YEAR(events[[#This Row],[Start Date]])</f>
        <v>2025</v>
      </c>
      <c r="H961" s="10" t="str">
        <f>TEXT(events[[#This Row],[Start Date]],"mmm")</f>
        <v>Feb</v>
      </c>
      <c r="I961" s="10" t="str">
        <f>CONCATENATE("WK_",WEEKNUM(events[[#This Row],[Start Date]]))</f>
        <v>WK_9</v>
      </c>
      <c r="J961" s="12" t="s">
        <v>2914</v>
      </c>
      <c r="K961" s="10">
        <v>83</v>
      </c>
      <c r="L961" s="10" t="s">
        <v>25</v>
      </c>
      <c r="M961" s="10" t="s">
        <v>328</v>
      </c>
      <c r="N961" s="13">
        <f t="shared" si="14"/>
        <v>0.1</v>
      </c>
      <c r="O961" s="14" t="s">
        <v>27</v>
      </c>
      <c r="P961" s="14" t="s">
        <v>27</v>
      </c>
      <c r="Q961" s="14" t="s">
        <v>291</v>
      </c>
      <c r="R961" s="14" t="s">
        <v>291</v>
      </c>
      <c r="S961" s="14" t="s">
        <v>578</v>
      </c>
      <c r="T961" s="14" t="s">
        <v>579</v>
      </c>
      <c r="U961" s="15">
        <v>0.19500000000000001</v>
      </c>
      <c r="V961" s="10">
        <v>1</v>
      </c>
    </row>
    <row r="962" spans="1:22" ht="18" customHeight="1" x14ac:dyDescent="0.35">
      <c r="A962" s="10" t="s">
        <v>123</v>
      </c>
      <c r="B962" s="10" t="s">
        <v>3161</v>
      </c>
      <c r="C962" s="11" t="s">
        <v>2927</v>
      </c>
      <c r="D962" s="11" t="s">
        <v>74</v>
      </c>
      <c r="E962" s="12">
        <v>45715.327476851853</v>
      </c>
      <c r="F962" s="10" t="str">
        <f>TEXT(events[[#This Row],[Start Date]],"DDD")</f>
        <v>Thu</v>
      </c>
      <c r="G962" s="10">
        <f>YEAR(events[[#This Row],[Start Date]])</f>
        <v>2025</v>
      </c>
      <c r="H962" s="10" t="str">
        <f>TEXT(events[[#This Row],[Start Date]],"mmm")</f>
        <v>Feb</v>
      </c>
      <c r="I962" s="10" t="str">
        <f>CONCATENATE("WK_",WEEKNUM(events[[#This Row],[Start Date]]))</f>
        <v>WK_9</v>
      </c>
      <c r="J962" s="12">
        <v>45715.328055555554</v>
      </c>
      <c r="K962" s="10">
        <v>104</v>
      </c>
      <c r="L962" s="10" t="s">
        <v>25</v>
      </c>
      <c r="M962" s="10" t="s">
        <v>580</v>
      </c>
      <c r="N962" s="13">
        <f t="shared" ref="N962:N1025" si="15">HOUR(M962)*60+MINUTE(M962)+SECOND(M962)/60</f>
        <v>0.83333333333333337</v>
      </c>
      <c r="O962" s="14"/>
      <c r="P962" s="14"/>
      <c r="Q962" s="14" t="s">
        <v>280</v>
      </c>
      <c r="R962" s="14" t="s">
        <v>370</v>
      </c>
      <c r="S962" s="14" t="s">
        <v>581</v>
      </c>
      <c r="T962" s="14" t="s">
        <v>582</v>
      </c>
      <c r="U962" s="15">
        <v>1.3</v>
      </c>
      <c r="V962" s="10">
        <v>1</v>
      </c>
    </row>
    <row r="963" spans="1:22" ht="18" customHeight="1" x14ac:dyDescent="0.35">
      <c r="A963" s="10" t="s">
        <v>23</v>
      </c>
      <c r="B963" s="10" t="s">
        <v>3256</v>
      </c>
      <c r="C963" s="11" t="s">
        <v>3411</v>
      </c>
      <c r="D963" s="11" t="s">
        <v>24</v>
      </c>
      <c r="E963" s="12">
        <v>45713.887453703705</v>
      </c>
      <c r="F963" s="10" t="str">
        <f>TEXT(events[[#This Row],[Start Date]],"DDD")</f>
        <v>Tue</v>
      </c>
      <c r="G963" s="10">
        <f>YEAR(events[[#This Row],[Start Date]])</f>
        <v>2025</v>
      </c>
      <c r="H963" s="10" t="str">
        <f>TEXT(events[[#This Row],[Start Date]],"mmm")</f>
        <v>Feb</v>
      </c>
      <c r="I963" s="10" t="str">
        <f>CONCATENATE("WK_",WEEKNUM(events[[#This Row],[Start Date]]))</f>
        <v>WK_9</v>
      </c>
      <c r="J963" s="12">
        <v>45713.887499999997</v>
      </c>
      <c r="K963" s="10">
        <v>59</v>
      </c>
      <c r="L963" s="10" t="s">
        <v>25</v>
      </c>
      <c r="M963" s="10" t="s">
        <v>275</v>
      </c>
      <c r="N963" s="13">
        <f t="shared" si="15"/>
        <v>6.6666666666666666E-2</v>
      </c>
      <c r="O963" s="14" t="s">
        <v>38</v>
      </c>
      <c r="P963" s="14" t="s">
        <v>38</v>
      </c>
      <c r="Q963" s="14" t="s">
        <v>592</v>
      </c>
      <c r="R963" s="14" t="s">
        <v>592</v>
      </c>
      <c r="S963" s="14" t="s">
        <v>593</v>
      </c>
      <c r="T963" s="14" t="s">
        <v>594</v>
      </c>
      <c r="U963" s="15">
        <v>9.4E-2</v>
      </c>
      <c r="V963" s="10">
        <v>1</v>
      </c>
    </row>
    <row r="964" spans="1:22" ht="18" customHeight="1" x14ac:dyDescent="0.35">
      <c r="A964" s="10" t="s">
        <v>123</v>
      </c>
      <c r="B964" s="10" t="s">
        <v>3230</v>
      </c>
      <c r="C964" s="18" t="s">
        <v>2997</v>
      </c>
      <c r="D964" s="11" t="s">
        <v>74</v>
      </c>
      <c r="E964" s="12">
        <v>45713.747615740744</v>
      </c>
      <c r="F964" s="10" t="str">
        <f>TEXT(events[[#This Row],[Start Date]],"DDD")</f>
        <v>Tue</v>
      </c>
      <c r="G964" s="10">
        <f>YEAR(events[[#This Row],[Start Date]])</f>
        <v>2025</v>
      </c>
      <c r="H964" s="10" t="str">
        <f>TEXT(events[[#This Row],[Start Date]],"mmm")</f>
        <v>Feb</v>
      </c>
      <c r="I964" s="10" t="str">
        <f>CONCATENATE("WK_",WEEKNUM(events[[#This Row],[Start Date]]))</f>
        <v>WK_9</v>
      </c>
      <c r="J964" s="12">
        <v>45713.74827546296</v>
      </c>
      <c r="K964" s="10">
        <v>93</v>
      </c>
      <c r="L964" s="10" t="s">
        <v>25</v>
      </c>
      <c r="M964" s="10" t="s">
        <v>59</v>
      </c>
      <c r="N964" s="13">
        <f t="shared" si="15"/>
        <v>0.93333333333333335</v>
      </c>
      <c r="O964" s="14"/>
      <c r="P964" s="14"/>
      <c r="Q964" s="14" t="s">
        <v>549</v>
      </c>
      <c r="R964" s="14" t="s">
        <v>550</v>
      </c>
      <c r="S964" s="14" t="s">
        <v>607</v>
      </c>
      <c r="T964" s="14" t="s">
        <v>608</v>
      </c>
      <c r="U964" s="15">
        <v>1.5</v>
      </c>
      <c r="V964" s="10">
        <v>1</v>
      </c>
    </row>
    <row r="965" spans="1:22" ht="18" customHeight="1" x14ac:dyDescent="0.35">
      <c r="A965" s="10" t="s">
        <v>23</v>
      </c>
      <c r="B965" s="10" t="s">
        <v>3211</v>
      </c>
      <c r="C965" s="11" t="s">
        <v>2980</v>
      </c>
      <c r="D965" s="11" t="s">
        <v>24</v>
      </c>
      <c r="E965" s="12">
        <v>45713.292500000003</v>
      </c>
      <c r="F965" s="10" t="str">
        <f>TEXT(events[[#This Row],[Start Date]],"DDD")</f>
        <v>Tue</v>
      </c>
      <c r="G965" s="10">
        <f>YEAR(events[[#This Row],[Start Date]])</f>
        <v>2025</v>
      </c>
      <c r="H965" s="10" t="str">
        <f>TEXT(events[[#This Row],[Start Date]],"mmm")</f>
        <v>Feb</v>
      </c>
      <c r="I965" s="10" t="str">
        <f>CONCATENATE("WK_",WEEKNUM(events[[#This Row],[Start Date]]))</f>
        <v>WK_9</v>
      </c>
      <c r="J965" s="12">
        <v>45713.292523148149</v>
      </c>
      <c r="K965" s="10">
        <v>36</v>
      </c>
      <c r="L965" s="10" t="s">
        <v>25</v>
      </c>
      <c r="M965" s="10" t="s">
        <v>31</v>
      </c>
      <c r="N965" s="13">
        <f t="shared" si="15"/>
        <v>3.3333333333333333E-2</v>
      </c>
      <c r="O965" s="14" t="s">
        <v>458</v>
      </c>
      <c r="P965" s="14" t="s">
        <v>458</v>
      </c>
      <c r="Q965" s="14" t="s">
        <v>589</v>
      </c>
      <c r="R965" s="14" t="s">
        <v>589</v>
      </c>
      <c r="S965" s="14" t="s">
        <v>590</v>
      </c>
      <c r="T965" s="14" t="s">
        <v>591</v>
      </c>
      <c r="U965" s="15">
        <v>0</v>
      </c>
      <c r="V965" s="10">
        <v>1</v>
      </c>
    </row>
    <row r="966" spans="1:22" ht="18" customHeight="1" x14ac:dyDescent="0.35">
      <c r="A966" s="10" t="s">
        <v>123</v>
      </c>
      <c r="B966" s="10" t="s">
        <v>3376</v>
      </c>
      <c r="C966" s="18" t="s">
        <v>3412</v>
      </c>
      <c r="D966" s="11" t="s">
        <v>74</v>
      </c>
      <c r="E966" s="12">
        <v>45712.674490740741</v>
      </c>
      <c r="F966" s="10" t="str">
        <f>TEXT(events[[#This Row],[Start Date]],"DDD")</f>
        <v>Mon</v>
      </c>
      <c r="G966" s="10">
        <f>YEAR(events[[#This Row],[Start Date]])</f>
        <v>2025</v>
      </c>
      <c r="H966" s="10" t="str">
        <f>TEXT(events[[#This Row],[Start Date]],"mmm")</f>
        <v>Feb</v>
      </c>
      <c r="I966" s="10" t="str">
        <f>CONCATENATE("WK_",WEEKNUM(events[[#This Row],[Start Date]]))</f>
        <v>WK_9</v>
      </c>
      <c r="J966" s="12">
        <v>45712.675787037035</v>
      </c>
      <c r="K966" s="10">
        <v>85</v>
      </c>
      <c r="L966" s="10" t="s">
        <v>25</v>
      </c>
      <c r="M966" s="10" t="s">
        <v>609</v>
      </c>
      <c r="N966" s="13">
        <f t="shared" si="15"/>
        <v>1.8666666666666667</v>
      </c>
      <c r="O966" s="14"/>
      <c r="P966" s="14"/>
      <c r="Q966" s="14" t="s">
        <v>366</v>
      </c>
      <c r="R966" s="14" t="s">
        <v>366</v>
      </c>
      <c r="S966" s="14" t="s">
        <v>610</v>
      </c>
      <c r="T966" s="14" t="s">
        <v>611</v>
      </c>
      <c r="U966" s="15">
        <v>2.7</v>
      </c>
      <c r="V966" s="10">
        <v>1</v>
      </c>
    </row>
    <row r="967" spans="1:22" ht="18" customHeight="1" x14ac:dyDescent="0.35">
      <c r="A967" s="10" t="s">
        <v>47</v>
      </c>
      <c r="B967" s="10" t="s">
        <v>3216</v>
      </c>
      <c r="C967" s="11" t="s">
        <v>3140</v>
      </c>
      <c r="D967" s="11" t="s">
        <v>24</v>
      </c>
      <c r="E967" s="12">
        <v>45711.55363425926</v>
      </c>
      <c r="F967" s="10" t="str">
        <f>TEXT(events[[#This Row],[Start Date]],"DDD")</f>
        <v>Sun</v>
      </c>
      <c r="G967" s="10">
        <f>YEAR(events[[#This Row],[Start Date]])</f>
        <v>2025</v>
      </c>
      <c r="H967" s="10" t="str">
        <f>TEXT(events[[#This Row],[Start Date]],"mmm")</f>
        <v>Feb</v>
      </c>
      <c r="I967" s="10" t="str">
        <f>CONCATENATE("WK_",WEEKNUM(events[[#This Row],[Start Date]]))</f>
        <v>WK_9</v>
      </c>
      <c r="J967" s="12">
        <v>45711.55364583333</v>
      </c>
      <c r="K967" s="10">
        <v>31</v>
      </c>
      <c r="L967" s="10" t="s">
        <v>25</v>
      </c>
      <c r="M967" s="10" t="s">
        <v>26</v>
      </c>
      <c r="N967" s="13">
        <f t="shared" si="15"/>
        <v>1.6666666666666666E-2</v>
      </c>
      <c r="O967" s="14" t="s">
        <v>27</v>
      </c>
      <c r="P967" s="14" t="s">
        <v>27</v>
      </c>
      <c r="Q967" s="14" t="s">
        <v>571</v>
      </c>
      <c r="R967" s="14" t="s">
        <v>571</v>
      </c>
      <c r="S967" s="14" t="s">
        <v>600</v>
      </c>
      <c r="T967" s="14" t="s">
        <v>601</v>
      </c>
      <c r="U967" s="15">
        <v>0</v>
      </c>
      <c r="V967" s="10">
        <v>1</v>
      </c>
    </row>
    <row r="968" spans="1:22" ht="18" customHeight="1" x14ac:dyDescent="0.35">
      <c r="A968" s="10" t="s">
        <v>86</v>
      </c>
      <c r="B968" s="10" t="s">
        <v>3368</v>
      </c>
      <c r="C968" s="11" t="s">
        <v>3402</v>
      </c>
      <c r="D968" s="11" t="s">
        <v>74</v>
      </c>
      <c r="E968" s="12">
        <v>45711.502384259256</v>
      </c>
      <c r="F968" s="10" t="str">
        <f>TEXT(events[[#This Row],[Start Date]],"DDD")</f>
        <v>Sun</v>
      </c>
      <c r="G968" s="10">
        <f>YEAR(events[[#This Row],[Start Date]])</f>
        <v>2025</v>
      </c>
      <c r="H968" s="10" t="str">
        <f>TEXT(events[[#This Row],[Start Date]],"mmm")</f>
        <v>Feb</v>
      </c>
      <c r="I968" s="10" t="str">
        <f>CONCATENATE("WK_",WEEKNUM(events[[#This Row],[Start Date]]))</f>
        <v>WK_9</v>
      </c>
      <c r="J968" s="12">
        <v>45711.502453703702</v>
      </c>
      <c r="K968" s="10">
        <v>88</v>
      </c>
      <c r="L968" s="10" t="s">
        <v>25</v>
      </c>
      <c r="M968" s="10" t="s">
        <v>328</v>
      </c>
      <c r="N968" s="13">
        <f t="shared" si="15"/>
        <v>0.1</v>
      </c>
      <c r="O968" s="14" t="s">
        <v>38</v>
      </c>
      <c r="P968" s="14" t="s">
        <v>38</v>
      </c>
      <c r="Q968" s="14" t="s">
        <v>604</v>
      </c>
      <c r="R968" s="14" t="s">
        <v>604</v>
      </c>
      <c r="S968" s="14" t="s">
        <v>605</v>
      </c>
      <c r="T968" s="14" t="s">
        <v>606</v>
      </c>
      <c r="U968" s="15">
        <v>0.125</v>
      </c>
      <c r="V968" s="10">
        <v>1</v>
      </c>
    </row>
    <row r="969" spans="1:22" ht="18" customHeight="1" x14ac:dyDescent="0.35">
      <c r="A969" s="10" t="s">
        <v>47</v>
      </c>
      <c r="B969" s="10" t="s">
        <v>3157</v>
      </c>
      <c r="C969" s="11" t="s">
        <v>2923</v>
      </c>
      <c r="D969" s="11" t="s">
        <v>74</v>
      </c>
      <c r="E969" s="12">
        <v>45709.516423611109</v>
      </c>
      <c r="F969" s="10" t="str">
        <f>TEXT(events[[#This Row],[Start Date]],"DDD")</f>
        <v>Fri</v>
      </c>
      <c r="G969" s="10">
        <f>YEAR(events[[#This Row],[Start Date]])</f>
        <v>2025</v>
      </c>
      <c r="H969" s="10" t="str">
        <f>TEXT(events[[#This Row],[Start Date]],"mmm")</f>
        <v>Feb</v>
      </c>
      <c r="I969" s="10" t="str">
        <f>CONCATENATE("WK_",WEEKNUM(events[[#This Row],[Start Date]]))</f>
        <v>WK_8</v>
      </c>
      <c r="J969" s="12">
        <v>45709.516435185185</v>
      </c>
      <c r="K969" s="10">
        <v>81</v>
      </c>
      <c r="L969" s="10" t="s">
        <v>25</v>
      </c>
      <c r="M969" s="10" t="s">
        <v>26</v>
      </c>
      <c r="N969" s="13">
        <f t="shared" si="15"/>
        <v>1.6666666666666666E-2</v>
      </c>
      <c r="O969" s="14" t="s">
        <v>268</v>
      </c>
      <c r="P969" s="14" t="s">
        <v>268</v>
      </c>
      <c r="Q969" s="14" t="s">
        <v>574</v>
      </c>
      <c r="R969" s="14" t="s">
        <v>574</v>
      </c>
      <c r="S969" s="14" t="s">
        <v>602</v>
      </c>
      <c r="T969" s="14" t="s">
        <v>603</v>
      </c>
      <c r="U969" s="15">
        <v>0.125</v>
      </c>
      <c r="V969" s="10">
        <v>1</v>
      </c>
    </row>
    <row r="970" spans="1:22" ht="18" customHeight="1" x14ac:dyDescent="0.35">
      <c r="A970" s="10" t="s">
        <v>47</v>
      </c>
      <c r="B970" s="10" t="s">
        <v>3191</v>
      </c>
      <c r="C970" s="11" t="s">
        <v>2958</v>
      </c>
      <c r="D970" s="11" t="s">
        <v>24</v>
      </c>
      <c r="E970" s="12">
        <v>45708.399733796294</v>
      </c>
      <c r="F970" s="10" t="str">
        <f>TEXT(events[[#This Row],[Start Date]],"DDD")</f>
        <v>Thu</v>
      </c>
      <c r="G970" s="10">
        <f>YEAR(events[[#This Row],[Start Date]])</f>
        <v>2025</v>
      </c>
      <c r="H970" s="10" t="str">
        <f>TEXT(events[[#This Row],[Start Date]],"mmm")</f>
        <v>Feb</v>
      </c>
      <c r="I970" s="10" t="str">
        <f>CONCATENATE("WK_",WEEKNUM(events[[#This Row],[Start Date]]))</f>
        <v>WK_8</v>
      </c>
      <c r="J970" s="12">
        <v>45708.399745370371</v>
      </c>
      <c r="K970" s="10">
        <v>55</v>
      </c>
      <c r="L970" s="10" t="s">
        <v>25</v>
      </c>
      <c r="M970" s="10" t="s">
        <v>26</v>
      </c>
      <c r="N970" s="13">
        <f t="shared" si="15"/>
        <v>1.6666666666666666E-2</v>
      </c>
      <c r="O970" s="14" t="s">
        <v>92</v>
      </c>
      <c r="P970" s="14" t="s">
        <v>92</v>
      </c>
      <c r="Q970" s="14" t="s">
        <v>359</v>
      </c>
      <c r="R970" s="14" t="s">
        <v>359</v>
      </c>
      <c r="S970" s="14" t="s">
        <v>598</v>
      </c>
      <c r="T970" s="14" t="s">
        <v>599</v>
      </c>
      <c r="U970" s="15">
        <v>0</v>
      </c>
      <c r="V970" s="10">
        <v>1</v>
      </c>
    </row>
    <row r="971" spans="1:22" ht="18" customHeight="1" x14ac:dyDescent="0.35">
      <c r="A971" s="10" t="s">
        <v>23</v>
      </c>
      <c r="B971" s="10" t="s">
        <v>3196</v>
      </c>
      <c r="C971" s="11" t="s">
        <v>2963</v>
      </c>
      <c r="D971" s="11" t="s">
        <v>24</v>
      </c>
      <c r="E971" s="12">
        <v>45708.284918981481</v>
      </c>
      <c r="F971" s="10" t="str">
        <f>TEXT(events[[#This Row],[Start Date]],"DDD")</f>
        <v>Thu</v>
      </c>
      <c r="G971" s="10">
        <f>YEAR(events[[#This Row],[Start Date]])</f>
        <v>2025</v>
      </c>
      <c r="H971" s="10" t="str">
        <f>TEXT(events[[#This Row],[Start Date]],"mmm")</f>
        <v>Feb</v>
      </c>
      <c r="I971" s="10" t="str">
        <f>CONCATENATE("WK_",WEEKNUM(events[[#This Row],[Start Date]]))</f>
        <v>WK_8</v>
      </c>
      <c r="J971" s="12">
        <v>45708.284930555557</v>
      </c>
      <c r="K971" s="10">
        <v>34</v>
      </c>
      <c r="L971" s="10" t="s">
        <v>25</v>
      </c>
      <c r="M971" s="10" t="s">
        <v>26</v>
      </c>
      <c r="N971" s="13">
        <f t="shared" si="15"/>
        <v>1.6666666666666666E-2</v>
      </c>
      <c r="O971" s="14" t="s">
        <v>27</v>
      </c>
      <c r="P971" s="14" t="s">
        <v>27</v>
      </c>
      <c r="Q971" s="14" t="s">
        <v>32</v>
      </c>
      <c r="R971" s="14" t="s">
        <v>32</v>
      </c>
      <c r="S971" s="14" t="s">
        <v>587</v>
      </c>
      <c r="T971" s="14" t="s">
        <v>588</v>
      </c>
      <c r="U971" s="15">
        <v>0</v>
      </c>
      <c r="V971" s="10">
        <v>1</v>
      </c>
    </row>
    <row r="972" spans="1:22" ht="18" customHeight="1" x14ac:dyDescent="0.35">
      <c r="A972" s="10" t="s">
        <v>47</v>
      </c>
      <c r="B972" s="10" t="s">
        <v>3201</v>
      </c>
      <c r="C972" s="11" t="s">
        <v>2968</v>
      </c>
      <c r="D972" s="11" t="s">
        <v>24</v>
      </c>
      <c r="E972" s="12">
        <v>45707.475289351853</v>
      </c>
      <c r="F972" s="10" t="str">
        <f>TEXT(events[[#This Row],[Start Date]],"DDD")</f>
        <v>Wed</v>
      </c>
      <c r="G972" s="10">
        <f>YEAR(events[[#This Row],[Start Date]])</f>
        <v>2025</v>
      </c>
      <c r="H972" s="10" t="str">
        <f>TEXT(events[[#This Row],[Start Date]],"mmm")</f>
        <v>Feb</v>
      </c>
      <c r="I972" s="10" t="str">
        <f>CONCATENATE("WK_",WEEKNUM(events[[#This Row],[Start Date]]))</f>
        <v>WK_8</v>
      </c>
      <c r="J972" s="12">
        <v>45707.475324074076</v>
      </c>
      <c r="K972" s="10">
        <v>34</v>
      </c>
      <c r="L972" s="10" t="s">
        <v>25</v>
      </c>
      <c r="M972" s="10" t="s">
        <v>75</v>
      </c>
      <c r="N972" s="13">
        <f t="shared" si="15"/>
        <v>0.05</v>
      </c>
      <c r="O972" s="14" t="s">
        <v>138</v>
      </c>
      <c r="P972" s="14" t="s">
        <v>138</v>
      </c>
      <c r="Q972" s="14" t="s">
        <v>595</v>
      </c>
      <c r="R972" s="14" t="s">
        <v>595</v>
      </c>
      <c r="S972" s="14" t="s">
        <v>596</v>
      </c>
      <c r="T972" s="14" t="s">
        <v>597</v>
      </c>
      <c r="U972" s="15">
        <v>0.125</v>
      </c>
      <c r="V972" s="10">
        <v>1</v>
      </c>
    </row>
    <row r="973" spans="1:22" ht="18" customHeight="1" x14ac:dyDescent="0.35">
      <c r="A973" s="10" t="s">
        <v>47</v>
      </c>
      <c r="B973" s="10" t="s">
        <v>3191</v>
      </c>
      <c r="C973" s="11" t="s">
        <v>2958</v>
      </c>
      <c r="D973" s="11" t="s">
        <v>82</v>
      </c>
      <c r="E973" s="12">
        <v>45705.910358796296</v>
      </c>
      <c r="F973" s="10" t="str">
        <f>TEXT(events[[#This Row],[Start Date]],"DDD")</f>
        <v>Mon</v>
      </c>
      <c r="G973" s="10">
        <f>YEAR(events[[#This Row],[Start Date]])</f>
        <v>2025</v>
      </c>
      <c r="H973" s="10" t="str">
        <f>TEXT(events[[#This Row],[Start Date]],"mmm")</f>
        <v>Feb</v>
      </c>
      <c r="I973" s="10" t="str">
        <f>CONCATENATE("WK_",WEEKNUM(events[[#This Row],[Start Date]]))</f>
        <v>WK_8</v>
      </c>
      <c r="J973" s="12">
        <v>45705.910370370373</v>
      </c>
      <c r="K973" s="10">
        <v>27</v>
      </c>
      <c r="L973" s="10" t="s">
        <v>83</v>
      </c>
      <c r="M973" s="10" t="s">
        <v>26</v>
      </c>
      <c r="N973" s="13">
        <f t="shared" si="15"/>
        <v>1.6666666666666666E-2</v>
      </c>
      <c r="O973" s="14" t="s">
        <v>50</v>
      </c>
      <c r="P973" s="14"/>
      <c r="Q973" s="14" t="s">
        <v>626</v>
      </c>
      <c r="R973" s="14"/>
      <c r="S973" s="14" t="s">
        <v>627</v>
      </c>
      <c r="T973" s="14"/>
      <c r="U973" s="15">
        <v>0</v>
      </c>
      <c r="V973" s="10">
        <v>1</v>
      </c>
    </row>
    <row r="974" spans="1:22" ht="18" customHeight="1" x14ac:dyDescent="0.35">
      <c r="A974" s="10" t="s">
        <v>23</v>
      </c>
      <c r="B974" s="10" t="s">
        <v>3254</v>
      </c>
      <c r="C974" s="11" t="s">
        <v>3024</v>
      </c>
      <c r="D974" s="11" t="s">
        <v>35</v>
      </c>
      <c r="E974" s="12">
        <v>45704.958333333336</v>
      </c>
      <c r="F974" s="10" t="str">
        <f>TEXT(events[[#This Row],[Start Date]],"DDD")</f>
        <v>Sun</v>
      </c>
      <c r="G974" s="10">
        <f>YEAR(events[[#This Row],[Start Date]])</f>
        <v>2025</v>
      </c>
      <c r="H974" s="10" t="str">
        <f>TEXT(events[[#This Row],[Start Date]],"mmm")</f>
        <v>Feb</v>
      </c>
      <c r="I974" s="10" t="str">
        <f>CONCATENATE("WK_",WEEKNUM(events[[#This Row],[Start Date]]))</f>
        <v>WK_8</v>
      </c>
      <c r="J974" s="12">
        <v>45704.961446759262</v>
      </c>
      <c r="K974" s="10">
        <v>132.5</v>
      </c>
      <c r="L974" s="10" t="s">
        <v>36</v>
      </c>
      <c r="M974" s="10" t="s">
        <v>614</v>
      </c>
      <c r="N974" s="13">
        <f t="shared" si="15"/>
        <v>4.4833333333333334</v>
      </c>
      <c r="O974" s="14" t="s">
        <v>38</v>
      </c>
      <c r="P974" s="14" t="s">
        <v>38</v>
      </c>
      <c r="Q974" s="14" t="s">
        <v>39</v>
      </c>
      <c r="R974" s="14" t="s">
        <v>39</v>
      </c>
      <c r="S974" s="14" t="s">
        <v>615</v>
      </c>
      <c r="T974" s="14" t="s">
        <v>616</v>
      </c>
      <c r="U974" s="15">
        <v>2.8980000000000001</v>
      </c>
      <c r="V974" s="10">
        <v>1</v>
      </c>
    </row>
    <row r="975" spans="1:22" ht="18" customHeight="1" x14ac:dyDescent="0.35">
      <c r="A975" s="10" t="s">
        <v>47</v>
      </c>
      <c r="B975" s="10" t="s">
        <v>3165</v>
      </c>
      <c r="C975" s="11" t="s">
        <v>2931</v>
      </c>
      <c r="D975" s="11" t="s">
        <v>35</v>
      </c>
      <c r="E975" s="12">
        <v>45704.958333333336</v>
      </c>
      <c r="F975" s="10" t="str">
        <f>TEXT(events[[#This Row],[Start Date]],"DDD")</f>
        <v>Sun</v>
      </c>
      <c r="G975" s="10">
        <f>YEAR(events[[#This Row],[Start Date]])</f>
        <v>2025</v>
      </c>
      <c r="H975" s="10" t="str">
        <f>TEXT(events[[#This Row],[Start Date]],"mmm")</f>
        <v>Feb</v>
      </c>
      <c r="I975" s="10" t="str">
        <f>CONCATENATE("WK_",WEEKNUM(events[[#This Row],[Start Date]]))</f>
        <v>WK_8</v>
      </c>
      <c r="J975" s="12">
        <v>45705.025555555556</v>
      </c>
      <c r="K975" s="10">
        <v>174.2</v>
      </c>
      <c r="L975" s="10" t="s">
        <v>36</v>
      </c>
      <c r="M975" s="10" t="s">
        <v>621</v>
      </c>
      <c r="N975" s="13">
        <f t="shared" si="15"/>
        <v>96.8</v>
      </c>
      <c r="O975" s="14" t="s">
        <v>50</v>
      </c>
      <c r="P975" s="14" t="s">
        <v>50</v>
      </c>
      <c r="Q975" s="14" t="s">
        <v>622</v>
      </c>
      <c r="R975" s="14" t="s">
        <v>623</v>
      </c>
      <c r="S975" s="14" t="s">
        <v>624</v>
      </c>
      <c r="T975" s="14" t="s">
        <v>625</v>
      </c>
      <c r="U975" s="15">
        <v>66</v>
      </c>
      <c r="V975" s="10">
        <v>1</v>
      </c>
    </row>
    <row r="976" spans="1:22" ht="18" customHeight="1" x14ac:dyDescent="0.35">
      <c r="A976" s="10" t="s">
        <v>123</v>
      </c>
      <c r="B976" s="10" t="s">
        <v>3214</v>
      </c>
      <c r="C976" s="11" t="s">
        <v>2982</v>
      </c>
      <c r="D976" s="11" t="s">
        <v>74</v>
      </c>
      <c r="E976" s="12">
        <v>45704.268796296295</v>
      </c>
      <c r="F976" s="10" t="str">
        <f>TEXT(events[[#This Row],[Start Date]],"DDD")</f>
        <v>Sun</v>
      </c>
      <c r="G976" s="10">
        <f>YEAR(events[[#This Row],[Start Date]])</f>
        <v>2025</v>
      </c>
      <c r="H976" s="10" t="str">
        <f>TEXT(events[[#This Row],[Start Date]],"mmm")</f>
        <v>Feb</v>
      </c>
      <c r="I976" s="10" t="str">
        <f>CONCATENATE("WK_",WEEKNUM(events[[#This Row],[Start Date]]))</f>
        <v>WK_8</v>
      </c>
      <c r="J976" s="12">
        <v>45704.269490740742</v>
      </c>
      <c r="K976" s="10">
        <v>96</v>
      </c>
      <c r="L976" s="10" t="s">
        <v>25</v>
      </c>
      <c r="M976" s="10" t="s">
        <v>177</v>
      </c>
      <c r="N976" s="13">
        <f t="shared" si="15"/>
        <v>1</v>
      </c>
      <c r="O976" s="14"/>
      <c r="P976" s="14"/>
      <c r="Q976" s="14" t="s">
        <v>178</v>
      </c>
      <c r="R976" s="14" t="s">
        <v>179</v>
      </c>
      <c r="S976" s="14" t="s">
        <v>654</v>
      </c>
      <c r="T976" s="14" t="s">
        <v>655</v>
      </c>
      <c r="U976" s="15">
        <v>1.5</v>
      </c>
      <c r="V976" s="10">
        <v>1</v>
      </c>
    </row>
    <row r="977" spans="1:22" ht="18" customHeight="1" x14ac:dyDescent="0.35">
      <c r="A977" s="10" t="s">
        <v>123</v>
      </c>
      <c r="B977" s="10" t="s">
        <v>3371</v>
      </c>
      <c r="C977" s="11" t="s">
        <v>3406</v>
      </c>
      <c r="D977" s="11" t="s">
        <v>74</v>
      </c>
      <c r="E977" s="12">
        <v>45704.128182870372</v>
      </c>
      <c r="F977" s="10" t="str">
        <f>TEXT(events[[#This Row],[Start Date]],"DDD")</f>
        <v>Sun</v>
      </c>
      <c r="G977" s="10">
        <f>YEAR(events[[#This Row],[Start Date]])</f>
        <v>2025</v>
      </c>
      <c r="H977" s="10" t="str">
        <f>TEXT(events[[#This Row],[Start Date]],"mmm")</f>
        <v>Feb</v>
      </c>
      <c r="I977" s="10" t="str">
        <f>CONCATENATE("WK_",WEEKNUM(events[[#This Row],[Start Date]]))</f>
        <v>WK_8</v>
      </c>
      <c r="J977" s="12">
        <v>45704.128576388888</v>
      </c>
      <c r="K977" s="10">
        <v>101</v>
      </c>
      <c r="L977" s="10" t="s">
        <v>25</v>
      </c>
      <c r="M977" s="10" t="s">
        <v>656</v>
      </c>
      <c r="N977" s="13">
        <f t="shared" si="15"/>
        <v>0.56666666666666665</v>
      </c>
      <c r="O977" s="14"/>
      <c r="P977" s="14"/>
      <c r="Q977" s="14" t="s">
        <v>657</v>
      </c>
      <c r="R977" s="14" t="s">
        <v>658</v>
      </c>
      <c r="S977" s="14" t="s">
        <v>659</v>
      </c>
      <c r="T977" s="14" t="s">
        <v>660</v>
      </c>
      <c r="U977" s="15">
        <v>1</v>
      </c>
      <c r="V977" s="10">
        <v>1</v>
      </c>
    </row>
    <row r="978" spans="1:22" ht="18" customHeight="1" x14ac:dyDescent="0.35">
      <c r="A978" s="10" t="s">
        <v>47</v>
      </c>
      <c r="B978" s="10" t="s">
        <v>3157</v>
      </c>
      <c r="C978" s="11" t="s">
        <v>2923</v>
      </c>
      <c r="D978" s="11" t="s">
        <v>35</v>
      </c>
      <c r="E978" s="12">
        <v>45703.958333333336</v>
      </c>
      <c r="F978" s="10" t="str">
        <f>TEXT(events[[#This Row],[Start Date]],"DDD")</f>
        <v>Sat</v>
      </c>
      <c r="G978" s="10">
        <f>YEAR(events[[#This Row],[Start Date]])</f>
        <v>2025</v>
      </c>
      <c r="H978" s="10" t="str">
        <f>TEXT(events[[#This Row],[Start Date]],"mmm")</f>
        <v>Feb</v>
      </c>
      <c r="I978" s="10" t="str">
        <f>CONCATENATE("WK_",WEEKNUM(events[[#This Row],[Start Date]]))</f>
        <v>WK_7</v>
      </c>
      <c r="J978" s="12">
        <v>45703.96912037037</v>
      </c>
      <c r="K978" s="10">
        <v>88.9</v>
      </c>
      <c r="L978" s="10" t="s">
        <v>36</v>
      </c>
      <c r="M978" s="10" t="s">
        <v>634</v>
      </c>
      <c r="N978" s="13">
        <f t="shared" si="15"/>
        <v>15.533333333333333</v>
      </c>
      <c r="O978" s="14" t="s">
        <v>27</v>
      </c>
      <c r="P978" s="14" t="s">
        <v>92</v>
      </c>
      <c r="Q978" s="14" t="s">
        <v>67</v>
      </c>
      <c r="R978" s="14" t="s">
        <v>93</v>
      </c>
      <c r="S978" s="14" t="s">
        <v>635</v>
      </c>
      <c r="T978" s="14" t="s">
        <v>636</v>
      </c>
      <c r="U978" s="15">
        <v>14.811999999999999</v>
      </c>
      <c r="V978" s="10">
        <v>1</v>
      </c>
    </row>
    <row r="979" spans="1:22" ht="18" customHeight="1" x14ac:dyDescent="0.35">
      <c r="A979" s="10" t="s">
        <v>86</v>
      </c>
      <c r="B979" s="10" t="s">
        <v>3342</v>
      </c>
      <c r="C979" s="11" t="s">
        <v>2976</v>
      </c>
      <c r="D979" s="11" t="s">
        <v>74</v>
      </c>
      <c r="E979" s="12">
        <v>45703.723912037036</v>
      </c>
      <c r="F979" s="10" t="str">
        <f>TEXT(events[[#This Row],[Start Date]],"DDD")</f>
        <v>Sat</v>
      </c>
      <c r="G979" s="10">
        <f>YEAR(events[[#This Row],[Start Date]])</f>
        <v>2025</v>
      </c>
      <c r="H979" s="10" t="str">
        <f>TEXT(events[[#This Row],[Start Date]],"mmm")</f>
        <v>Feb</v>
      </c>
      <c r="I979" s="10" t="str">
        <f>CONCATENATE("WK_",WEEKNUM(events[[#This Row],[Start Date]]))</f>
        <v>WK_7</v>
      </c>
      <c r="J979" s="12">
        <v>45703.723923611113</v>
      </c>
      <c r="K979" s="10">
        <v>81</v>
      </c>
      <c r="L979" s="10" t="s">
        <v>25</v>
      </c>
      <c r="M979" s="10" t="s">
        <v>26</v>
      </c>
      <c r="N979" s="13">
        <f t="shared" si="15"/>
        <v>1.6666666666666666E-2</v>
      </c>
      <c r="O979" s="14" t="s">
        <v>50</v>
      </c>
      <c r="P979" s="14" t="s">
        <v>50</v>
      </c>
      <c r="Q979" s="14" t="s">
        <v>642</v>
      </c>
      <c r="R979" s="14" t="s">
        <v>642</v>
      </c>
      <c r="S979" s="14" t="s">
        <v>643</v>
      </c>
      <c r="T979" s="14" t="s">
        <v>644</v>
      </c>
      <c r="U979" s="15">
        <v>0.125</v>
      </c>
      <c r="V979" s="10">
        <v>1</v>
      </c>
    </row>
    <row r="980" spans="1:22" ht="18" customHeight="1" x14ac:dyDescent="0.35">
      <c r="A980" s="10" t="s">
        <v>86</v>
      </c>
      <c r="B980" s="10" t="s">
        <v>3342</v>
      </c>
      <c r="C980" s="11" t="s">
        <v>2976</v>
      </c>
      <c r="D980" s="11" t="s">
        <v>74</v>
      </c>
      <c r="E980" s="12">
        <v>45703.714155092595</v>
      </c>
      <c r="F980" s="10" t="str">
        <f>TEXT(events[[#This Row],[Start Date]],"DDD")</f>
        <v>Sat</v>
      </c>
      <c r="G980" s="10">
        <f>YEAR(events[[#This Row],[Start Date]])</f>
        <v>2025</v>
      </c>
      <c r="H980" s="10" t="str">
        <f>TEXT(events[[#This Row],[Start Date]],"mmm")</f>
        <v>Feb</v>
      </c>
      <c r="I980" s="10" t="str">
        <f>CONCATENATE("WK_",WEEKNUM(events[[#This Row],[Start Date]]))</f>
        <v>WK_7</v>
      </c>
      <c r="J980" s="12">
        <v>45703.714178240742</v>
      </c>
      <c r="K980" s="10">
        <v>81</v>
      </c>
      <c r="L980" s="10" t="s">
        <v>25</v>
      </c>
      <c r="M980" s="10" t="s">
        <v>31</v>
      </c>
      <c r="N980" s="13">
        <f t="shared" si="15"/>
        <v>3.3333333333333333E-2</v>
      </c>
      <c r="O980" s="14" t="s">
        <v>50</v>
      </c>
      <c r="P980" s="14" t="s">
        <v>50</v>
      </c>
      <c r="Q980" s="14" t="s">
        <v>534</v>
      </c>
      <c r="R980" s="14" t="s">
        <v>534</v>
      </c>
      <c r="S980" s="14" t="s">
        <v>640</v>
      </c>
      <c r="T980" s="14" t="s">
        <v>641</v>
      </c>
      <c r="U980" s="15">
        <v>9.4E-2</v>
      </c>
      <c r="V980" s="10">
        <v>1</v>
      </c>
    </row>
    <row r="981" spans="1:22" ht="18" customHeight="1" x14ac:dyDescent="0.35">
      <c r="A981" s="10" t="s">
        <v>86</v>
      </c>
      <c r="B981" s="10" t="s">
        <v>3342</v>
      </c>
      <c r="C981" s="11" t="s">
        <v>2976</v>
      </c>
      <c r="D981" s="11" t="s">
        <v>74</v>
      </c>
      <c r="E981" s="12">
        <v>45703.561874999999</v>
      </c>
      <c r="F981" s="10" t="str">
        <f>TEXT(events[[#This Row],[Start Date]],"DDD")</f>
        <v>Sat</v>
      </c>
      <c r="G981" s="10">
        <f>YEAR(events[[#This Row],[Start Date]])</f>
        <v>2025</v>
      </c>
      <c r="H981" s="10" t="str">
        <f>TEXT(events[[#This Row],[Start Date]],"mmm")</f>
        <v>Feb</v>
      </c>
      <c r="I981" s="10" t="str">
        <f>CONCATENATE("WK_",WEEKNUM(events[[#This Row],[Start Date]]))</f>
        <v>WK_7</v>
      </c>
      <c r="J981" s="12">
        <v>45703.561944444446</v>
      </c>
      <c r="K981" s="10">
        <v>81</v>
      </c>
      <c r="L981" s="10" t="s">
        <v>25</v>
      </c>
      <c r="M981" s="10" t="s">
        <v>328</v>
      </c>
      <c r="N981" s="13">
        <f t="shared" si="15"/>
        <v>0.1</v>
      </c>
      <c r="O981" s="14" t="s">
        <v>138</v>
      </c>
      <c r="P981" s="14" t="s">
        <v>138</v>
      </c>
      <c r="Q981" s="14" t="s">
        <v>637</v>
      </c>
      <c r="R981" s="14" t="s">
        <v>637</v>
      </c>
      <c r="S981" s="14" t="s">
        <v>638</v>
      </c>
      <c r="T981" s="14" t="s">
        <v>639</v>
      </c>
      <c r="U981" s="15">
        <v>9.4E-2</v>
      </c>
      <c r="V981" s="10">
        <v>1</v>
      </c>
    </row>
    <row r="982" spans="1:22" ht="18" customHeight="1" x14ac:dyDescent="0.35">
      <c r="A982" s="10" t="s">
        <v>47</v>
      </c>
      <c r="B982" s="10" t="s">
        <v>3262</v>
      </c>
      <c r="C982" s="11" t="s">
        <v>3035</v>
      </c>
      <c r="D982" s="11" t="s">
        <v>35</v>
      </c>
      <c r="E982" s="12">
        <v>45703.022685185184</v>
      </c>
      <c r="F982" s="10" t="str">
        <f>TEXT(events[[#This Row],[Start Date]],"DDD")</f>
        <v>Sat</v>
      </c>
      <c r="G982" s="10">
        <f>YEAR(events[[#This Row],[Start Date]])</f>
        <v>2025</v>
      </c>
      <c r="H982" s="10" t="str">
        <f>TEXT(events[[#This Row],[Start Date]],"mmm")</f>
        <v>Feb</v>
      </c>
      <c r="I982" s="10" t="str">
        <f>CONCATENATE("WK_",WEEKNUM(events[[#This Row],[Start Date]]))</f>
        <v>WK_7</v>
      </c>
      <c r="J982" s="12">
        <v>45703.030358796299</v>
      </c>
      <c r="K982" s="10">
        <v>3.8</v>
      </c>
      <c r="L982" s="10" t="s">
        <v>36</v>
      </c>
      <c r="M982" s="10" t="s">
        <v>628</v>
      </c>
      <c r="N982" s="13">
        <f t="shared" si="15"/>
        <v>11.05</v>
      </c>
      <c r="O982" s="14" t="s">
        <v>629</v>
      </c>
      <c r="P982" s="14" t="s">
        <v>629</v>
      </c>
      <c r="Q982" s="14" t="s">
        <v>630</v>
      </c>
      <c r="R982" s="14" t="s">
        <v>631</v>
      </c>
      <c r="S982" s="14" t="s">
        <v>632</v>
      </c>
      <c r="T982" s="14" t="s">
        <v>633</v>
      </c>
      <c r="U982" s="15">
        <v>3.5939999999999999</v>
      </c>
      <c r="V982" s="10">
        <v>1</v>
      </c>
    </row>
    <row r="983" spans="1:22" ht="18" customHeight="1" x14ac:dyDescent="0.35">
      <c r="A983" s="10" t="s">
        <v>123</v>
      </c>
      <c r="B983" s="10" t="s">
        <v>3161</v>
      </c>
      <c r="C983" s="11" t="s">
        <v>2927</v>
      </c>
      <c r="D983" s="11" t="s">
        <v>74</v>
      </c>
      <c r="E983" s="12">
        <v>45702.668506944443</v>
      </c>
      <c r="F983" s="10" t="str">
        <f>TEXT(events[[#This Row],[Start Date]],"DDD")</f>
        <v>Fri</v>
      </c>
      <c r="G983" s="10">
        <f>YEAR(events[[#This Row],[Start Date]])</f>
        <v>2025</v>
      </c>
      <c r="H983" s="10" t="str">
        <f>TEXT(events[[#This Row],[Start Date]],"mmm")</f>
        <v>Feb</v>
      </c>
      <c r="I983" s="10" t="str">
        <f>CONCATENATE("WK_",WEEKNUM(events[[#This Row],[Start Date]]))</f>
        <v>WK_7</v>
      </c>
      <c r="J983" s="12">
        <v>45702.668935185182</v>
      </c>
      <c r="K983" s="10">
        <v>90</v>
      </c>
      <c r="L983" s="10" t="s">
        <v>25</v>
      </c>
      <c r="M983" s="10" t="s">
        <v>647</v>
      </c>
      <c r="N983" s="13">
        <f t="shared" si="15"/>
        <v>0.6166666666666667</v>
      </c>
      <c r="O983" s="14"/>
      <c r="P983" s="14"/>
      <c r="Q983" s="14" t="s">
        <v>648</v>
      </c>
      <c r="R983" s="14" t="s">
        <v>648</v>
      </c>
      <c r="S983" s="14" t="s">
        <v>649</v>
      </c>
      <c r="T983" s="14" t="s">
        <v>650</v>
      </c>
      <c r="U983" s="15">
        <v>1</v>
      </c>
      <c r="V983" s="10">
        <v>1</v>
      </c>
    </row>
    <row r="984" spans="1:22" ht="18" customHeight="1" x14ac:dyDescent="0.35">
      <c r="A984" s="10" t="s">
        <v>123</v>
      </c>
      <c r="B984" s="10" t="s">
        <v>3377</v>
      </c>
      <c r="C984" s="11" t="s">
        <v>3413</v>
      </c>
      <c r="D984" s="11" t="s">
        <v>74</v>
      </c>
      <c r="E984" s="12">
        <v>45702.538275462961</v>
      </c>
      <c r="F984" s="10" t="str">
        <f>TEXT(events[[#This Row],[Start Date]],"DDD")</f>
        <v>Fri</v>
      </c>
      <c r="G984" s="10">
        <f>YEAR(events[[#This Row],[Start Date]])</f>
        <v>2025</v>
      </c>
      <c r="H984" s="10" t="str">
        <f>TEXT(events[[#This Row],[Start Date]],"mmm")</f>
        <v>Feb</v>
      </c>
      <c r="I984" s="10" t="str">
        <f>CONCATENATE("WK_",WEEKNUM(events[[#This Row],[Start Date]]))</f>
        <v>WK_7</v>
      </c>
      <c r="J984" s="12">
        <v>45702.538553240738</v>
      </c>
      <c r="K984" s="10">
        <v>98</v>
      </c>
      <c r="L984" s="10" t="s">
        <v>25</v>
      </c>
      <c r="M984" s="10" t="s">
        <v>583</v>
      </c>
      <c r="N984" s="13">
        <f t="shared" si="15"/>
        <v>0.38333333333333336</v>
      </c>
      <c r="O984" s="14"/>
      <c r="P984" s="14"/>
      <c r="Q984" s="14" t="s">
        <v>651</v>
      </c>
      <c r="R984" s="14" t="s">
        <v>651</v>
      </c>
      <c r="S984" s="14" t="s">
        <v>652</v>
      </c>
      <c r="T984" s="14" t="s">
        <v>653</v>
      </c>
      <c r="U984" s="15">
        <v>0.7</v>
      </c>
      <c r="V984" s="10">
        <v>1</v>
      </c>
    </row>
    <row r="985" spans="1:22" ht="18" customHeight="1" x14ac:dyDescent="0.35">
      <c r="A985" s="10" t="s">
        <v>47</v>
      </c>
      <c r="B985" s="10" t="s">
        <v>3165</v>
      </c>
      <c r="C985" s="11" t="s">
        <v>2931</v>
      </c>
      <c r="D985" s="11" t="s">
        <v>35</v>
      </c>
      <c r="E985" s="12">
        <v>45701.994606481479</v>
      </c>
      <c r="F985" s="10" t="str">
        <f>TEXT(events[[#This Row],[Start Date]],"DDD")</f>
        <v>Thu</v>
      </c>
      <c r="G985" s="10">
        <f>YEAR(events[[#This Row],[Start Date]])</f>
        <v>2025</v>
      </c>
      <c r="H985" s="10" t="str">
        <f>TEXT(events[[#This Row],[Start Date]],"mmm")</f>
        <v>Feb</v>
      </c>
      <c r="I985" s="10" t="str">
        <f>CONCATENATE("WK_",WEEKNUM(events[[#This Row],[Start Date]]))</f>
        <v>WK_7</v>
      </c>
      <c r="J985" s="12">
        <v>45702.060752314814</v>
      </c>
      <c r="K985" s="10">
        <v>45.3</v>
      </c>
      <c r="L985" s="10" t="s">
        <v>36</v>
      </c>
      <c r="M985" s="10" t="s">
        <v>617</v>
      </c>
      <c r="N985" s="13">
        <f t="shared" si="15"/>
        <v>95.25</v>
      </c>
      <c r="O985" s="14" t="s">
        <v>27</v>
      </c>
      <c r="P985" s="14" t="s">
        <v>38</v>
      </c>
      <c r="Q985" s="14" t="s">
        <v>312</v>
      </c>
      <c r="R985" s="14" t="s">
        <v>618</v>
      </c>
      <c r="S985" s="14" t="s">
        <v>619</v>
      </c>
      <c r="T985" s="14" t="s">
        <v>620</v>
      </c>
      <c r="U985" s="15">
        <v>45.1</v>
      </c>
      <c r="V985" s="10">
        <v>1</v>
      </c>
    </row>
    <row r="986" spans="1:22" ht="18" customHeight="1" x14ac:dyDescent="0.35">
      <c r="A986" s="10" t="s">
        <v>86</v>
      </c>
      <c r="B986" s="10" t="s">
        <v>3372</v>
      </c>
      <c r="C986" s="11" t="s">
        <v>3414</v>
      </c>
      <c r="D986" s="11" t="s">
        <v>74</v>
      </c>
      <c r="E986" s="12">
        <v>45701.728831018518</v>
      </c>
      <c r="F986" s="10" t="str">
        <f>TEXT(events[[#This Row],[Start Date]],"DDD")</f>
        <v>Thu</v>
      </c>
      <c r="G986" s="10">
        <f>YEAR(events[[#This Row],[Start Date]])</f>
        <v>2025</v>
      </c>
      <c r="H986" s="10" t="str">
        <f>TEXT(events[[#This Row],[Start Date]],"mmm")</f>
        <v>Feb</v>
      </c>
      <c r="I986" s="10" t="str">
        <f>CONCATENATE("WK_",WEEKNUM(events[[#This Row],[Start Date]]))</f>
        <v>WK_7</v>
      </c>
      <c r="J986" s="12">
        <v>45701.728842592594</v>
      </c>
      <c r="K986" s="10">
        <v>81</v>
      </c>
      <c r="L986" s="10" t="s">
        <v>25</v>
      </c>
      <c r="M986" s="10" t="s">
        <v>26</v>
      </c>
      <c r="N986" s="13">
        <f t="shared" si="15"/>
        <v>1.6666666666666666E-2</v>
      </c>
      <c r="O986" s="14" t="s">
        <v>50</v>
      </c>
      <c r="P986" s="14" t="s">
        <v>50</v>
      </c>
      <c r="Q986" s="14" t="s">
        <v>112</v>
      </c>
      <c r="R986" s="14" t="s">
        <v>112</v>
      </c>
      <c r="S986" s="14" t="s">
        <v>645</v>
      </c>
      <c r="T986" s="14" t="s">
        <v>646</v>
      </c>
      <c r="U986" s="15">
        <v>0.125</v>
      </c>
      <c r="V986" s="10">
        <v>1</v>
      </c>
    </row>
    <row r="987" spans="1:22" ht="18" customHeight="1" x14ac:dyDescent="0.35">
      <c r="A987" s="10" t="s">
        <v>123</v>
      </c>
      <c r="B987" s="10" t="s">
        <v>3192</v>
      </c>
      <c r="C987" s="11" t="s">
        <v>2959</v>
      </c>
      <c r="D987" s="11" t="s">
        <v>74</v>
      </c>
      <c r="E987" s="12">
        <v>45701.541435185187</v>
      </c>
      <c r="F987" s="10" t="str">
        <f>TEXT(events[[#This Row],[Start Date]],"DDD")</f>
        <v>Thu</v>
      </c>
      <c r="G987" s="10">
        <f>YEAR(events[[#This Row],[Start Date]])</f>
        <v>2025</v>
      </c>
      <c r="H987" s="10" t="str">
        <f>TEXT(events[[#This Row],[Start Date]],"mmm")</f>
        <v>Feb</v>
      </c>
      <c r="I987" s="10" t="str">
        <f>CONCATENATE("WK_",WEEKNUM(events[[#This Row],[Start Date]]))</f>
        <v>WK_7</v>
      </c>
      <c r="J987" s="12">
        <v>45701.542361111111</v>
      </c>
      <c r="K987" s="10">
        <v>89</v>
      </c>
      <c r="L987" s="10" t="s">
        <v>25</v>
      </c>
      <c r="M987" s="10" t="s">
        <v>173</v>
      </c>
      <c r="N987" s="13">
        <f t="shared" si="15"/>
        <v>1.3333333333333333</v>
      </c>
      <c r="O987" s="14"/>
      <c r="P987" s="14"/>
      <c r="Q987" s="14" t="s">
        <v>304</v>
      </c>
      <c r="R987" s="14" t="s">
        <v>304</v>
      </c>
      <c r="S987" s="14" t="s">
        <v>663</v>
      </c>
      <c r="T987" s="14" t="s">
        <v>664</v>
      </c>
      <c r="U987" s="15">
        <v>1.9</v>
      </c>
      <c r="V987" s="10">
        <v>1</v>
      </c>
    </row>
    <row r="988" spans="1:22" ht="18" customHeight="1" x14ac:dyDescent="0.35">
      <c r="A988" s="10" t="s">
        <v>123</v>
      </c>
      <c r="B988" s="10" t="s">
        <v>3378</v>
      </c>
      <c r="C988" s="11" t="s">
        <v>3415</v>
      </c>
      <c r="D988" s="11" t="s">
        <v>74</v>
      </c>
      <c r="E988" s="12">
        <v>45701.461724537039</v>
      </c>
      <c r="F988" s="10" t="str">
        <f>TEXT(events[[#This Row],[Start Date]],"DDD")</f>
        <v>Thu</v>
      </c>
      <c r="G988" s="10">
        <f>YEAR(events[[#This Row],[Start Date]])</f>
        <v>2025</v>
      </c>
      <c r="H988" s="10" t="str">
        <f>TEXT(events[[#This Row],[Start Date]],"mmm")</f>
        <v>Feb</v>
      </c>
      <c r="I988" s="10" t="str">
        <f>CONCATENATE("WK_",WEEKNUM(events[[#This Row],[Start Date]]))</f>
        <v>WK_7</v>
      </c>
      <c r="J988" s="12">
        <v>45701.46230324074</v>
      </c>
      <c r="K988" s="10">
        <v>97</v>
      </c>
      <c r="L988" s="10" t="s">
        <v>25</v>
      </c>
      <c r="M988" s="10" t="s">
        <v>489</v>
      </c>
      <c r="N988" s="13">
        <f t="shared" si="15"/>
        <v>0.81666666666666665</v>
      </c>
      <c r="O988" s="14"/>
      <c r="P988" s="14"/>
      <c r="Q988" s="14" t="s">
        <v>657</v>
      </c>
      <c r="R988" s="14" t="s">
        <v>658</v>
      </c>
      <c r="S988" s="14" t="s">
        <v>661</v>
      </c>
      <c r="T988" s="14" t="s">
        <v>662</v>
      </c>
      <c r="U988" s="15">
        <v>1.2</v>
      </c>
      <c r="V988" s="10">
        <v>1</v>
      </c>
    </row>
    <row r="989" spans="1:22" ht="18" customHeight="1" x14ac:dyDescent="0.35">
      <c r="A989" s="10" t="s">
        <v>23</v>
      </c>
      <c r="B989" s="10" t="s">
        <v>3199</v>
      </c>
      <c r="C989" s="11" t="s">
        <v>2966</v>
      </c>
      <c r="D989" s="11" t="s">
        <v>24</v>
      </c>
      <c r="E989" s="12">
        <v>45701.414247685185</v>
      </c>
      <c r="F989" s="10" t="str">
        <f>TEXT(events[[#This Row],[Start Date]],"DDD")</f>
        <v>Thu</v>
      </c>
      <c r="G989" s="10">
        <f>YEAR(events[[#This Row],[Start Date]])</f>
        <v>2025</v>
      </c>
      <c r="H989" s="10" t="str">
        <f>TEXT(events[[#This Row],[Start Date]],"mmm")</f>
        <v>Feb</v>
      </c>
      <c r="I989" s="10" t="str">
        <f>CONCATENATE("WK_",WEEKNUM(events[[#This Row],[Start Date]]))</f>
        <v>WK_7</v>
      </c>
      <c r="J989" s="12">
        <v>45701.414282407408</v>
      </c>
      <c r="K989" s="10">
        <v>71</v>
      </c>
      <c r="L989" s="10" t="s">
        <v>25</v>
      </c>
      <c r="M989" s="10" t="s">
        <v>75</v>
      </c>
      <c r="N989" s="13">
        <f t="shared" si="15"/>
        <v>0.05</v>
      </c>
      <c r="O989" s="14" t="s">
        <v>138</v>
      </c>
      <c r="P989" s="14" t="s">
        <v>138</v>
      </c>
      <c r="Q989" s="14" t="s">
        <v>242</v>
      </c>
      <c r="R989" s="14" t="s">
        <v>242</v>
      </c>
      <c r="S989" s="14" t="s">
        <v>612</v>
      </c>
      <c r="T989" s="14" t="s">
        <v>613</v>
      </c>
      <c r="U989" s="15">
        <v>9.4E-2</v>
      </c>
      <c r="V989" s="10">
        <v>1</v>
      </c>
    </row>
    <row r="990" spans="1:22" ht="18" customHeight="1" x14ac:dyDescent="0.35">
      <c r="A990" s="10" t="s">
        <v>123</v>
      </c>
      <c r="B990" s="10" t="s">
        <v>3379</v>
      </c>
      <c r="C990" s="11" t="s">
        <v>3416</v>
      </c>
      <c r="D990" s="11" t="s">
        <v>74</v>
      </c>
      <c r="E990" s="12">
        <v>45701.267314814817</v>
      </c>
      <c r="F990" s="10" t="str">
        <f>TEXT(events[[#This Row],[Start Date]],"DDD")</f>
        <v>Thu</v>
      </c>
      <c r="G990" s="10">
        <f>YEAR(events[[#This Row],[Start Date]])</f>
        <v>2025</v>
      </c>
      <c r="H990" s="10" t="str">
        <f>TEXT(events[[#This Row],[Start Date]],"mmm")</f>
        <v>Feb</v>
      </c>
      <c r="I990" s="10" t="str">
        <f>CONCATENATE("WK_",WEEKNUM(events[[#This Row],[Start Date]]))</f>
        <v>WK_7</v>
      </c>
      <c r="J990" s="12">
        <v>45701.269108796296</v>
      </c>
      <c r="K990" s="10">
        <v>86</v>
      </c>
      <c r="L990" s="10" t="s">
        <v>25</v>
      </c>
      <c r="M990" s="10" t="s">
        <v>665</v>
      </c>
      <c r="N990" s="13">
        <f t="shared" si="15"/>
        <v>2.5666666666666664</v>
      </c>
      <c r="O990" s="14"/>
      <c r="P990" s="14"/>
      <c r="Q990" s="14" t="s">
        <v>451</v>
      </c>
      <c r="R990" s="14" t="s">
        <v>451</v>
      </c>
      <c r="S990" s="14" t="s">
        <v>666</v>
      </c>
      <c r="T990" s="14" t="s">
        <v>667</v>
      </c>
      <c r="U990" s="15">
        <v>3.7</v>
      </c>
      <c r="V990" s="10">
        <v>1</v>
      </c>
    </row>
    <row r="991" spans="1:22" ht="18" customHeight="1" x14ac:dyDescent="0.35">
      <c r="A991" s="10" t="s">
        <v>123</v>
      </c>
      <c r="B991" s="10" t="s">
        <v>3339</v>
      </c>
      <c r="C991" s="11" t="s">
        <v>3135</v>
      </c>
      <c r="D991" s="11" t="s">
        <v>74</v>
      </c>
      <c r="E991" s="12">
        <v>45700.037453703706</v>
      </c>
      <c r="F991" s="10" t="str">
        <f>TEXT(events[[#This Row],[Start Date]],"DDD")</f>
        <v>Wed</v>
      </c>
      <c r="G991" s="10">
        <f>YEAR(events[[#This Row],[Start Date]])</f>
        <v>2025</v>
      </c>
      <c r="H991" s="10" t="str">
        <f>TEXT(events[[#This Row],[Start Date]],"mmm")</f>
        <v>Feb</v>
      </c>
      <c r="I991" s="10" t="str">
        <f>CONCATENATE("WK_",WEEKNUM(events[[#This Row],[Start Date]]))</f>
        <v>WK_7</v>
      </c>
      <c r="J991" s="12">
        <v>45700.038148148145</v>
      </c>
      <c r="K991" s="10">
        <v>99</v>
      </c>
      <c r="L991" s="10" t="s">
        <v>25</v>
      </c>
      <c r="M991" s="10" t="s">
        <v>538</v>
      </c>
      <c r="N991" s="13">
        <f t="shared" si="15"/>
        <v>0.98333333333333328</v>
      </c>
      <c r="O991" s="14"/>
      <c r="P991" s="14"/>
      <c r="Q991" s="14" t="s">
        <v>668</v>
      </c>
      <c r="R991" s="14" t="s">
        <v>669</v>
      </c>
      <c r="S991" s="14" t="s">
        <v>670</v>
      </c>
      <c r="T991" s="14" t="s">
        <v>671</v>
      </c>
      <c r="U991" s="15">
        <v>1.5</v>
      </c>
      <c r="V991" s="10">
        <v>1</v>
      </c>
    </row>
    <row r="992" spans="1:22" ht="18" customHeight="1" x14ac:dyDescent="0.35">
      <c r="A992" s="10" t="s">
        <v>86</v>
      </c>
      <c r="B992" s="10" t="s">
        <v>3344</v>
      </c>
      <c r="C992" s="11" t="s">
        <v>3139</v>
      </c>
      <c r="D992" s="11" t="s">
        <v>74</v>
      </c>
      <c r="E992" s="12">
        <v>45699.425578703704</v>
      </c>
      <c r="F992" s="10" t="str">
        <f>TEXT(events[[#This Row],[Start Date]],"DDD")</f>
        <v>Tue</v>
      </c>
      <c r="G992" s="10">
        <f>YEAR(events[[#This Row],[Start Date]])</f>
        <v>2025</v>
      </c>
      <c r="H992" s="10" t="str">
        <f>TEXT(events[[#This Row],[Start Date]],"mmm")</f>
        <v>Feb</v>
      </c>
      <c r="I992" s="10" t="str">
        <f>CONCATENATE("WK_",WEEKNUM(events[[#This Row],[Start Date]]))</f>
        <v>WK_7</v>
      </c>
      <c r="J992" s="12">
        <v>45699.42559027778</v>
      </c>
      <c r="K992" s="10">
        <v>81</v>
      </c>
      <c r="L992" s="10" t="s">
        <v>25</v>
      </c>
      <c r="M992" s="10" t="s">
        <v>26</v>
      </c>
      <c r="N992" s="13">
        <f t="shared" si="15"/>
        <v>1.6666666666666666E-2</v>
      </c>
      <c r="O992" s="14" t="s">
        <v>38</v>
      </c>
      <c r="P992" s="14" t="s">
        <v>38</v>
      </c>
      <c r="Q992" s="14" t="s">
        <v>700</v>
      </c>
      <c r="R992" s="14" t="s">
        <v>700</v>
      </c>
      <c r="S992" s="14" t="s">
        <v>703</v>
      </c>
      <c r="T992" s="14" t="s">
        <v>704</v>
      </c>
      <c r="U992" s="15">
        <v>0</v>
      </c>
      <c r="V992" s="10">
        <v>1</v>
      </c>
    </row>
    <row r="993" spans="1:22" ht="18" customHeight="1" x14ac:dyDescent="0.35">
      <c r="A993" s="10" t="s">
        <v>86</v>
      </c>
      <c r="B993" s="10" t="s">
        <v>3344</v>
      </c>
      <c r="C993" s="11" t="s">
        <v>3139</v>
      </c>
      <c r="D993" s="11" t="s">
        <v>74</v>
      </c>
      <c r="E993" s="12">
        <v>45699.422037037039</v>
      </c>
      <c r="F993" s="10" t="str">
        <f>TEXT(events[[#This Row],[Start Date]],"DDD")</f>
        <v>Tue</v>
      </c>
      <c r="G993" s="10">
        <f>YEAR(events[[#This Row],[Start Date]])</f>
        <v>2025</v>
      </c>
      <c r="H993" s="10" t="str">
        <f>TEXT(events[[#This Row],[Start Date]],"mmm")</f>
        <v>Feb</v>
      </c>
      <c r="I993" s="10" t="str">
        <f>CONCATENATE("WK_",WEEKNUM(events[[#This Row],[Start Date]]))</f>
        <v>WK_7</v>
      </c>
      <c r="J993" s="12">
        <v>45699.422118055554</v>
      </c>
      <c r="K993" s="10">
        <v>82</v>
      </c>
      <c r="L993" s="10" t="s">
        <v>25</v>
      </c>
      <c r="M993" s="10" t="s">
        <v>115</v>
      </c>
      <c r="N993" s="13">
        <f t="shared" si="15"/>
        <v>0.11666666666666667</v>
      </c>
      <c r="O993" s="14" t="s">
        <v>38</v>
      </c>
      <c r="P993" s="14" t="s">
        <v>38</v>
      </c>
      <c r="Q993" s="14" t="s">
        <v>700</v>
      </c>
      <c r="R993" s="14" t="s">
        <v>700</v>
      </c>
      <c r="S993" s="14" t="s">
        <v>701</v>
      </c>
      <c r="T993" s="14" t="s">
        <v>702</v>
      </c>
      <c r="U993" s="15">
        <v>0.25</v>
      </c>
      <c r="V993" s="10">
        <v>1</v>
      </c>
    </row>
    <row r="994" spans="1:22" ht="18" customHeight="1" x14ac:dyDescent="0.35">
      <c r="A994" s="10" t="s">
        <v>123</v>
      </c>
      <c r="B994" s="10" t="s">
        <v>3198</v>
      </c>
      <c r="C994" s="11" t="s">
        <v>2965</v>
      </c>
      <c r="D994" s="11" t="s">
        <v>74</v>
      </c>
      <c r="E994" s="12">
        <v>45699.266030092593</v>
      </c>
      <c r="F994" s="10" t="str">
        <f>TEXT(events[[#This Row],[Start Date]],"DDD")</f>
        <v>Tue</v>
      </c>
      <c r="G994" s="10">
        <f>YEAR(events[[#This Row],[Start Date]])</f>
        <v>2025</v>
      </c>
      <c r="H994" s="10" t="str">
        <f>TEXT(events[[#This Row],[Start Date]],"mmm")</f>
        <v>Feb</v>
      </c>
      <c r="I994" s="10" t="str">
        <f>CONCATENATE("WK_",WEEKNUM(events[[#This Row],[Start Date]]))</f>
        <v>WK_7</v>
      </c>
      <c r="J994" s="12">
        <v>45699.266840277778</v>
      </c>
      <c r="K994" s="10">
        <v>110</v>
      </c>
      <c r="L994" s="10" t="s">
        <v>25</v>
      </c>
      <c r="M994" s="10" t="s">
        <v>712</v>
      </c>
      <c r="N994" s="13">
        <f t="shared" si="15"/>
        <v>1.1499999999999999</v>
      </c>
      <c r="O994" s="14"/>
      <c r="P994" s="14"/>
      <c r="Q994" s="14" t="s">
        <v>713</v>
      </c>
      <c r="R994" s="14" t="s">
        <v>713</v>
      </c>
      <c r="S994" s="14" t="s">
        <v>714</v>
      </c>
      <c r="T994" s="14" t="s">
        <v>715</v>
      </c>
      <c r="U994" s="15">
        <v>1.9</v>
      </c>
      <c r="V994" s="10">
        <v>1</v>
      </c>
    </row>
    <row r="995" spans="1:22" ht="18" customHeight="1" x14ac:dyDescent="0.35">
      <c r="A995" s="10" t="s">
        <v>47</v>
      </c>
      <c r="B995" s="10" t="s">
        <v>3159</v>
      </c>
      <c r="C995" s="11" t="s">
        <v>2925</v>
      </c>
      <c r="D995" s="11" t="s">
        <v>74</v>
      </c>
      <c r="E995" s="12">
        <v>45698.734861111108</v>
      </c>
      <c r="F995" s="10" t="str">
        <f>TEXT(events[[#This Row],[Start Date]],"DDD")</f>
        <v>Mon</v>
      </c>
      <c r="G995" s="10">
        <f>YEAR(events[[#This Row],[Start Date]])</f>
        <v>2025</v>
      </c>
      <c r="H995" s="10" t="str">
        <f>TEXT(events[[#This Row],[Start Date]],"mmm")</f>
        <v>Feb</v>
      </c>
      <c r="I995" s="10" t="str">
        <f>CONCATENATE("WK_",WEEKNUM(events[[#This Row],[Start Date]]))</f>
        <v>WK_7</v>
      </c>
      <c r="J995" s="12">
        <v>45698.734872685185</v>
      </c>
      <c r="K995" s="10">
        <v>83</v>
      </c>
      <c r="L995" s="10" t="s">
        <v>25</v>
      </c>
      <c r="M995" s="10" t="s">
        <v>26</v>
      </c>
      <c r="N995" s="13">
        <f t="shared" si="15"/>
        <v>1.6666666666666666E-2</v>
      </c>
      <c r="O995" s="14" t="s">
        <v>27</v>
      </c>
      <c r="P995" s="14" t="s">
        <v>27</v>
      </c>
      <c r="Q995" s="14" t="s">
        <v>67</v>
      </c>
      <c r="R995" s="14" t="s">
        <v>67</v>
      </c>
      <c r="S995" s="14" t="s">
        <v>685</v>
      </c>
      <c r="T995" s="14" t="s">
        <v>686</v>
      </c>
      <c r="U995" s="15">
        <v>9.4E-2</v>
      </c>
      <c r="V995" s="10">
        <v>1</v>
      </c>
    </row>
    <row r="996" spans="1:22" ht="18" customHeight="1" x14ac:dyDescent="0.35">
      <c r="A996" s="10" t="s">
        <v>123</v>
      </c>
      <c r="B996" s="10" t="s">
        <v>3380</v>
      </c>
      <c r="C996" s="11" t="s">
        <v>3417</v>
      </c>
      <c r="D996" s="11" t="s">
        <v>74</v>
      </c>
      <c r="E996" s="12">
        <v>45696.755925925929</v>
      </c>
      <c r="F996" s="10" t="str">
        <f>TEXT(events[[#This Row],[Start Date]],"DDD")</f>
        <v>Sat</v>
      </c>
      <c r="G996" s="10">
        <f>YEAR(events[[#This Row],[Start Date]])</f>
        <v>2025</v>
      </c>
      <c r="H996" s="10" t="str">
        <f>TEXT(events[[#This Row],[Start Date]],"mmm")</f>
        <v>Feb</v>
      </c>
      <c r="I996" s="10" t="str">
        <f>CONCATENATE("WK_",WEEKNUM(events[[#This Row],[Start Date]]))</f>
        <v>WK_6</v>
      </c>
      <c r="J996" s="12">
        <v>45696.756712962961</v>
      </c>
      <c r="K996" s="10">
        <v>102</v>
      </c>
      <c r="L996" s="10" t="s">
        <v>25</v>
      </c>
      <c r="M996" s="10" t="s">
        <v>708</v>
      </c>
      <c r="N996" s="13">
        <f t="shared" si="15"/>
        <v>1.1166666666666667</v>
      </c>
      <c r="O996" s="14"/>
      <c r="P996" s="14"/>
      <c r="Q996" s="14" t="s">
        <v>709</v>
      </c>
      <c r="R996" s="14" t="s">
        <v>709</v>
      </c>
      <c r="S996" s="14" t="s">
        <v>710</v>
      </c>
      <c r="T996" s="14" t="s">
        <v>711</v>
      </c>
      <c r="U996" s="15">
        <v>1.8</v>
      </c>
      <c r="V996" s="10">
        <v>1</v>
      </c>
    </row>
    <row r="997" spans="1:22" ht="18" customHeight="1" x14ac:dyDescent="0.35">
      <c r="A997" s="10" t="s">
        <v>47</v>
      </c>
      <c r="B997" s="10" t="s">
        <v>3264</v>
      </c>
      <c r="C997" s="11" t="s">
        <v>3418</v>
      </c>
      <c r="D997" s="11" t="s">
        <v>24</v>
      </c>
      <c r="E997" s="12">
        <v>45695.615289351852</v>
      </c>
      <c r="F997" s="10" t="str">
        <f>TEXT(events[[#This Row],[Start Date]],"DDD")</f>
        <v>Fri</v>
      </c>
      <c r="G997" s="10">
        <f>YEAR(events[[#This Row],[Start Date]])</f>
        <v>2025</v>
      </c>
      <c r="H997" s="10" t="str">
        <f>TEXT(events[[#This Row],[Start Date]],"mmm")</f>
        <v>Feb</v>
      </c>
      <c r="I997" s="10" t="str">
        <f>CONCATENATE("WK_",WEEKNUM(events[[#This Row],[Start Date]]))</f>
        <v>WK_6</v>
      </c>
      <c r="J997" s="12">
        <v>45695.61546296296</v>
      </c>
      <c r="K997" s="10">
        <v>44</v>
      </c>
      <c r="L997" s="10" t="s">
        <v>25</v>
      </c>
      <c r="M997" s="10" t="s">
        <v>394</v>
      </c>
      <c r="N997" s="13">
        <f t="shared" si="15"/>
        <v>0.25</v>
      </c>
      <c r="O997" s="14" t="s">
        <v>92</v>
      </c>
      <c r="P997" s="14" t="s">
        <v>92</v>
      </c>
      <c r="Q997" s="14" t="s">
        <v>419</v>
      </c>
      <c r="R997" s="14" t="s">
        <v>419</v>
      </c>
      <c r="S997" s="14" t="s">
        <v>676</v>
      </c>
      <c r="T997" s="14" t="s">
        <v>677</v>
      </c>
      <c r="U997" s="15">
        <v>0.188</v>
      </c>
      <c r="V997" s="10">
        <v>1</v>
      </c>
    </row>
    <row r="998" spans="1:22" ht="18" customHeight="1" x14ac:dyDescent="0.35">
      <c r="A998" s="10" t="s">
        <v>47</v>
      </c>
      <c r="B998" s="10" t="s">
        <v>3231</v>
      </c>
      <c r="C998" s="11" t="s">
        <v>2998</v>
      </c>
      <c r="D998" s="11" t="s">
        <v>24</v>
      </c>
      <c r="E998" s="12">
        <v>45695.533333333333</v>
      </c>
      <c r="F998" s="10" t="str">
        <f>TEXT(events[[#This Row],[Start Date]],"DDD")</f>
        <v>Fri</v>
      </c>
      <c r="G998" s="10">
        <f>YEAR(events[[#This Row],[Start Date]])</f>
        <v>2025</v>
      </c>
      <c r="H998" s="10" t="str">
        <f>TEXT(events[[#This Row],[Start Date]],"mmm")</f>
        <v>Feb</v>
      </c>
      <c r="I998" s="10" t="str">
        <f>CONCATENATE("WK_",WEEKNUM(events[[#This Row],[Start Date]]))</f>
        <v>WK_6</v>
      </c>
      <c r="J998" s="12">
        <v>45695.533425925925</v>
      </c>
      <c r="K998" s="10">
        <v>51</v>
      </c>
      <c r="L998" s="10" t="s">
        <v>25</v>
      </c>
      <c r="M998" s="10" t="s">
        <v>357</v>
      </c>
      <c r="N998" s="13">
        <f t="shared" si="15"/>
        <v>0.13333333333333333</v>
      </c>
      <c r="O998" s="14" t="s">
        <v>231</v>
      </c>
      <c r="P998" s="14" t="s">
        <v>231</v>
      </c>
      <c r="Q998" s="14" t="s">
        <v>690</v>
      </c>
      <c r="R998" s="14" t="s">
        <v>690</v>
      </c>
      <c r="S998" s="14" t="s">
        <v>691</v>
      </c>
      <c r="T998" s="14" t="s">
        <v>692</v>
      </c>
      <c r="U998" s="15">
        <v>9.4E-2</v>
      </c>
      <c r="V998" s="10">
        <v>1</v>
      </c>
    </row>
    <row r="999" spans="1:22" ht="18" customHeight="1" x14ac:dyDescent="0.35">
      <c r="A999" s="10" t="s">
        <v>47</v>
      </c>
      <c r="B999" s="10" t="s">
        <v>3365</v>
      </c>
      <c r="C999" s="11" t="s">
        <v>3400</v>
      </c>
      <c r="D999" s="11" t="s">
        <v>24</v>
      </c>
      <c r="E999" s="12">
        <v>45695.331643518519</v>
      </c>
      <c r="F999" s="10" t="str">
        <f>TEXT(events[[#This Row],[Start Date]],"DDD")</f>
        <v>Fri</v>
      </c>
      <c r="G999" s="10">
        <f>YEAR(events[[#This Row],[Start Date]])</f>
        <v>2025</v>
      </c>
      <c r="H999" s="10" t="str">
        <f>TEXT(events[[#This Row],[Start Date]],"mmm")</f>
        <v>Feb</v>
      </c>
      <c r="I999" s="10" t="str">
        <f>CONCATENATE("WK_",WEEKNUM(events[[#This Row],[Start Date]]))</f>
        <v>WK_6</v>
      </c>
      <c r="J999" s="12">
        <v>45695.331666666665</v>
      </c>
      <c r="K999" s="10">
        <v>34</v>
      </c>
      <c r="L999" s="10" t="s">
        <v>25</v>
      </c>
      <c r="M999" s="10" t="s">
        <v>31</v>
      </c>
      <c r="N999" s="13">
        <f t="shared" si="15"/>
        <v>3.3333333333333333E-2</v>
      </c>
      <c r="O999" s="14" t="s">
        <v>65</v>
      </c>
      <c r="P999" s="14" t="s">
        <v>65</v>
      </c>
      <c r="Q999" s="14" t="s">
        <v>687</v>
      </c>
      <c r="R999" s="14" t="s">
        <v>687</v>
      </c>
      <c r="S999" s="14" t="s">
        <v>688</v>
      </c>
      <c r="T999" s="14" t="s">
        <v>689</v>
      </c>
      <c r="U999" s="15">
        <v>0</v>
      </c>
      <c r="V999" s="10">
        <v>1</v>
      </c>
    </row>
    <row r="1000" spans="1:22" ht="18" customHeight="1" x14ac:dyDescent="0.35">
      <c r="A1000" s="10" t="s">
        <v>86</v>
      </c>
      <c r="B1000" s="10" t="s">
        <v>3344</v>
      </c>
      <c r="C1000" s="11" t="s">
        <v>3139</v>
      </c>
      <c r="D1000" s="11" t="s">
        <v>35</v>
      </c>
      <c r="E1000" s="12">
        <v>45694.958333333336</v>
      </c>
      <c r="F1000" s="10" t="str">
        <f>TEXT(events[[#This Row],[Start Date]],"DDD")</f>
        <v>Thu</v>
      </c>
      <c r="G1000" s="10">
        <f>YEAR(events[[#This Row],[Start Date]])</f>
        <v>2025</v>
      </c>
      <c r="H1000" s="10" t="str">
        <f>TEXT(events[[#This Row],[Start Date]],"mmm")</f>
        <v>Feb</v>
      </c>
      <c r="I1000" s="10" t="str">
        <f>CONCATENATE("WK_",WEEKNUM(events[[#This Row],[Start Date]]))</f>
        <v>WK_6</v>
      </c>
      <c r="J1000" s="12">
        <v>45694.983148148145</v>
      </c>
      <c r="K1000" s="10">
        <v>14.8</v>
      </c>
      <c r="L1000" s="10" t="s">
        <v>36</v>
      </c>
      <c r="M1000" s="10" t="s">
        <v>693</v>
      </c>
      <c r="N1000" s="13">
        <f t="shared" si="15"/>
        <v>35.733333333333334</v>
      </c>
      <c r="O1000" s="14" t="s">
        <v>142</v>
      </c>
      <c r="P1000" s="14" t="s">
        <v>142</v>
      </c>
      <c r="Q1000" s="14" t="s">
        <v>694</v>
      </c>
      <c r="R1000" s="14" t="s">
        <v>695</v>
      </c>
      <c r="S1000" s="14" t="s">
        <v>696</v>
      </c>
      <c r="T1000" s="14" t="s">
        <v>697</v>
      </c>
      <c r="U1000" s="15">
        <v>14.5</v>
      </c>
      <c r="V1000" s="10">
        <v>1</v>
      </c>
    </row>
    <row r="1001" spans="1:22" ht="18" customHeight="1" x14ac:dyDescent="0.35">
      <c r="A1001" s="10" t="s">
        <v>47</v>
      </c>
      <c r="B1001" s="10" t="s">
        <v>3201</v>
      </c>
      <c r="C1001" s="11" t="s">
        <v>2968</v>
      </c>
      <c r="D1001" s="11" t="s">
        <v>678</v>
      </c>
      <c r="E1001" s="12">
        <v>45694.871238425927</v>
      </c>
      <c r="F1001" s="10" t="str">
        <f>TEXT(events[[#This Row],[Start Date]],"DDD")</f>
        <v>Thu</v>
      </c>
      <c r="G1001" s="10">
        <f>YEAR(events[[#This Row],[Start Date]])</f>
        <v>2025</v>
      </c>
      <c r="H1001" s="10" t="str">
        <f>TEXT(events[[#This Row],[Start Date]],"mmm")</f>
        <v>Feb</v>
      </c>
      <c r="I1001" s="10" t="str">
        <f>CONCATENATE("WK_",WEEKNUM(events[[#This Row],[Start Date]]))</f>
        <v>WK_6</v>
      </c>
      <c r="J1001" s="12">
        <v>45694.871249999997</v>
      </c>
      <c r="K1001" s="10">
        <v>12</v>
      </c>
      <c r="L1001" s="10" t="s">
        <v>83</v>
      </c>
      <c r="M1001" s="10" t="s">
        <v>26</v>
      </c>
      <c r="N1001" s="13">
        <f t="shared" si="15"/>
        <v>1.6666666666666666E-2</v>
      </c>
      <c r="O1001" s="14" t="s">
        <v>92</v>
      </c>
      <c r="P1001" s="14"/>
      <c r="Q1001" s="14" t="s">
        <v>679</v>
      </c>
      <c r="R1001" s="14"/>
      <c r="S1001" s="14" t="s">
        <v>680</v>
      </c>
      <c r="T1001" s="14"/>
      <c r="U1001" s="15">
        <v>0</v>
      </c>
      <c r="V1001" s="10">
        <v>1</v>
      </c>
    </row>
    <row r="1002" spans="1:22" ht="18" customHeight="1" x14ac:dyDescent="0.35">
      <c r="A1002" s="10" t="s">
        <v>47</v>
      </c>
      <c r="B1002" s="10" t="s">
        <v>3159</v>
      </c>
      <c r="C1002" s="11" t="s">
        <v>2925</v>
      </c>
      <c r="D1002" s="11" t="s">
        <v>24</v>
      </c>
      <c r="E1002" s="12">
        <v>45694.501388888886</v>
      </c>
      <c r="F1002" s="10" t="str">
        <f>TEXT(events[[#This Row],[Start Date]],"DDD")</f>
        <v>Thu</v>
      </c>
      <c r="G1002" s="10">
        <f>YEAR(events[[#This Row],[Start Date]])</f>
        <v>2025</v>
      </c>
      <c r="H1002" s="10" t="str">
        <f>TEXT(events[[#This Row],[Start Date]],"mmm")</f>
        <v>Feb</v>
      </c>
      <c r="I1002" s="10" t="str">
        <f>CONCATENATE("WK_",WEEKNUM(events[[#This Row],[Start Date]]))</f>
        <v>WK_6</v>
      </c>
      <c r="J1002" s="12">
        <v>45694.501400462963</v>
      </c>
      <c r="K1002" s="10">
        <v>64</v>
      </c>
      <c r="L1002" s="10" t="s">
        <v>25</v>
      </c>
      <c r="M1002" s="10" t="s">
        <v>26</v>
      </c>
      <c r="N1002" s="13">
        <f t="shared" si="15"/>
        <v>1.6666666666666666E-2</v>
      </c>
      <c r="O1002" s="14" t="s">
        <v>681</v>
      </c>
      <c r="P1002" s="14" t="s">
        <v>681</v>
      </c>
      <c r="Q1002" s="14" t="s">
        <v>682</v>
      </c>
      <c r="R1002" s="14" t="s">
        <v>682</v>
      </c>
      <c r="S1002" s="14" t="s">
        <v>683</v>
      </c>
      <c r="T1002" s="14" t="s">
        <v>684</v>
      </c>
      <c r="U1002" s="15">
        <v>0</v>
      </c>
      <c r="V1002" s="10">
        <v>1</v>
      </c>
    </row>
    <row r="1003" spans="1:22" ht="18" customHeight="1" x14ac:dyDescent="0.35">
      <c r="A1003" s="10" t="s">
        <v>23</v>
      </c>
      <c r="B1003" s="10" t="s">
        <v>3202</v>
      </c>
      <c r="C1003" s="11" t="s">
        <v>2969</v>
      </c>
      <c r="D1003" s="11" t="s">
        <v>24</v>
      </c>
      <c r="E1003" s="12">
        <v>45694.263680555552</v>
      </c>
      <c r="F1003" s="10" t="str">
        <f>TEXT(events[[#This Row],[Start Date]],"DDD")</f>
        <v>Thu</v>
      </c>
      <c r="G1003" s="10">
        <f>YEAR(events[[#This Row],[Start Date]])</f>
        <v>2025</v>
      </c>
      <c r="H1003" s="10" t="str">
        <f>TEXT(events[[#This Row],[Start Date]],"mmm")</f>
        <v>Feb</v>
      </c>
      <c r="I1003" s="10" t="str">
        <f>CONCATENATE("WK_",WEEKNUM(events[[#This Row],[Start Date]]))</f>
        <v>WK_6</v>
      </c>
      <c r="J1003" s="12">
        <v>45694.263692129629</v>
      </c>
      <c r="K1003" s="10">
        <v>55</v>
      </c>
      <c r="L1003" s="10" t="s">
        <v>25</v>
      </c>
      <c r="M1003" s="10" t="s">
        <v>26</v>
      </c>
      <c r="N1003" s="13">
        <f t="shared" si="15"/>
        <v>1.6666666666666666E-2</v>
      </c>
      <c r="O1003" s="14" t="s">
        <v>38</v>
      </c>
      <c r="P1003" s="14" t="s">
        <v>38</v>
      </c>
      <c r="Q1003" s="14" t="s">
        <v>477</v>
      </c>
      <c r="R1003" s="14" t="s">
        <v>477</v>
      </c>
      <c r="S1003" s="14" t="s">
        <v>674</v>
      </c>
      <c r="T1003" s="14" t="s">
        <v>675</v>
      </c>
      <c r="U1003" s="15">
        <v>9.4E-2</v>
      </c>
      <c r="V1003" s="10">
        <v>1</v>
      </c>
    </row>
    <row r="1004" spans="1:22" ht="18" customHeight="1" x14ac:dyDescent="0.35">
      <c r="A1004" s="10" t="s">
        <v>23</v>
      </c>
      <c r="B1004" s="10" t="s">
        <v>3202</v>
      </c>
      <c r="C1004" s="11" t="s">
        <v>2969</v>
      </c>
      <c r="D1004" s="11" t="s">
        <v>24</v>
      </c>
      <c r="E1004" s="12">
        <v>45694.259560185186</v>
      </c>
      <c r="F1004" s="10" t="str">
        <f>TEXT(events[[#This Row],[Start Date]],"DDD")</f>
        <v>Thu</v>
      </c>
      <c r="G1004" s="10">
        <f>YEAR(events[[#This Row],[Start Date]])</f>
        <v>2025</v>
      </c>
      <c r="H1004" s="10" t="str">
        <f>TEXT(events[[#This Row],[Start Date]],"mmm")</f>
        <v>Feb</v>
      </c>
      <c r="I1004" s="10" t="str">
        <f>CONCATENATE("WK_",WEEKNUM(events[[#This Row],[Start Date]]))</f>
        <v>WK_6</v>
      </c>
      <c r="J1004" s="12">
        <v>45694.259571759256</v>
      </c>
      <c r="K1004" s="10">
        <v>43</v>
      </c>
      <c r="L1004" s="10" t="s">
        <v>25</v>
      </c>
      <c r="M1004" s="10" t="s">
        <v>26</v>
      </c>
      <c r="N1004" s="13">
        <f t="shared" si="15"/>
        <v>1.6666666666666666E-2</v>
      </c>
      <c r="O1004" s="14" t="s">
        <v>38</v>
      </c>
      <c r="P1004" s="14" t="s">
        <v>38</v>
      </c>
      <c r="Q1004" s="14" t="s">
        <v>477</v>
      </c>
      <c r="R1004" s="14" t="s">
        <v>477</v>
      </c>
      <c r="S1004" s="14" t="s">
        <v>672</v>
      </c>
      <c r="T1004" s="14" t="s">
        <v>673</v>
      </c>
      <c r="U1004" s="15">
        <v>0</v>
      </c>
      <c r="V1004" s="10">
        <v>1</v>
      </c>
    </row>
    <row r="1005" spans="1:22" ht="18" customHeight="1" x14ac:dyDescent="0.35">
      <c r="A1005" s="10" t="s">
        <v>86</v>
      </c>
      <c r="B1005" s="10" t="s">
        <v>3364</v>
      </c>
      <c r="C1005" s="11" t="s">
        <v>3399</v>
      </c>
      <c r="D1005" s="11" t="s">
        <v>35</v>
      </c>
      <c r="E1005" s="12">
        <v>45693.968495370369</v>
      </c>
      <c r="F1005" s="10" t="str">
        <f>TEXT(events[[#This Row],[Start Date]],"DDD")</f>
        <v>Wed</v>
      </c>
      <c r="G1005" s="10">
        <f>YEAR(events[[#This Row],[Start Date]])</f>
        <v>2025</v>
      </c>
      <c r="H1005" s="10" t="str">
        <f>TEXT(events[[#This Row],[Start Date]],"mmm")</f>
        <v>Feb</v>
      </c>
      <c r="I1005" s="10" t="str">
        <f>CONCATENATE("WK_",WEEKNUM(events[[#This Row],[Start Date]]))</f>
        <v>WK_6</v>
      </c>
      <c r="J1005" s="12">
        <v>45693.982361111113</v>
      </c>
      <c r="K1005" s="10">
        <v>4.5</v>
      </c>
      <c r="L1005" s="10" t="s">
        <v>36</v>
      </c>
      <c r="M1005" s="10" t="s">
        <v>705</v>
      </c>
      <c r="N1005" s="13">
        <f t="shared" si="15"/>
        <v>19.966666666666665</v>
      </c>
      <c r="O1005" s="14" t="s">
        <v>27</v>
      </c>
      <c r="P1005" s="14" t="s">
        <v>27</v>
      </c>
      <c r="Q1005" s="14" t="s">
        <v>32</v>
      </c>
      <c r="R1005" s="14" t="s">
        <v>506</v>
      </c>
      <c r="S1005" s="14" t="s">
        <v>706</v>
      </c>
      <c r="T1005" s="14" t="s">
        <v>707</v>
      </c>
      <c r="U1005" s="15">
        <v>4.3120000000000003</v>
      </c>
      <c r="V1005" s="10">
        <v>1</v>
      </c>
    </row>
    <row r="1006" spans="1:22" ht="18" customHeight="1" x14ac:dyDescent="0.35">
      <c r="A1006" s="10" t="s">
        <v>86</v>
      </c>
      <c r="B1006" s="10" t="s">
        <v>3344</v>
      </c>
      <c r="C1006" s="11" t="s">
        <v>3139</v>
      </c>
      <c r="D1006" s="11" t="s">
        <v>74</v>
      </c>
      <c r="E1006" s="12">
        <v>45693.543217592596</v>
      </c>
      <c r="F1006" s="10" t="str">
        <f>TEXT(events[[#This Row],[Start Date]],"DDD")</f>
        <v>Wed</v>
      </c>
      <c r="G1006" s="10">
        <f>YEAR(events[[#This Row],[Start Date]])</f>
        <v>2025</v>
      </c>
      <c r="H1006" s="10" t="str">
        <f>TEXT(events[[#This Row],[Start Date]],"mmm")</f>
        <v>Feb</v>
      </c>
      <c r="I1006" s="10" t="str">
        <f>CONCATENATE("WK_",WEEKNUM(events[[#This Row],[Start Date]]))</f>
        <v>WK_6</v>
      </c>
      <c r="J1006" s="12">
        <v>45693.543240740742</v>
      </c>
      <c r="K1006" s="10">
        <v>84</v>
      </c>
      <c r="L1006" s="10" t="s">
        <v>25</v>
      </c>
      <c r="M1006" s="10" t="s">
        <v>31</v>
      </c>
      <c r="N1006" s="13">
        <f t="shared" si="15"/>
        <v>3.3333333333333333E-2</v>
      </c>
      <c r="O1006" s="14" t="s">
        <v>142</v>
      </c>
      <c r="P1006" s="14" t="s">
        <v>142</v>
      </c>
      <c r="Q1006" s="14" t="s">
        <v>694</v>
      </c>
      <c r="R1006" s="14" t="s">
        <v>694</v>
      </c>
      <c r="S1006" s="14" t="s">
        <v>698</v>
      </c>
      <c r="T1006" s="14" t="s">
        <v>699</v>
      </c>
      <c r="U1006" s="15">
        <v>0</v>
      </c>
      <c r="V1006" s="10">
        <v>1</v>
      </c>
    </row>
    <row r="1007" spans="1:22" ht="18" customHeight="1" x14ac:dyDescent="0.35">
      <c r="A1007" s="10" t="s">
        <v>47</v>
      </c>
      <c r="B1007" s="10" t="s">
        <v>3216</v>
      </c>
      <c r="C1007" s="11" t="s">
        <v>3140</v>
      </c>
      <c r="D1007" s="11" t="s">
        <v>24</v>
      </c>
      <c r="E1007" s="12">
        <v>45692.358796296299</v>
      </c>
      <c r="F1007" s="10" t="str">
        <f>TEXT(events[[#This Row],[Start Date]],"DDD")</f>
        <v>Tue</v>
      </c>
      <c r="G1007" s="10">
        <f>YEAR(events[[#This Row],[Start Date]])</f>
        <v>2025</v>
      </c>
      <c r="H1007" s="10" t="str">
        <f>TEXT(events[[#This Row],[Start Date]],"mmm")</f>
        <v>Feb</v>
      </c>
      <c r="I1007" s="10" t="str">
        <f>CONCATENATE("WK_",WEEKNUM(events[[#This Row],[Start Date]]))</f>
        <v>WK_6</v>
      </c>
      <c r="J1007" s="12">
        <v>45692.358865740738</v>
      </c>
      <c r="K1007" s="10">
        <v>39</v>
      </c>
      <c r="L1007" s="10" t="s">
        <v>25</v>
      </c>
      <c r="M1007" s="10" t="s">
        <v>328</v>
      </c>
      <c r="N1007" s="13">
        <f t="shared" si="15"/>
        <v>0.1</v>
      </c>
      <c r="O1007" s="14" t="s">
        <v>92</v>
      </c>
      <c r="P1007" s="14" t="s">
        <v>92</v>
      </c>
      <c r="Q1007" s="14" t="s">
        <v>93</v>
      </c>
      <c r="R1007" s="14" t="s">
        <v>93</v>
      </c>
      <c r="S1007" s="14" t="s">
        <v>1023</v>
      </c>
      <c r="T1007" s="14" t="s">
        <v>1024</v>
      </c>
      <c r="U1007" s="15">
        <v>0.10199999999999999</v>
      </c>
      <c r="V1007" s="10">
        <v>1</v>
      </c>
    </row>
    <row r="1008" spans="1:22" ht="18" customHeight="1" x14ac:dyDescent="0.35">
      <c r="A1008" s="10" t="s">
        <v>86</v>
      </c>
      <c r="B1008" s="10" t="s">
        <v>3224</v>
      </c>
      <c r="C1008" s="11" t="s">
        <v>3405</v>
      </c>
      <c r="D1008" s="11" t="s">
        <v>82</v>
      </c>
      <c r="E1008" s="12">
        <v>45692.349548611113</v>
      </c>
      <c r="F1008" s="10" t="str">
        <f>TEXT(events[[#This Row],[Start Date]],"DDD")</f>
        <v>Tue</v>
      </c>
      <c r="G1008" s="10">
        <f>YEAR(events[[#This Row],[Start Date]])</f>
        <v>2025</v>
      </c>
      <c r="H1008" s="10" t="str">
        <f>TEXT(events[[#This Row],[Start Date]],"mmm")</f>
        <v>Feb</v>
      </c>
      <c r="I1008" s="10" t="str">
        <f>CONCATENATE("WK_",WEEKNUM(events[[#This Row],[Start Date]]))</f>
        <v>WK_6</v>
      </c>
      <c r="J1008" s="12">
        <v>45692.349560185183</v>
      </c>
      <c r="K1008" s="10">
        <v>17</v>
      </c>
      <c r="L1008" s="10" t="s">
        <v>83</v>
      </c>
      <c r="M1008" s="10" t="s">
        <v>26</v>
      </c>
      <c r="N1008" s="13">
        <f t="shared" si="15"/>
        <v>1.6666666666666666E-2</v>
      </c>
      <c r="O1008" s="14" t="s">
        <v>92</v>
      </c>
      <c r="P1008" s="14"/>
      <c r="Q1008" s="14" t="s">
        <v>1052</v>
      </c>
      <c r="R1008" s="14"/>
      <c r="S1008" s="14" t="s">
        <v>1053</v>
      </c>
      <c r="T1008" s="14"/>
      <c r="U1008" s="15">
        <v>0</v>
      </c>
      <c r="V1008" s="10">
        <v>1</v>
      </c>
    </row>
    <row r="1009" spans="1:22" ht="18" customHeight="1" x14ac:dyDescent="0.35">
      <c r="A1009" s="10" t="s">
        <v>86</v>
      </c>
      <c r="B1009" s="10" t="s">
        <v>3381</v>
      </c>
      <c r="C1009" s="11" t="s">
        <v>3419</v>
      </c>
      <c r="D1009" s="11" t="s">
        <v>74</v>
      </c>
      <c r="E1009" s="12">
        <v>45692.303738425922</v>
      </c>
      <c r="F1009" s="10" t="str">
        <f>TEXT(events[[#This Row],[Start Date]],"DDD")</f>
        <v>Tue</v>
      </c>
      <c r="G1009" s="10">
        <f>YEAR(events[[#This Row],[Start Date]])</f>
        <v>2025</v>
      </c>
      <c r="H1009" s="10" t="str">
        <f>TEXT(events[[#This Row],[Start Date]],"mmm")</f>
        <v>Feb</v>
      </c>
      <c r="I1009" s="10" t="str">
        <f>CONCATENATE("WK_",WEEKNUM(events[[#This Row],[Start Date]]))</f>
        <v>WK_6</v>
      </c>
      <c r="J1009" s="12">
        <v>45692.303749999999</v>
      </c>
      <c r="K1009" s="10">
        <v>81</v>
      </c>
      <c r="L1009" s="10" t="s">
        <v>25</v>
      </c>
      <c r="M1009" s="10" t="s">
        <v>26</v>
      </c>
      <c r="N1009" s="13">
        <f t="shared" si="15"/>
        <v>1.6666666666666666E-2</v>
      </c>
      <c r="O1009" s="14" t="s">
        <v>142</v>
      </c>
      <c r="P1009" s="14" t="s">
        <v>142</v>
      </c>
      <c r="Q1009" s="14" t="s">
        <v>694</v>
      </c>
      <c r="R1009" s="14" t="s">
        <v>1065</v>
      </c>
      <c r="S1009" s="14" t="s">
        <v>1066</v>
      </c>
      <c r="T1009" s="14" t="s">
        <v>1067</v>
      </c>
      <c r="U1009" s="15">
        <v>0</v>
      </c>
      <c r="V1009" s="10">
        <v>1</v>
      </c>
    </row>
    <row r="1010" spans="1:22" ht="18" customHeight="1" x14ac:dyDescent="0.35">
      <c r="A1010" s="10" t="s">
        <v>23</v>
      </c>
      <c r="B1010" s="10" t="s">
        <v>3174</v>
      </c>
      <c r="C1010" s="11" t="s">
        <v>2941</v>
      </c>
      <c r="D1010" s="11" t="s">
        <v>35</v>
      </c>
      <c r="E1010" s="12">
        <v>45691.958333333336</v>
      </c>
      <c r="F1010" s="10" t="str">
        <f>TEXT(events[[#This Row],[Start Date]],"DDD")</f>
        <v>Mon</v>
      </c>
      <c r="G1010" s="10">
        <f>YEAR(events[[#This Row],[Start Date]])</f>
        <v>2025</v>
      </c>
      <c r="H1010" s="10" t="str">
        <f>TEXT(events[[#This Row],[Start Date]],"mmm")</f>
        <v>Feb</v>
      </c>
      <c r="I1010" s="10" t="str">
        <f>CONCATENATE("WK_",WEEKNUM(events[[#This Row],[Start Date]]))</f>
        <v>WK_6</v>
      </c>
      <c r="J1010" s="12">
        <v>45691.966793981483</v>
      </c>
      <c r="K1010" s="10">
        <v>20</v>
      </c>
      <c r="L1010" s="10" t="s">
        <v>36</v>
      </c>
      <c r="M1010" s="10" t="s">
        <v>1010</v>
      </c>
      <c r="N1010" s="13">
        <f t="shared" si="15"/>
        <v>12.183333333333334</v>
      </c>
      <c r="O1010" s="14" t="s">
        <v>27</v>
      </c>
      <c r="P1010" s="14" t="s">
        <v>92</v>
      </c>
      <c r="Q1010" s="14" t="s">
        <v>1011</v>
      </c>
      <c r="R1010" s="14" t="s">
        <v>93</v>
      </c>
      <c r="S1010" s="14" t="s">
        <v>1012</v>
      </c>
      <c r="T1010" s="14" t="s">
        <v>1013</v>
      </c>
      <c r="U1010" s="15">
        <v>8.5980000000000008</v>
      </c>
      <c r="V1010" s="10">
        <v>1</v>
      </c>
    </row>
    <row r="1011" spans="1:22" ht="18" customHeight="1" x14ac:dyDescent="0.35">
      <c r="A1011" s="10" t="s">
        <v>86</v>
      </c>
      <c r="B1011" s="10" t="s">
        <v>3364</v>
      </c>
      <c r="C1011" s="11" t="s">
        <v>3399</v>
      </c>
      <c r="D1011" s="11" t="s">
        <v>74</v>
      </c>
      <c r="E1011" s="12">
        <v>45691.814930555556</v>
      </c>
      <c r="F1011" s="10" t="str">
        <f>TEXT(events[[#This Row],[Start Date]],"DDD")</f>
        <v>Mon</v>
      </c>
      <c r="G1011" s="10">
        <f>YEAR(events[[#This Row],[Start Date]])</f>
        <v>2025</v>
      </c>
      <c r="H1011" s="10" t="str">
        <f>TEXT(events[[#This Row],[Start Date]],"mmm")</f>
        <v>Feb</v>
      </c>
      <c r="I1011" s="10" t="str">
        <f>CONCATENATE("WK_",WEEKNUM(events[[#This Row],[Start Date]]))</f>
        <v>WK_6</v>
      </c>
      <c r="J1011" s="12">
        <v>45691.814965277779</v>
      </c>
      <c r="K1011" s="10">
        <v>87</v>
      </c>
      <c r="L1011" s="10" t="s">
        <v>25</v>
      </c>
      <c r="M1011" s="10" t="s">
        <v>75</v>
      </c>
      <c r="N1011" s="13">
        <f t="shared" si="15"/>
        <v>0.05</v>
      </c>
      <c r="O1011" s="14" t="s">
        <v>142</v>
      </c>
      <c r="P1011" s="14" t="s">
        <v>142</v>
      </c>
      <c r="Q1011" s="14" t="s">
        <v>1048</v>
      </c>
      <c r="R1011" s="14" t="s">
        <v>1048</v>
      </c>
      <c r="S1011" s="14" t="s">
        <v>1061</v>
      </c>
      <c r="T1011" s="14" t="s">
        <v>1062</v>
      </c>
      <c r="U1011" s="15">
        <v>6.2E-2</v>
      </c>
      <c r="V1011" s="10">
        <v>1</v>
      </c>
    </row>
    <row r="1012" spans="1:22" ht="18" customHeight="1" x14ac:dyDescent="0.35">
      <c r="A1012" s="10" t="s">
        <v>86</v>
      </c>
      <c r="B1012" s="10" t="s">
        <v>3381</v>
      </c>
      <c r="C1012" s="11" t="s">
        <v>3419</v>
      </c>
      <c r="D1012" s="11" t="s">
        <v>74</v>
      </c>
      <c r="E1012" s="12">
        <v>45691.77175925926</v>
      </c>
      <c r="F1012" s="10" t="str">
        <f>TEXT(events[[#This Row],[Start Date]],"DDD")</f>
        <v>Mon</v>
      </c>
      <c r="G1012" s="10">
        <f>YEAR(events[[#This Row],[Start Date]])</f>
        <v>2025</v>
      </c>
      <c r="H1012" s="10" t="str">
        <f>TEXT(events[[#This Row],[Start Date]],"mmm")</f>
        <v>Feb</v>
      </c>
      <c r="I1012" s="10" t="str">
        <f>CONCATENATE("WK_",WEEKNUM(events[[#This Row],[Start Date]]))</f>
        <v>WK_6</v>
      </c>
      <c r="J1012" s="12">
        <v>45691.771805555552</v>
      </c>
      <c r="K1012" s="10">
        <v>83</v>
      </c>
      <c r="L1012" s="10" t="s">
        <v>25</v>
      </c>
      <c r="M1012" s="10" t="s">
        <v>275</v>
      </c>
      <c r="N1012" s="13">
        <f t="shared" si="15"/>
        <v>6.6666666666666666E-2</v>
      </c>
      <c r="O1012" s="14" t="s">
        <v>142</v>
      </c>
      <c r="P1012" s="14" t="s">
        <v>142</v>
      </c>
      <c r="Q1012" s="14" t="s">
        <v>504</v>
      </c>
      <c r="R1012" s="14" t="s">
        <v>504</v>
      </c>
      <c r="S1012" s="14" t="s">
        <v>1063</v>
      </c>
      <c r="T1012" s="14" t="s">
        <v>1064</v>
      </c>
      <c r="U1012" s="15">
        <v>0.125</v>
      </c>
      <c r="V1012" s="10">
        <v>1</v>
      </c>
    </row>
    <row r="1013" spans="1:22" ht="18" customHeight="1" x14ac:dyDescent="0.35">
      <c r="A1013" s="10" t="s">
        <v>86</v>
      </c>
      <c r="B1013" s="10" t="s">
        <v>3344</v>
      </c>
      <c r="C1013" s="11" t="s">
        <v>3139</v>
      </c>
      <c r="D1013" s="11" t="s">
        <v>74</v>
      </c>
      <c r="E1013" s="12">
        <v>45691.742465277777</v>
      </c>
      <c r="F1013" s="10" t="str">
        <f>TEXT(events[[#This Row],[Start Date]],"DDD")</f>
        <v>Mon</v>
      </c>
      <c r="G1013" s="10">
        <f>YEAR(events[[#This Row],[Start Date]])</f>
        <v>2025</v>
      </c>
      <c r="H1013" s="10" t="str">
        <f>TEXT(events[[#This Row],[Start Date]],"mmm")</f>
        <v>Feb</v>
      </c>
      <c r="I1013" s="10" t="str">
        <f>CONCATENATE("WK_",WEEKNUM(events[[#This Row],[Start Date]]))</f>
        <v>WK_6</v>
      </c>
      <c r="J1013" s="12">
        <v>45691.742476851854</v>
      </c>
      <c r="K1013" s="10">
        <v>83</v>
      </c>
      <c r="L1013" s="10" t="s">
        <v>25</v>
      </c>
      <c r="M1013" s="10" t="s">
        <v>26</v>
      </c>
      <c r="N1013" s="13">
        <f t="shared" si="15"/>
        <v>1.6666666666666666E-2</v>
      </c>
      <c r="O1013" s="14" t="s">
        <v>142</v>
      </c>
      <c r="P1013" s="14" t="s">
        <v>142</v>
      </c>
      <c r="Q1013" s="14" t="s">
        <v>1048</v>
      </c>
      <c r="R1013" s="14" t="s">
        <v>1048</v>
      </c>
      <c r="S1013" s="14" t="s">
        <v>1049</v>
      </c>
      <c r="T1013" s="14" t="s">
        <v>1050</v>
      </c>
      <c r="U1013" s="15">
        <v>0</v>
      </c>
      <c r="V1013" s="10">
        <v>1</v>
      </c>
    </row>
    <row r="1014" spans="1:22" ht="18" customHeight="1" x14ac:dyDescent="0.35">
      <c r="A1014" s="10" t="s">
        <v>123</v>
      </c>
      <c r="B1014" s="10" t="s">
        <v>3192</v>
      </c>
      <c r="C1014" s="11" t="s">
        <v>2959</v>
      </c>
      <c r="D1014" s="11" t="s">
        <v>74</v>
      </c>
      <c r="E1014" s="12">
        <v>45691.584074074075</v>
      </c>
      <c r="F1014" s="10" t="str">
        <f>TEXT(events[[#This Row],[Start Date]],"DDD")</f>
        <v>Mon</v>
      </c>
      <c r="G1014" s="10">
        <f>YEAR(events[[#This Row],[Start Date]])</f>
        <v>2025</v>
      </c>
      <c r="H1014" s="10" t="str">
        <f>TEXT(events[[#This Row],[Start Date]],"mmm")</f>
        <v>Feb</v>
      </c>
      <c r="I1014" s="10" t="str">
        <f>CONCATENATE("WK_",WEEKNUM(events[[#This Row],[Start Date]]))</f>
        <v>WK_6</v>
      </c>
      <c r="J1014" s="12">
        <v>45691.585578703707</v>
      </c>
      <c r="K1014" s="10">
        <v>98</v>
      </c>
      <c r="L1014" s="10" t="s">
        <v>25</v>
      </c>
      <c r="M1014" s="10" t="s">
        <v>278</v>
      </c>
      <c r="N1014" s="13">
        <f t="shared" si="15"/>
        <v>2.1666666666666665</v>
      </c>
      <c r="O1014" s="14"/>
      <c r="P1014" s="14"/>
      <c r="Q1014" s="14" t="s">
        <v>556</v>
      </c>
      <c r="R1014" s="14" t="s">
        <v>556</v>
      </c>
      <c r="S1014" s="14" t="s">
        <v>1068</v>
      </c>
      <c r="T1014" s="14" t="s">
        <v>1069</v>
      </c>
      <c r="U1014" s="15">
        <v>3.1</v>
      </c>
      <c r="V1014" s="10">
        <v>1</v>
      </c>
    </row>
    <row r="1015" spans="1:22" ht="18" customHeight="1" x14ac:dyDescent="0.35">
      <c r="A1015" s="10" t="s">
        <v>47</v>
      </c>
      <c r="B1015" s="10" t="s">
        <v>3227</v>
      </c>
      <c r="C1015" s="11" t="s">
        <v>2995</v>
      </c>
      <c r="D1015" s="11" t="s">
        <v>74</v>
      </c>
      <c r="E1015" s="12">
        <v>45690.781655092593</v>
      </c>
      <c r="F1015" s="10" t="str">
        <f>TEXT(events[[#This Row],[Start Date]],"DDD")</f>
        <v>Sun</v>
      </c>
      <c r="G1015" s="10">
        <f>YEAR(events[[#This Row],[Start Date]])</f>
        <v>2025</v>
      </c>
      <c r="H1015" s="10" t="str">
        <f>TEXT(events[[#This Row],[Start Date]],"mmm")</f>
        <v>Feb</v>
      </c>
      <c r="I1015" s="10" t="str">
        <f>CONCATENATE("WK_",WEEKNUM(events[[#This Row],[Start Date]]))</f>
        <v>WK_6</v>
      </c>
      <c r="J1015" s="12">
        <v>45690.781747685185</v>
      </c>
      <c r="K1015" s="10">
        <v>82</v>
      </c>
      <c r="L1015" s="10" t="s">
        <v>25</v>
      </c>
      <c r="M1015" s="10" t="s">
        <v>357</v>
      </c>
      <c r="N1015" s="13">
        <f t="shared" si="15"/>
        <v>0.13333333333333333</v>
      </c>
      <c r="O1015" s="14" t="s">
        <v>108</v>
      </c>
      <c r="P1015" s="14" t="s">
        <v>108</v>
      </c>
      <c r="Q1015" s="14" t="s">
        <v>1027</v>
      </c>
      <c r="R1015" s="14" t="s">
        <v>1028</v>
      </c>
      <c r="S1015" s="14" t="s">
        <v>1029</v>
      </c>
      <c r="T1015" s="14" t="s">
        <v>1030</v>
      </c>
      <c r="U1015" s="15">
        <v>0.188</v>
      </c>
      <c r="V1015" s="10">
        <v>1</v>
      </c>
    </row>
    <row r="1016" spans="1:22" ht="18" customHeight="1" x14ac:dyDescent="0.35">
      <c r="A1016" s="10" t="s">
        <v>86</v>
      </c>
      <c r="B1016" s="10" t="s">
        <v>3366</v>
      </c>
      <c r="C1016" s="11" t="s">
        <v>3152</v>
      </c>
      <c r="D1016" s="11" t="s">
        <v>74</v>
      </c>
      <c r="E1016" s="12">
        <v>45690.630219907405</v>
      </c>
      <c r="F1016" s="10" t="str">
        <f>TEXT(events[[#This Row],[Start Date]],"DDD")</f>
        <v>Sun</v>
      </c>
      <c r="G1016" s="10">
        <f>YEAR(events[[#This Row],[Start Date]])</f>
        <v>2025</v>
      </c>
      <c r="H1016" s="10" t="str">
        <f>TEXT(events[[#This Row],[Start Date]],"mmm")</f>
        <v>Feb</v>
      </c>
      <c r="I1016" s="10" t="str">
        <f>CONCATENATE("WK_",WEEKNUM(events[[#This Row],[Start Date]]))</f>
        <v>WK_6</v>
      </c>
      <c r="J1016" s="12">
        <v>45690.630266203705</v>
      </c>
      <c r="K1016" s="10">
        <v>88</v>
      </c>
      <c r="L1016" s="10" t="s">
        <v>25</v>
      </c>
      <c r="M1016" s="10" t="s">
        <v>275</v>
      </c>
      <c r="N1016" s="13">
        <f t="shared" si="15"/>
        <v>6.6666666666666666E-2</v>
      </c>
      <c r="O1016" s="14" t="s">
        <v>138</v>
      </c>
      <c r="P1016" s="14" t="s">
        <v>138</v>
      </c>
      <c r="Q1016" s="14" t="s">
        <v>637</v>
      </c>
      <c r="R1016" s="14" t="s">
        <v>637</v>
      </c>
      <c r="S1016" s="14" t="s">
        <v>1046</v>
      </c>
      <c r="T1016" s="14" t="s">
        <v>1047</v>
      </c>
      <c r="U1016" s="15">
        <v>0.125</v>
      </c>
      <c r="V1016" s="10">
        <v>1</v>
      </c>
    </row>
    <row r="1017" spans="1:22" ht="18" customHeight="1" x14ac:dyDescent="0.35">
      <c r="A1017" s="10" t="s">
        <v>86</v>
      </c>
      <c r="B1017" s="10" t="s">
        <v>3366</v>
      </c>
      <c r="C1017" s="11" t="s">
        <v>3152</v>
      </c>
      <c r="D1017" s="11" t="s">
        <v>74</v>
      </c>
      <c r="E1017" s="12">
        <v>45690.612314814818</v>
      </c>
      <c r="F1017" s="10" t="str">
        <f>TEXT(events[[#This Row],[Start Date]],"DDD")</f>
        <v>Sun</v>
      </c>
      <c r="G1017" s="10">
        <f>YEAR(events[[#This Row],[Start Date]])</f>
        <v>2025</v>
      </c>
      <c r="H1017" s="10" t="str">
        <f>TEXT(events[[#This Row],[Start Date]],"mmm")</f>
        <v>Feb</v>
      </c>
      <c r="I1017" s="10" t="str">
        <f>CONCATENATE("WK_",WEEKNUM(events[[#This Row],[Start Date]]))</f>
        <v>WK_6</v>
      </c>
      <c r="J1017" s="12">
        <v>45690.612511574072</v>
      </c>
      <c r="K1017" s="10">
        <v>85</v>
      </c>
      <c r="L1017" s="10" t="s">
        <v>25</v>
      </c>
      <c r="M1017" s="10" t="s">
        <v>775</v>
      </c>
      <c r="N1017" s="13">
        <f t="shared" si="15"/>
        <v>0.28333333333333333</v>
      </c>
      <c r="O1017" s="14" t="s">
        <v>138</v>
      </c>
      <c r="P1017" s="14" t="s">
        <v>138</v>
      </c>
      <c r="Q1017" s="14" t="s">
        <v>1041</v>
      </c>
      <c r="R1017" s="14" t="s">
        <v>1041</v>
      </c>
      <c r="S1017" s="14" t="s">
        <v>1044</v>
      </c>
      <c r="T1017" s="14" t="s">
        <v>1045</v>
      </c>
      <c r="U1017" s="15">
        <v>0.375</v>
      </c>
      <c r="V1017" s="10">
        <v>1</v>
      </c>
    </row>
    <row r="1018" spans="1:22" ht="18" customHeight="1" x14ac:dyDescent="0.35">
      <c r="A1018" s="10" t="s">
        <v>86</v>
      </c>
      <c r="B1018" s="10" t="s">
        <v>3366</v>
      </c>
      <c r="C1018" s="11" t="s">
        <v>3152</v>
      </c>
      <c r="D1018" s="11" t="s">
        <v>74</v>
      </c>
      <c r="E1018" s="12">
        <v>45690.611018518517</v>
      </c>
      <c r="F1018" s="10" t="str">
        <f>TEXT(events[[#This Row],[Start Date]],"DDD")</f>
        <v>Sun</v>
      </c>
      <c r="G1018" s="10">
        <f>YEAR(events[[#This Row],[Start Date]])</f>
        <v>2025</v>
      </c>
      <c r="H1018" s="10" t="str">
        <f>TEXT(events[[#This Row],[Start Date]],"mmm")</f>
        <v>Feb</v>
      </c>
      <c r="I1018" s="10" t="str">
        <f>CONCATENATE("WK_",WEEKNUM(events[[#This Row],[Start Date]]))</f>
        <v>WK_6</v>
      </c>
      <c r="J1018" s="12">
        <v>45690.611701388887</v>
      </c>
      <c r="K1018" s="10">
        <v>89</v>
      </c>
      <c r="L1018" s="10" t="s">
        <v>25</v>
      </c>
      <c r="M1018" s="10" t="s">
        <v>538</v>
      </c>
      <c r="N1018" s="13">
        <f t="shared" si="15"/>
        <v>0.98333333333333328</v>
      </c>
      <c r="O1018" s="14" t="s">
        <v>138</v>
      </c>
      <c r="P1018" s="14" t="s">
        <v>138</v>
      </c>
      <c r="Q1018" s="14" t="s">
        <v>1041</v>
      </c>
      <c r="R1018" s="14" t="s">
        <v>1041</v>
      </c>
      <c r="S1018" s="14" t="s">
        <v>1042</v>
      </c>
      <c r="T1018" s="14" t="s">
        <v>1043</v>
      </c>
      <c r="U1018" s="15">
        <v>1.5</v>
      </c>
      <c r="V1018" s="10">
        <v>1</v>
      </c>
    </row>
    <row r="1019" spans="1:22" ht="18" customHeight="1" x14ac:dyDescent="0.35">
      <c r="A1019" s="10" t="s">
        <v>86</v>
      </c>
      <c r="B1019" s="10" t="s">
        <v>3366</v>
      </c>
      <c r="C1019" s="11" t="s">
        <v>3152</v>
      </c>
      <c r="D1019" s="11" t="s">
        <v>74</v>
      </c>
      <c r="E1019" s="12">
        <v>45690.608611111114</v>
      </c>
      <c r="F1019" s="10" t="str">
        <f>TEXT(events[[#This Row],[Start Date]],"DDD")</f>
        <v>Sun</v>
      </c>
      <c r="G1019" s="10">
        <f>YEAR(events[[#This Row],[Start Date]])</f>
        <v>2025</v>
      </c>
      <c r="H1019" s="10" t="str">
        <f>TEXT(events[[#This Row],[Start Date]],"mmm")</f>
        <v>Feb</v>
      </c>
      <c r="I1019" s="10" t="str">
        <f>CONCATENATE("WK_",WEEKNUM(events[[#This Row],[Start Date]]))</f>
        <v>WK_6</v>
      </c>
      <c r="J1019" s="12">
        <v>45690.609027777777</v>
      </c>
      <c r="K1019" s="10">
        <v>90</v>
      </c>
      <c r="L1019" s="10" t="s">
        <v>25</v>
      </c>
      <c r="M1019" s="10" t="s">
        <v>1037</v>
      </c>
      <c r="N1019" s="13">
        <f t="shared" si="15"/>
        <v>0.6</v>
      </c>
      <c r="O1019" s="14" t="s">
        <v>138</v>
      </c>
      <c r="P1019" s="14" t="s">
        <v>138</v>
      </c>
      <c r="Q1019" s="14" t="s">
        <v>1038</v>
      </c>
      <c r="R1019" s="14" t="s">
        <v>1038</v>
      </c>
      <c r="S1019" s="14" t="s">
        <v>1039</v>
      </c>
      <c r="T1019" s="14" t="s">
        <v>1040</v>
      </c>
      <c r="U1019" s="15">
        <v>0.93799999999999994</v>
      </c>
      <c r="V1019" s="10">
        <v>1</v>
      </c>
    </row>
    <row r="1020" spans="1:22" ht="18" customHeight="1" x14ac:dyDescent="0.35">
      <c r="A1020" s="10" t="s">
        <v>86</v>
      </c>
      <c r="B1020" s="10" t="s">
        <v>3366</v>
      </c>
      <c r="C1020" s="11" t="s">
        <v>3152</v>
      </c>
      <c r="D1020" s="11" t="s">
        <v>74</v>
      </c>
      <c r="E1020" s="12">
        <v>45690.606365740743</v>
      </c>
      <c r="F1020" s="10" t="str">
        <f>TEXT(events[[#This Row],[Start Date]],"DDD")</f>
        <v>Sun</v>
      </c>
      <c r="G1020" s="10">
        <f>YEAR(events[[#This Row],[Start Date]])</f>
        <v>2025</v>
      </c>
      <c r="H1020" s="10" t="str">
        <f>TEXT(events[[#This Row],[Start Date]],"mmm")</f>
        <v>Feb</v>
      </c>
      <c r="I1020" s="10" t="str">
        <f>CONCATENATE("WK_",WEEKNUM(events[[#This Row],[Start Date]]))</f>
        <v>WK_6</v>
      </c>
      <c r="J1020" s="12">
        <v>45690.606990740744</v>
      </c>
      <c r="K1020" s="10">
        <v>90</v>
      </c>
      <c r="L1020" s="10" t="s">
        <v>25</v>
      </c>
      <c r="M1020" s="10" t="s">
        <v>912</v>
      </c>
      <c r="N1020" s="13">
        <f t="shared" si="15"/>
        <v>0.9</v>
      </c>
      <c r="O1020" s="14" t="s">
        <v>138</v>
      </c>
      <c r="P1020" s="14" t="s">
        <v>138</v>
      </c>
      <c r="Q1020" s="14" t="s">
        <v>1033</v>
      </c>
      <c r="R1020" s="14" t="s">
        <v>1034</v>
      </c>
      <c r="S1020" s="14" t="s">
        <v>1035</v>
      </c>
      <c r="T1020" s="14" t="s">
        <v>1036</v>
      </c>
      <c r="U1020" s="15">
        <v>1.3120000000000001</v>
      </c>
      <c r="V1020" s="10">
        <v>1</v>
      </c>
    </row>
    <row r="1021" spans="1:22" ht="18" customHeight="1" x14ac:dyDescent="0.35">
      <c r="A1021" s="10" t="s">
        <v>86</v>
      </c>
      <c r="B1021" s="10" t="s">
        <v>3366</v>
      </c>
      <c r="C1021" s="11" t="s">
        <v>3152</v>
      </c>
      <c r="D1021" s="11" t="s">
        <v>74</v>
      </c>
      <c r="E1021" s="12">
        <v>45690.600613425922</v>
      </c>
      <c r="F1021" s="10" t="str">
        <f>TEXT(events[[#This Row],[Start Date]],"DDD")</f>
        <v>Sun</v>
      </c>
      <c r="G1021" s="10">
        <f>YEAR(events[[#This Row],[Start Date]])</f>
        <v>2025</v>
      </c>
      <c r="H1021" s="10" t="str">
        <f>TEXT(events[[#This Row],[Start Date]],"mmm")</f>
        <v>Feb</v>
      </c>
      <c r="I1021" s="10" t="str">
        <f>CONCATENATE("WK_",WEEKNUM(events[[#This Row],[Start Date]]))</f>
        <v>WK_6</v>
      </c>
      <c r="J1021" s="12">
        <v>45690.600636574076</v>
      </c>
      <c r="K1021" s="10">
        <v>87</v>
      </c>
      <c r="L1021" s="10" t="s">
        <v>25</v>
      </c>
      <c r="M1021" s="10" t="s">
        <v>31</v>
      </c>
      <c r="N1021" s="13">
        <f t="shared" si="15"/>
        <v>3.3333333333333333E-2</v>
      </c>
      <c r="O1021" s="14" t="s">
        <v>138</v>
      </c>
      <c r="P1021" s="14" t="s">
        <v>138</v>
      </c>
      <c r="Q1021" s="14" t="s">
        <v>933</v>
      </c>
      <c r="R1021" s="14" t="s">
        <v>933</v>
      </c>
      <c r="S1021" s="14" t="s">
        <v>1031</v>
      </c>
      <c r="T1021" s="14" t="s">
        <v>1032</v>
      </c>
      <c r="U1021" s="15">
        <v>0</v>
      </c>
      <c r="V1021" s="10">
        <v>1</v>
      </c>
    </row>
    <row r="1022" spans="1:22" ht="18" customHeight="1" x14ac:dyDescent="0.35">
      <c r="A1022" s="10" t="s">
        <v>86</v>
      </c>
      <c r="B1022" s="10" t="s">
        <v>3342</v>
      </c>
      <c r="C1022" s="11" t="s">
        <v>2976</v>
      </c>
      <c r="D1022" s="11" t="s">
        <v>74</v>
      </c>
      <c r="E1022" s="12">
        <v>45690.558182870373</v>
      </c>
      <c r="F1022" s="10" t="str">
        <f>TEXT(events[[#This Row],[Start Date]],"DDD")</f>
        <v>Sun</v>
      </c>
      <c r="G1022" s="10">
        <f>YEAR(events[[#This Row],[Start Date]])</f>
        <v>2025</v>
      </c>
      <c r="H1022" s="10" t="str">
        <f>TEXT(events[[#This Row],[Start Date]],"mmm")</f>
        <v>Feb</v>
      </c>
      <c r="I1022" s="10" t="str">
        <f>CONCATENATE("WK_",WEEKNUM(events[[#This Row],[Start Date]]))</f>
        <v>WK_6</v>
      </c>
      <c r="J1022" s="12">
        <v>45690.558182870373</v>
      </c>
      <c r="K1022" s="10">
        <v>81</v>
      </c>
      <c r="L1022" s="10" t="s">
        <v>25</v>
      </c>
      <c r="M1022" s="10" t="s">
        <v>87</v>
      </c>
      <c r="N1022" s="13">
        <f t="shared" si="15"/>
        <v>0</v>
      </c>
      <c r="O1022" s="14" t="s">
        <v>92</v>
      </c>
      <c r="P1022" s="14" t="s">
        <v>92</v>
      </c>
      <c r="Q1022" s="14" t="s">
        <v>358</v>
      </c>
      <c r="R1022" s="14" t="s">
        <v>358</v>
      </c>
      <c r="S1022" s="14" t="s">
        <v>1051</v>
      </c>
      <c r="T1022" s="14" t="s">
        <v>1051</v>
      </c>
      <c r="U1022" s="15">
        <v>9.4E-2</v>
      </c>
      <c r="V1022" s="10">
        <v>1</v>
      </c>
    </row>
    <row r="1023" spans="1:22" ht="18" customHeight="1" x14ac:dyDescent="0.35">
      <c r="A1023" s="10" t="s">
        <v>47</v>
      </c>
      <c r="B1023" s="10" t="s">
        <v>3365</v>
      </c>
      <c r="C1023" s="11" t="s">
        <v>3400</v>
      </c>
      <c r="D1023" s="11" t="s">
        <v>24</v>
      </c>
      <c r="E1023" s="12">
        <v>45689.80572916667</v>
      </c>
      <c r="F1023" s="10" t="str">
        <f>TEXT(events[[#This Row],[Start Date]],"DDD")</f>
        <v>Sat</v>
      </c>
      <c r="G1023" s="10">
        <f>YEAR(events[[#This Row],[Start Date]])</f>
        <v>2025</v>
      </c>
      <c r="H1023" s="10" t="str">
        <f>TEXT(events[[#This Row],[Start Date]],"mmm")</f>
        <v>Feb</v>
      </c>
      <c r="I1023" s="10" t="str">
        <f>CONCATENATE("WK_",WEEKNUM(events[[#This Row],[Start Date]]))</f>
        <v>WK_5</v>
      </c>
      <c r="J1023" s="12">
        <v>45689.80574074074</v>
      </c>
      <c r="K1023" s="10">
        <v>31</v>
      </c>
      <c r="L1023" s="10" t="s">
        <v>25</v>
      </c>
      <c r="M1023" s="10" t="s">
        <v>26</v>
      </c>
      <c r="N1023" s="13">
        <f t="shared" si="15"/>
        <v>1.6666666666666666E-2</v>
      </c>
      <c r="O1023" s="14" t="s">
        <v>182</v>
      </c>
      <c r="P1023" s="14" t="s">
        <v>182</v>
      </c>
      <c r="Q1023" s="14" t="s">
        <v>531</v>
      </c>
      <c r="R1023" s="14" t="s">
        <v>531</v>
      </c>
      <c r="S1023" s="14" t="s">
        <v>1025</v>
      </c>
      <c r="T1023" s="14" t="s">
        <v>1026</v>
      </c>
      <c r="U1023" s="15">
        <v>0</v>
      </c>
      <c r="V1023" s="10">
        <v>1</v>
      </c>
    </row>
    <row r="1024" spans="1:22" ht="18" customHeight="1" x14ac:dyDescent="0.35">
      <c r="A1024" s="10" t="s">
        <v>123</v>
      </c>
      <c r="B1024" s="10" t="s">
        <v>3170</v>
      </c>
      <c r="C1024" s="11" t="s">
        <v>2936</v>
      </c>
      <c r="D1024" s="11" t="s">
        <v>74</v>
      </c>
      <c r="E1024" s="12">
        <v>45689.101157407407</v>
      </c>
      <c r="F1024" s="10" t="str">
        <f>TEXT(events[[#This Row],[Start Date]],"DDD")</f>
        <v>Sat</v>
      </c>
      <c r="G1024" s="10">
        <f>YEAR(events[[#This Row],[Start Date]])</f>
        <v>2025</v>
      </c>
      <c r="H1024" s="10" t="str">
        <f>TEXT(events[[#This Row],[Start Date]],"mmm")</f>
        <v>Feb</v>
      </c>
      <c r="I1024" s="10" t="str">
        <f>CONCATENATE("WK_",WEEKNUM(events[[#This Row],[Start Date]]))</f>
        <v>WK_5</v>
      </c>
      <c r="J1024" s="12">
        <v>45689.102083333331</v>
      </c>
      <c r="K1024" s="10">
        <v>90</v>
      </c>
      <c r="L1024" s="10" t="s">
        <v>25</v>
      </c>
      <c r="M1024" s="10" t="s">
        <v>173</v>
      </c>
      <c r="N1024" s="13">
        <f t="shared" si="15"/>
        <v>1.3333333333333333</v>
      </c>
      <c r="O1024" s="14"/>
      <c r="P1024" s="14"/>
      <c r="Q1024" s="14" t="s">
        <v>304</v>
      </c>
      <c r="R1024" s="14" t="s">
        <v>304</v>
      </c>
      <c r="S1024" s="14" t="s">
        <v>1072</v>
      </c>
      <c r="T1024" s="14" t="s">
        <v>1073</v>
      </c>
      <c r="U1024" s="15">
        <v>1.9</v>
      </c>
      <c r="V1024" s="10">
        <v>1</v>
      </c>
    </row>
    <row r="1025" spans="1:22" ht="18" customHeight="1" x14ac:dyDescent="0.35">
      <c r="A1025" s="10" t="s">
        <v>47</v>
      </c>
      <c r="B1025" s="10" t="s">
        <v>3292</v>
      </c>
      <c r="C1025" s="11" t="s">
        <v>3078</v>
      </c>
      <c r="D1025" s="11" t="s">
        <v>82</v>
      </c>
      <c r="E1025" s="12">
        <v>45688.850023148145</v>
      </c>
      <c r="F1025" s="10" t="str">
        <f>TEXT(events[[#This Row],[Start Date]],"DDD")</f>
        <v>Fri</v>
      </c>
      <c r="G1025" s="10">
        <f>YEAR(events[[#This Row],[Start Date]])</f>
        <v>2025</v>
      </c>
      <c r="H1025" s="10" t="str">
        <f>TEXT(events[[#This Row],[Start Date]],"mmm")</f>
        <v>Jan</v>
      </c>
      <c r="I1025" s="10" t="str">
        <f>CONCATENATE("WK_",WEEKNUM(events[[#This Row],[Start Date]]))</f>
        <v>WK_5</v>
      </c>
      <c r="J1025" s="12">
        <v>45688.850034722222</v>
      </c>
      <c r="K1025" s="10">
        <v>16</v>
      </c>
      <c r="L1025" s="10" t="s">
        <v>83</v>
      </c>
      <c r="M1025" s="10" t="s">
        <v>26</v>
      </c>
      <c r="N1025" s="13">
        <f t="shared" si="15"/>
        <v>1.6666666666666666E-2</v>
      </c>
      <c r="O1025" s="14" t="s">
        <v>27</v>
      </c>
      <c r="P1025" s="14"/>
      <c r="Q1025" s="14" t="s">
        <v>847</v>
      </c>
      <c r="R1025" s="14"/>
      <c r="S1025" s="14" t="s">
        <v>1015</v>
      </c>
      <c r="T1025" s="14"/>
      <c r="U1025" s="15">
        <v>0</v>
      </c>
      <c r="V1025" s="10">
        <v>1</v>
      </c>
    </row>
    <row r="1026" spans="1:22" ht="18" customHeight="1" x14ac:dyDescent="0.35">
      <c r="A1026" s="10" t="s">
        <v>23</v>
      </c>
      <c r="B1026" s="10" t="s">
        <v>3363</v>
      </c>
      <c r="C1026" s="11" t="s">
        <v>3073</v>
      </c>
      <c r="D1026" s="11" t="s">
        <v>82</v>
      </c>
      <c r="E1026" s="12">
        <v>45688.79314814815</v>
      </c>
      <c r="F1026" s="10" t="str">
        <f>TEXT(events[[#This Row],[Start Date]],"DDD")</f>
        <v>Fri</v>
      </c>
      <c r="G1026" s="10">
        <f>YEAR(events[[#This Row],[Start Date]])</f>
        <v>2025</v>
      </c>
      <c r="H1026" s="10" t="str">
        <f>TEXT(events[[#This Row],[Start Date]],"mmm")</f>
        <v>Jan</v>
      </c>
      <c r="I1026" s="10" t="str">
        <f>CONCATENATE("WK_",WEEKNUM(events[[#This Row],[Start Date]]))</f>
        <v>WK_5</v>
      </c>
      <c r="J1026" s="12">
        <v>45688.79315972222</v>
      </c>
      <c r="K1026" s="10">
        <v>16</v>
      </c>
      <c r="L1026" s="10" t="s">
        <v>83</v>
      </c>
      <c r="M1026" s="10" t="s">
        <v>26</v>
      </c>
      <c r="N1026" s="13">
        <f t="shared" ref="N1026:N1089" si="16">HOUR(M1026)*60+MINUTE(M1026)+SECOND(M1026)/60</f>
        <v>1.6666666666666666E-2</v>
      </c>
      <c r="O1026" s="14" t="s">
        <v>27</v>
      </c>
      <c r="P1026" s="14"/>
      <c r="Q1026" s="14" t="s">
        <v>288</v>
      </c>
      <c r="R1026" s="14"/>
      <c r="S1026" s="14" t="s">
        <v>1014</v>
      </c>
      <c r="T1026" s="14"/>
      <c r="U1026" s="15">
        <v>0</v>
      </c>
      <c r="V1026" s="10">
        <v>1</v>
      </c>
    </row>
    <row r="1027" spans="1:22" ht="18" customHeight="1" x14ac:dyDescent="0.35">
      <c r="A1027" s="10" t="s">
        <v>86</v>
      </c>
      <c r="B1027" s="10" t="s">
        <v>3205</v>
      </c>
      <c r="C1027" s="11" t="s">
        <v>2973</v>
      </c>
      <c r="D1027" s="11" t="s">
        <v>82</v>
      </c>
      <c r="E1027" s="12">
        <v>45688.777407407404</v>
      </c>
      <c r="F1027" s="10" t="str">
        <f>TEXT(events[[#This Row],[Start Date]],"DDD")</f>
        <v>Fri</v>
      </c>
      <c r="G1027" s="10">
        <f>YEAR(events[[#This Row],[Start Date]])</f>
        <v>2025</v>
      </c>
      <c r="H1027" s="10" t="str">
        <f>TEXT(events[[#This Row],[Start Date]],"mmm")</f>
        <v>Jan</v>
      </c>
      <c r="I1027" s="10" t="str">
        <f>CONCATENATE("WK_",WEEKNUM(events[[#This Row],[Start Date]]))</f>
        <v>WK_5</v>
      </c>
      <c r="J1027" s="12">
        <v>45688.777407407404</v>
      </c>
      <c r="K1027" s="10">
        <v>16</v>
      </c>
      <c r="L1027" s="10" t="s">
        <v>83</v>
      </c>
      <c r="M1027" s="10" t="s">
        <v>87</v>
      </c>
      <c r="N1027" s="13">
        <f t="shared" si="16"/>
        <v>0</v>
      </c>
      <c r="O1027" s="14" t="s">
        <v>92</v>
      </c>
      <c r="P1027" s="14" t="s">
        <v>92</v>
      </c>
      <c r="Q1027" s="14" t="s">
        <v>1054</v>
      </c>
      <c r="R1027" s="14" t="s">
        <v>1054</v>
      </c>
      <c r="S1027" s="14" t="s">
        <v>1055</v>
      </c>
      <c r="T1027" s="14" t="s">
        <v>1055</v>
      </c>
      <c r="U1027" s="15">
        <v>0</v>
      </c>
      <c r="V1027" s="10">
        <v>1</v>
      </c>
    </row>
    <row r="1028" spans="1:22" ht="18" customHeight="1" x14ac:dyDescent="0.35">
      <c r="A1028" s="10" t="s">
        <v>47</v>
      </c>
      <c r="B1028" s="10" t="s">
        <v>3159</v>
      </c>
      <c r="C1028" s="11" t="s">
        <v>2925</v>
      </c>
      <c r="D1028" s="11" t="s">
        <v>24</v>
      </c>
      <c r="E1028" s="12">
        <v>45688.570810185185</v>
      </c>
      <c r="F1028" s="10" t="str">
        <f>TEXT(events[[#This Row],[Start Date]],"DDD")</f>
        <v>Fri</v>
      </c>
      <c r="G1028" s="10">
        <f>YEAR(events[[#This Row],[Start Date]])</f>
        <v>2025</v>
      </c>
      <c r="H1028" s="10" t="str">
        <f>TEXT(events[[#This Row],[Start Date]],"mmm")</f>
        <v>Jan</v>
      </c>
      <c r="I1028" s="10" t="str">
        <f>CONCATENATE("WK_",WEEKNUM(events[[#This Row],[Start Date]]))</f>
        <v>WK_5</v>
      </c>
      <c r="J1028" s="12">
        <v>45688.570821759262</v>
      </c>
      <c r="K1028" s="10">
        <v>31</v>
      </c>
      <c r="L1028" s="10" t="s">
        <v>25</v>
      </c>
      <c r="M1028" s="10" t="s">
        <v>26</v>
      </c>
      <c r="N1028" s="13">
        <f t="shared" si="16"/>
        <v>1.6666666666666666E-2</v>
      </c>
      <c r="O1028" s="14" t="s">
        <v>65</v>
      </c>
      <c r="P1028" s="14" t="s">
        <v>65</v>
      </c>
      <c r="Q1028" s="14" t="s">
        <v>944</v>
      </c>
      <c r="R1028" s="14" t="s">
        <v>944</v>
      </c>
      <c r="S1028" s="14" t="s">
        <v>1016</v>
      </c>
      <c r="T1028" s="14" t="s">
        <v>1017</v>
      </c>
      <c r="U1028" s="15">
        <v>0.125</v>
      </c>
      <c r="V1028" s="10">
        <v>1</v>
      </c>
    </row>
    <row r="1029" spans="1:22" ht="18" customHeight="1" x14ac:dyDescent="0.35">
      <c r="A1029" s="10" t="s">
        <v>86</v>
      </c>
      <c r="B1029" s="10" t="s">
        <v>3368</v>
      </c>
      <c r="C1029" s="11" t="s">
        <v>3402</v>
      </c>
      <c r="D1029" s="11" t="s">
        <v>74</v>
      </c>
      <c r="E1029" s="12">
        <v>45688.431921296295</v>
      </c>
      <c r="F1029" s="10" t="str">
        <f>TEXT(events[[#This Row],[Start Date]],"DDD")</f>
        <v>Fri</v>
      </c>
      <c r="G1029" s="10">
        <f>YEAR(events[[#This Row],[Start Date]])</f>
        <v>2025</v>
      </c>
      <c r="H1029" s="10" t="str">
        <f>TEXT(events[[#This Row],[Start Date]],"mmm")</f>
        <v>Jan</v>
      </c>
      <c r="I1029" s="10" t="str">
        <f>CONCATENATE("WK_",WEEKNUM(events[[#This Row],[Start Date]]))</f>
        <v>WK_5</v>
      </c>
      <c r="J1029" s="12">
        <v>45688.431990740741</v>
      </c>
      <c r="K1029" s="10">
        <v>82</v>
      </c>
      <c r="L1029" s="10" t="s">
        <v>25</v>
      </c>
      <c r="M1029" s="10" t="s">
        <v>328</v>
      </c>
      <c r="N1029" s="13">
        <f t="shared" si="16"/>
        <v>0.1</v>
      </c>
      <c r="O1029" s="14" t="s">
        <v>138</v>
      </c>
      <c r="P1029" s="14" t="s">
        <v>138</v>
      </c>
      <c r="Q1029" s="14" t="s">
        <v>245</v>
      </c>
      <c r="R1029" s="14" t="s">
        <v>1058</v>
      </c>
      <c r="S1029" s="14" t="s">
        <v>1059</v>
      </c>
      <c r="T1029" s="14" t="s">
        <v>1060</v>
      </c>
      <c r="U1029" s="15">
        <v>0.25</v>
      </c>
      <c r="V1029" s="10">
        <v>1</v>
      </c>
    </row>
    <row r="1030" spans="1:22" ht="18" customHeight="1" x14ac:dyDescent="0.35">
      <c r="A1030" s="10" t="s">
        <v>47</v>
      </c>
      <c r="B1030" s="10" t="s">
        <v>3216</v>
      </c>
      <c r="C1030" s="11" t="s">
        <v>3140</v>
      </c>
      <c r="D1030" s="11" t="s">
        <v>24</v>
      </c>
      <c r="E1030" s="12">
        <v>45687.688148148147</v>
      </c>
      <c r="F1030" s="10" t="str">
        <f>TEXT(events[[#This Row],[Start Date]],"DDD")</f>
        <v>Thu</v>
      </c>
      <c r="G1030" s="10">
        <f>YEAR(events[[#This Row],[Start Date]])</f>
        <v>2025</v>
      </c>
      <c r="H1030" s="10" t="str">
        <f>TEXT(events[[#This Row],[Start Date]],"mmm")</f>
        <v>Jan</v>
      </c>
      <c r="I1030" s="10" t="str">
        <f>CONCATENATE("WK_",WEEKNUM(events[[#This Row],[Start Date]]))</f>
        <v>WK_5</v>
      </c>
      <c r="J1030" s="12">
        <v>45687.688159722224</v>
      </c>
      <c r="K1030" s="10">
        <v>31</v>
      </c>
      <c r="L1030" s="10" t="s">
        <v>25</v>
      </c>
      <c r="M1030" s="10" t="s">
        <v>26</v>
      </c>
      <c r="N1030" s="13">
        <f t="shared" si="16"/>
        <v>1.6666666666666666E-2</v>
      </c>
      <c r="O1030" s="14" t="s">
        <v>50</v>
      </c>
      <c r="P1030" s="14" t="s">
        <v>50</v>
      </c>
      <c r="Q1030" s="14" t="s">
        <v>1020</v>
      </c>
      <c r="R1030" s="14" t="s">
        <v>1020</v>
      </c>
      <c r="S1030" s="14" t="s">
        <v>1021</v>
      </c>
      <c r="T1030" s="14" t="s">
        <v>1022</v>
      </c>
      <c r="U1030" s="15">
        <v>0</v>
      </c>
      <c r="V1030" s="10">
        <v>1</v>
      </c>
    </row>
    <row r="1031" spans="1:22" ht="18" customHeight="1" x14ac:dyDescent="0.35">
      <c r="A1031" s="10" t="s">
        <v>47</v>
      </c>
      <c r="B1031" s="10" t="s">
        <v>3216</v>
      </c>
      <c r="C1031" s="11" t="s">
        <v>3140</v>
      </c>
      <c r="D1031" s="11" t="s">
        <v>24</v>
      </c>
      <c r="E1031" s="12">
        <v>45687.340810185182</v>
      </c>
      <c r="F1031" s="10" t="str">
        <f>TEXT(events[[#This Row],[Start Date]],"DDD")</f>
        <v>Thu</v>
      </c>
      <c r="G1031" s="10">
        <f>YEAR(events[[#This Row],[Start Date]])</f>
        <v>2025</v>
      </c>
      <c r="H1031" s="10" t="str">
        <f>TEXT(events[[#This Row],[Start Date]],"mmm")</f>
        <v>Jan</v>
      </c>
      <c r="I1031" s="10" t="str">
        <f>CONCATENATE("WK_",WEEKNUM(events[[#This Row],[Start Date]]))</f>
        <v>WK_5</v>
      </c>
      <c r="J1031" s="12">
        <v>45687.340821759259</v>
      </c>
      <c r="K1031" s="10">
        <v>37</v>
      </c>
      <c r="L1031" s="10" t="s">
        <v>25</v>
      </c>
      <c r="M1031" s="10" t="s">
        <v>26</v>
      </c>
      <c r="N1031" s="13">
        <f t="shared" si="16"/>
        <v>1.6666666666666666E-2</v>
      </c>
      <c r="O1031" s="14" t="s">
        <v>50</v>
      </c>
      <c r="P1031" s="14" t="s">
        <v>50</v>
      </c>
      <c r="Q1031" s="14" t="s">
        <v>347</v>
      </c>
      <c r="R1031" s="14" t="s">
        <v>347</v>
      </c>
      <c r="S1031" s="14" t="s">
        <v>1018</v>
      </c>
      <c r="T1031" s="14" t="s">
        <v>1019</v>
      </c>
      <c r="U1031" s="15">
        <v>0.10199999999999999</v>
      </c>
      <c r="V1031" s="10">
        <v>1</v>
      </c>
    </row>
    <row r="1032" spans="1:22" ht="18" customHeight="1" x14ac:dyDescent="0.35">
      <c r="A1032" s="10" t="s">
        <v>86</v>
      </c>
      <c r="B1032" s="10" t="s">
        <v>3368</v>
      </c>
      <c r="C1032" s="11" t="s">
        <v>3402</v>
      </c>
      <c r="D1032" s="11" t="s">
        <v>74</v>
      </c>
      <c r="E1032" s="12">
        <v>45687.277372685188</v>
      </c>
      <c r="F1032" s="10" t="str">
        <f>TEXT(events[[#This Row],[Start Date]],"DDD")</f>
        <v>Thu</v>
      </c>
      <c r="G1032" s="10">
        <f>YEAR(events[[#This Row],[Start Date]])</f>
        <v>2025</v>
      </c>
      <c r="H1032" s="10" t="str">
        <f>TEXT(events[[#This Row],[Start Date]],"mmm")</f>
        <v>Jan</v>
      </c>
      <c r="I1032" s="10" t="str">
        <f>CONCATENATE("WK_",WEEKNUM(events[[#This Row],[Start Date]]))</f>
        <v>WK_5</v>
      </c>
      <c r="J1032" s="12">
        <v>45687.277418981481</v>
      </c>
      <c r="K1032" s="10">
        <v>81</v>
      </c>
      <c r="L1032" s="10" t="s">
        <v>25</v>
      </c>
      <c r="M1032" s="10" t="s">
        <v>275</v>
      </c>
      <c r="N1032" s="13">
        <f t="shared" si="16"/>
        <v>6.6666666666666666E-2</v>
      </c>
      <c r="O1032" s="14" t="s">
        <v>27</v>
      </c>
      <c r="P1032" s="14" t="s">
        <v>27</v>
      </c>
      <c r="Q1032" s="14" t="s">
        <v>391</v>
      </c>
      <c r="R1032" s="14" t="s">
        <v>391</v>
      </c>
      <c r="S1032" s="14" t="s">
        <v>1056</v>
      </c>
      <c r="T1032" s="14" t="s">
        <v>1057</v>
      </c>
      <c r="U1032" s="15">
        <v>0.125</v>
      </c>
      <c r="V1032" s="10">
        <v>1</v>
      </c>
    </row>
    <row r="1033" spans="1:22" ht="18" customHeight="1" x14ac:dyDescent="0.35">
      <c r="A1033" s="10" t="s">
        <v>123</v>
      </c>
      <c r="B1033" s="10" t="s">
        <v>3198</v>
      </c>
      <c r="C1033" s="11" t="s">
        <v>2965</v>
      </c>
      <c r="D1033" s="11" t="s">
        <v>74</v>
      </c>
      <c r="E1033" s="12">
        <v>45686.928425925929</v>
      </c>
      <c r="F1033" s="10" t="str">
        <f>TEXT(events[[#This Row],[Start Date]],"DDD")</f>
        <v>Wed</v>
      </c>
      <c r="G1033" s="10">
        <f>YEAR(events[[#This Row],[Start Date]])</f>
        <v>2025</v>
      </c>
      <c r="H1033" s="10" t="str">
        <f>TEXT(events[[#This Row],[Start Date]],"mmm")</f>
        <v>Jan</v>
      </c>
      <c r="I1033" s="10" t="str">
        <f>CONCATENATE("WK_",WEEKNUM(events[[#This Row],[Start Date]]))</f>
        <v>WK_5</v>
      </c>
      <c r="J1033" s="12">
        <v>45686.928715277776</v>
      </c>
      <c r="K1033" s="10">
        <v>87</v>
      </c>
      <c r="L1033" s="10" t="s">
        <v>25</v>
      </c>
      <c r="M1033" s="10" t="s">
        <v>124</v>
      </c>
      <c r="N1033" s="13">
        <f t="shared" si="16"/>
        <v>0.4</v>
      </c>
      <c r="O1033" s="14"/>
      <c r="P1033" s="14"/>
      <c r="Q1033" s="14" t="s">
        <v>395</v>
      </c>
      <c r="R1033" s="14" t="s">
        <v>395</v>
      </c>
      <c r="S1033" s="14" t="s">
        <v>1070</v>
      </c>
      <c r="T1033" s="14" t="s">
        <v>1071</v>
      </c>
      <c r="U1033" s="15">
        <v>0.7</v>
      </c>
      <c r="V1033" s="10">
        <v>1</v>
      </c>
    </row>
    <row r="1034" spans="1:22" ht="18" customHeight="1" x14ac:dyDescent="0.35">
      <c r="A1034" s="10" t="s">
        <v>47</v>
      </c>
      <c r="B1034" s="10" t="s">
        <v>3157</v>
      </c>
      <c r="C1034" s="11" t="s">
        <v>2923</v>
      </c>
      <c r="D1034" s="11" t="s">
        <v>35</v>
      </c>
      <c r="E1034" s="12">
        <v>45685.958333333336</v>
      </c>
      <c r="F1034" s="10" t="str">
        <f>TEXT(events[[#This Row],[Start Date]],"DDD")</f>
        <v>Tue</v>
      </c>
      <c r="G1034" s="10">
        <f>YEAR(events[[#This Row],[Start Date]])</f>
        <v>2025</v>
      </c>
      <c r="H1034" s="10" t="str">
        <f>TEXT(events[[#This Row],[Start Date]],"mmm")</f>
        <v>Jan</v>
      </c>
      <c r="I1034" s="10" t="str">
        <f>CONCATENATE("WK_",WEEKNUM(events[[#This Row],[Start Date]]))</f>
        <v>WK_5</v>
      </c>
      <c r="J1034" s="12">
        <v>45685.993564814817</v>
      </c>
      <c r="K1034" s="10">
        <v>38.799999999999997</v>
      </c>
      <c r="L1034" s="10" t="s">
        <v>36</v>
      </c>
      <c r="M1034" s="10" t="s">
        <v>1593</v>
      </c>
      <c r="N1034" s="13">
        <f t="shared" si="16"/>
        <v>50.733333333333334</v>
      </c>
      <c r="O1034" s="14" t="s">
        <v>27</v>
      </c>
      <c r="P1034" s="14" t="s">
        <v>92</v>
      </c>
      <c r="Q1034" s="14" t="s">
        <v>1594</v>
      </c>
      <c r="R1034" s="14" t="s">
        <v>750</v>
      </c>
      <c r="S1034" s="14" t="s">
        <v>1595</v>
      </c>
      <c r="T1034" s="14" t="s">
        <v>1596</v>
      </c>
      <c r="U1034" s="15">
        <v>23.687999999999999</v>
      </c>
      <c r="V1034" s="10">
        <v>1</v>
      </c>
    </row>
    <row r="1035" spans="1:22" ht="18" customHeight="1" x14ac:dyDescent="0.35">
      <c r="A1035" s="10" t="s">
        <v>123</v>
      </c>
      <c r="B1035" s="10" t="s">
        <v>3161</v>
      </c>
      <c r="C1035" s="11" t="s">
        <v>2927</v>
      </c>
      <c r="D1035" s="11" t="s">
        <v>74</v>
      </c>
      <c r="E1035" s="12">
        <v>45685.747604166667</v>
      </c>
      <c r="F1035" s="10" t="str">
        <f>TEXT(events[[#This Row],[Start Date]],"DDD")</f>
        <v>Tue</v>
      </c>
      <c r="G1035" s="10">
        <f>YEAR(events[[#This Row],[Start Date]])</f>
        <v>2025</v>
      </c>
      <c r="H1035" s="10" t="str">
        <f>TEXT(events[[#This Row],[Start Date]],"mmm")</f>
        <v>Jan</v>
      </c>
      <c r="I1035" s="10" t="str">
        <f>CONCATENATE("WK_",WEEKNUM(events[[#This Row],[Start Date]]))</f>
        <v>WK_5</v>
      </c>
      <c r="J1035" s="12">
        <v>45685.747777777775</v>
      </c>
      <c r="K1035" s="10">
        <v>82</v>
      </c>
      <c r="L1035" s="10" t="s">
        <v>25</v>
      </c>
      <c r="M1035" s="10" t="s">
        <v>394</v>
      </c>
      <c r="N1035" s="13">
        <f t="shared" si="16"/>
        <v>0.25</v>
      </c>
      <c r="O1035" s="14"/>
      <c r="P1035" s="14"/>
      <c r="Q1035" s="14" t="s">
        <v>1643</v>
      </c>
      <c r="R1035" s="14" t="s">
        <v>1644</v>
      </c>
      <c r="S1035" s="14" t="s">
        <v>1645</v>
      </c>
      <c r="T1035" s="14" t="s">
        <v>1646</v>
      </c>
      <c r="U1035" s="15">
        <v>0.5</v>
      </c>
      <c r="V1035" s="10">
        <v>1</v>
      </c>
    </row>
    <row r="1036" spans="1:22" ht="18" customHeight="1" x14ac:dyDescent="0.35">
      <c r="A1036" s="10" t="s">
        <v>86</v>
      </c>
      <c r="B1036" s="10" t="s">
        <v>3210</v>
      </c>
      <c r="C1036" s="11" t="s">
        <v>2979</v>
      </c>
      <c r="D1036" s="11" t="s">
        <v>24</v>
      </c>
      <c r="E1036" s="12">
        <v>45685.460150462961</v>
      </c>
      <c r="F1036" s="10" t="str">
        <f>TEXT(events[[#This Row],[Start Date]],"DDD")</f>
        <v>Tue</v>
      </c>
      <c r="G1036" s="10">
        <f>YEAR(events[[#This Row],[Start Date]])</f>
        <v>2025</v>
      </c>
      <c r="H1036" s="10" t="str">
        <f>TEXT(events[[#This Row],[Start Date]],"mmm")</f>
        <v>Jan</v>
      </c>
      <c r="I1036" s="10" t="str">
        <f>CONCATENATE("WK_",WEEKNUM(events[[#This Row],[Start Date]]))</f>
        <v>WK_5</v>
      </c>
      <c r="J1036" s="12">
        <v>45685.460625</v>
      </c>
      <c r="K1036" s="10">
        <v>78</v>
      </c>
      <c r="L1036" s="10" t="s">
        <v>25</v>
      </c>
      <c r="M1036" s="10" t="s">
        <v>1105</v>
      </c>
      <c r="N1036" s="13">
        <f t="shared" si="16"/>
        <v>0.68333333333333335</v>
      </c>
      <c r="O1036" s="14" t="s">
        <v>50</v>
      </c>
      <c r="P1036" s="14" t="s">
        <v>50</v>
      </c>
      <c r="Q1036" s="14" t="s">
        <v>112</v>
      </c>
      <c r="R1036" s="14" t="s">
        <v>112</v>
      </c>
      <c r="S1036" s="14" t="s">
        <v>1613</v>
      </c>
      <c r="T1036" s="14" t="s">
        <v>1614</v>
      </c>
      <c r="U1036" s="15">
        <v>0.875</v>
      </c>
      <c r="V1036" s="10">
        <v>1</v>
      </c>
    </row>
    <row r="1037" spans="1:22" ht="18" customHeight="1" x14ac:dyDescent="0.35">
      <c r="A1037" s="10" t="s">
        <v>123</v>
      </c>
      <c r="B1037" s="10" t="s">
        <v>3382</v>
      </c>
      <c r="C1037" s="11" t="s">
        <v>3420</v>
      </c>
      <c r="D1037" s="11" t="s">
        <v>35</v>
      </c>
      <c r="E1037" s="12">
        <v>45685.12841435185</v>
      </c>
      <c r="F1037" s="10" t="str">
        <f>TEXT(events[[#This Row],[Start Date]],"DDD")</f>
        <v>Tue</v>
      </c>
      <c r="G1037" s="10">
        <f>YEAR(events[[#This Row],[Start Date]])</f>
        <v>2025</v>
      </c>
      <c r="H1037" s="10" t="str">
        <f>TEXT(events[[#This Row],[Start Date]],"mmm")</f>
        <v>Jan</v>
      </c>
      <c r="I1037" s="10" t="str">
        <f>CONCATENATE("WK_",WEEKNUM(events[[#This Row],[Start Date]]))</f>
        <v>WK_5</v>
      </c>
      <c r="J1037" s="12">
        <v>45685.145289351851</v>
      </c>
      <c r="K1037" s="10"/>
      <c r="L1037" s="10"/>
      <c r="M1037" s="10" t="s">
        <v>1659</v>
      </c>
      <c r="N1037" s="13">
        <f t="shared" si="16"/>
        <v>24.3</v>
      </c>
      <c r="O1037" s="14"/>
      <c r="P1037" s="14"/>
      <c r="Q1037" s="14" t="s">
        <v>1660</v>
      </c>
      <c r="R1037" s="14" t="s">
        <v>1660</v>
      </c>
      <c r="S1037" s="14" t="s">
        <v>1661</v>
      </c>
      <c r="T1037" s="14" t="s">
        <v>1662</v>
      </c>
      <c r="U1037" s="15">
        <v>10.5</v>
      </c>
      <c r="V1037" s="10">
        <v>1</v>
      </c>
    </row>
    <row r="1038" spans="1:22" ht="18" customHeight="1" x14ac:dyDescent="0.35">
      <c r="A1038" s="10" t="s">
        <v>86</v>
      </c>
      <c r="B1038" s="10" t="s">
        <v>3342</v>
      </c>
      <c r="C1038" s="11" t="s">
        <v>3054</v>
      </c>
      <c r="D1038" s="11" t="s">
        <v>74</v>
      </c>
      <c r="E1038" s="12">
        <v>45684.898356481484</v>
      </c>
      <c r="F1038" s="10" t="str">
        <f>TEXT(events[[#This Row],[Start Date]],"DDD")</f>
        <v>Mon</v>
      </c>
      <c r="G1038" s="10">
        <f>YEAR(events[[#This Row],[Start Date]])</f>
        <v>2025</v>
      </c>
      <c r="H1038" s="10" t="str">
        <f>TEXT(events[[#This Row],[Start Date]],"mmm")</f>
        <v>Jan</v>
      </c>
      <c r="I1038" s="10" t="str">
        <f>CONCATENATE("WK_",WEEKNUM(events[[#This Row],[Start Date]]))</f>
        <v>WK_5</v>
      </c>
      <c r="J1038" s="12">
        <v>45684.8984375</v>
      </c>
      <c r="K1038" s="10">
        <v>83</v>
      </c>
      <c r="L1038" s="10" t="s">
        <v>25</v>
      </c>
      <c r="M1038" s="10" t="s">
        <v>115</v>
      </c>
      <c r="N1038" s="13">
        <f t="shared" si="16"/>
        <v>0.11666666666666667</v>
      </c>
      <c r="O1038" s="14" t="s">
        <v>138</v>
      </c>
      <c r="P1038" s="14" t="s">
        <v>138</v>
      </c>
      <c r="Q1038" s="14" t="s">
        <v>242</v>
      </c>
      <c r="R1038" s="14" t="s">
        <v>242</v>
      </c>
      <c r="S1038" s="14" t="s">
        <v>1637</v>
      </c>
      <c r="T1038" s="14" t="s">
        <v>1638</v>
      </c>
      <c r="U1038" s="15">
        <v>0.188</v>
      </c>
      <c r="V1038" s="10">
        <v>1</v>
      </c>
    </row>
    <row r="1039" spans="1:22" ht="18" customHeight="1" x14ac:dyDescent="0.35">
      <c r="A1039" s="10" t="s">
        <v>86</v>
      </c>
      <c r="B1039" s="10" t="s">
        <v>3342</v>
      </c>
      <c r="C1039" s="11" t="s">
        <v>3054</v>
      </c>
      <c r="D1039" s="11" t="s">
        <v>74</v>
      </c>
      <c r="E1039" s="12">
        <v>45684.89435185185</v>
      </c>
      <c r="F1039" s="10" t="str">
        <f>TEXT(events[[#This Row],[Start Date]],"DDD")</f>
        <v>Mon</v>
      </c>
      <c r="G1039" s="10">
        <f>YEAR(events[[#This Row],[Start Date]])</f>
        <v>2025</v>
      </c>
      <c r="H1039" s="10" t="str">
        <f>TEXT(events[[#This Row],[Start Date]],"mmm")</f>
        <v>Jan</v>
      </c>
      <c r="I1039" s="10" t="str">
        <f>CONCATENATE("WK_",WEEKNUM(events[[#This Row],[Start Date]]))</f>
        <v>WK_5</v>
      </c>
      <c r="J1039" s="12">
        <v>45684.894675925927</v>
      </c>
      <c r="K1039" s="10">
        <v>82</v>
      </c>
      <c r="L1039" s="10" t="s">
        <v>25</v>
      </c>
      <c r="M1039" s="10" t="s">
        <v>1634</v>
      </c>
      <c r="N1039" s="13">
        <f t="shared" si="16"/>
        <v>0.46666666666666667</v>
      </c>
      <c r="O1039" s="14" t="s">
        <v>138</v>
      </c>
      <c r="P1039" s="14" t="s">
        <v>138</v>
      </c>
      <c r="Q1039" s="14" t="s">
        <v>1041</v>
      </c>
      <c r="R1039" s="14" t="s">
        <v>1041</v>
      </c>
      <c r="S1039" s="14" t="s">
        <v>1635</v>
      </c>
      <c r="T1039" s="14" t="s">
        <v>1636</v>
      </c>
      <c r="U1039" s="15">
        <v>0.68799999999999994</v>
      </c>
      <c r="V1039" s="10">
        <v>1</v>
      </c>
    </row>
    <row r="1040" spans="1:22" ht="18" customHeight="1" x14ac:dyDescent="0.35">
      <c r="A1040" s="10" t="s">
        <v>86</v>
      </c>
      <c r="B1040" s="10" t="s">
        <v>3342</v>
      </c>
      <c r="C1040" s="11" t="s">
        <v>3054</v>
      </c>
      <c r="D1040" s="11" t="s">
        <v>74</v>
      </c>
      <c r="E1040" s="12">
        <v>45684.892083333332</v>
      </c>
      <c r="F1040" s="10" t="str">
        <f>TEXT(events[[#This Row],[Start Date]],"DDD")</f>
        <v>Mon</v>
      </c>
      <c r="G1040" s="10">
        <f>YEAR(events[[#This Row],[Start Date]])</f>
        <v>2025</v>
      </c>
      <c r="H1040" s="10" t="str">
        <f>TEXT(events[[#This Row],[Start Date]],"mmm")</f>
        <v>Jan</v>
      </c>
      <c r="I1040" s="10" t="str">
        <f>CONCATENATE("WK_",WEEKNUM(events[[#This Row],[Start Date]]))</f>
        <v>WK_5</v>
      </c>
      <c r="J1040" s="12">
        <v>45684.892094907409</v>
      </c>
      <c r="K1040" s="10">
        <v>81</v>
      </c>
      <c r="L1040" s="10" t="s">
        <v>25</v>
      </c>
      <c r="M1040" s="10" t="s">
        <v>26</v>
      </c>
      <c r="N1040" s="13">
        <f t="shared" si="16"/>
        <v>1.6666666666666666E-2</v>
      </c>
      <c r="O1040" s="14" t="s">
        <v>138</v>
      </c>
      <c r="P1040" s="14" t="s">
        <v>138</v>
      </c>
      <c r="Q1040" s="14" t="s">
        <v>1041</v>
      </c>
      <c r="R1040" s="14" t="s">
        <v>1041</v>
      </c>
      <c r="S1040" s="14" t="s">
        <v>1632</v>
      </c>
      <c r="T1040" s="14" t="s">
        <v>1633</v>
      </c>
      <c r="U1040" s="15">
        <v>0</v>
      </c>
      <c r="V1040" s="10">
        <v>1</v>
      </c>
    </row>
    <row r="1041" spans="1:22" ht="18" customHeight="1" x14ac:dyDescent="0.35">
      <c r="A1041" s="10" t="s">
        <v>86</v>
      </c>
      <c r="B1041" s="10" t="s">
        <v>3342</v>
      </c>
      <c r="C1041" s="11" t="s">
        <v>3054</v>
      </c>
      <c r="D1041" s="11" t="s">
        <v>24</v>
      </c>
      <c r="E1041" s="12">
        <v>45684.739050925928</v>
      </c>
      <c r="F1041" s="10" t="str">
        <f>TEXT(events[[#This Row],[Start Date]],"DDD")</f>
        <v>Mon</v>
      </c>
      <c r="G1041" s="10">
        <f>YEAR(events[[#This Row],[Start Date]])</f>
        <v>2025</v>
      </c>
      <c r="H1041" s="10" t="str">
        <f>TEXT(events[[#This Row],[Start Date]],"mmm")</f>
        <v>Jan</v>
      </c>
      <c r="I1041" s="10" t="str">
        <f>CONCATENATE("WK_",WEEKNUM(events[[#This Row],[Start Date]]))</f>
        <v>WK_5</v>
      </c>
      <c r="J1041" s="12">
        <v>45684.739837962959</v>
      </c>
      <c r="K1041" s="10">
        <v>68</v>
      </c>
      <c r="L1041" s="10" t="s">
        <v>25</v>
      </c>
      <c r="M1041" s="10" t="s">
        <v>1008</v>
      </c>
      <c r="N1041" s="13">
        <f t="shared" si="16"/>
        <v>1.1333333333333333</v>
      </c>
      <c r="O1041" s="14" t="s">
        <v>50</v>
      </c>
      <c r="P1041" s="14" t="s">
        <v>50</v>
      </c>
      <c r="Q1041" s="14" t="s">
        <v>434</v>
      </c>
      <c r="R1041" s="14" t="s">
        <v>434</v>
      </c>
      <c r="S1041" s="14" t="s">
        <v>1615</v>
      </c>
      <c r="T1041" s="14" t="s">
        <v>1616</v>
      </c>
      <c r="U1041" s="15">
        <v>1.1879999999999999</v>
      </c>
      <c r="V1041" s="10">
        <v>1</v>
      </c>
    </row>
    <row r="1042" spans="1:22" ht="18" customHeight="1" x14ac:dyDescent="0.35">
      <c r="A1042" s="10" t="s">
        <v>23</v>
      </c>
      <c r="B1042" s="10" t="s">
        <v>3163</v>
      </c>
      <c r="C1042" s="11" t="s">
        <v>2929</v>
      </c>
      <c r="D1042" s="11" t="s">
        <v>24</v>
      </c>
      <c r="E1042" s="12">
        <v>45684.446412037039</v>
      </c>
      <c r="F1042" s="10" t="str">
        <f>TEXT(events[[#This Row],[Start Date]],"DDD")</f>
        <v>Mon</v>
      </c>
      <c r="G1042" s="10">
        <f>YEAR(events[[#This Row],[Start Date]])</f>
        <v>2025</v>
      </c>
      <c r="H1042" s="10" t="str">
        <f>TEXT(events[[#This Row],[Start Date]],"mmm")</f>
        <v>Jan</v>
      </c>
      <c r="I1042" s="10" t="str">
        <f>CONCATENATE("WK_",WEEKNUM(events[[#This Row],[Start Date]]))</f>
        <v>WK_5</v>
      </c>
      <c r="J1042" s="12">
        <v>45684.446423611109</v>
      </c>
      <c r="K1042" s="10">
        <v>38</v>
      </c>
      <c r="L1042" s="10" t="s">
        <v>25</v>
      </c>
      <c r="M1042" s="10" t="s">
        <v>26</v>
      </c>
      <c r="N1042" s="13">
        <f t="shared" si="16"/>
        <v>1.6666666666666666E-2</v>
      </c>
      <c r="O1042" s="14" t="s">
        <v>138</v>
      </c>
      <c r="P1042" s="14" t="s">
        <v>138</v>
      </c>
      <c r="Q1042" s="14" t="s">
        <v>1581</v>
      </c>
      <c r="R1042" s="14" t="s">
        <v>1581</v>
      </c>
      <c r="S1042" s="14" t="s">
        <v>1584</v>
      </c>
      <c r="T1042" s="14" t="s">
        <v>1585</v>
      </c>
      <c r="U1042" s="15">
        <v>0</v>
      </c>
      <c r="V1042" s="10">
        <v>1</v>
      </c>
    </row>
    <row r="1043" spans="1:22" ht="18" customHeight="1" x14ac:dyDescent="0.35">
      <c r="A1043" s="10" t="s">
        <v>23</v>
      </c>
      <c r="B1043" s="10" t="s">
        <v>3163</v>
      </c>
      <c r="C1043" s="11" t="s">
        <v>2929</v>
      </c>
      <c r="D1043" s="11" t="s">
        <v>24</v>
      </c>
      <c r="E1043" s="12">
        <v>45684.444513888891</v>
      </c>
      <c r="F1043" s="10" t="str">
        <f>TEXT(events[[#This Row],[Start Date]],"DDD")</f>
        <v>Mon</v>
      </c>
      <c r="G1043" s="10">
        <f>YEAR(events[[#This Row],[Start Date]])</f>
        <v>2025</v>
      </c>
      <c r="H1043" s="10" t="str">
        <f>TEXT(events[[#This Row],[Start Date]],"mmm")</f>
        <v>Jan</v>
      </c>
      <c r="I1043" s="10" t="str">
        <f>CONCATENATE("WK_",WEEKNUM(events[[#This Row],[Start Date]]))</f>
        <v>WK_5</v>
      </c>
      <c r="J1043" s="12">
        <v>45684.44458333333</v>
      </c>
      <c r="K1043" s="10">
        <v>39</v>
      </c>
      <c r="L1043" s="10" t="s">
        <v>25</v>
      </c>
      <c r="M1043" s="10" t="s">
        <v>328</v>
      </c>
      <c r="N1043" s="13">
        <f t="shared" si="16"/>
        <v>0.1</v>
      </c>
      <c r="O1043" s="14" t="s">
        <v>138</v>
      </c>
      <c r="P1043" s="14" t="s">
        <v>138</v>
      </c>
      <c r="Q1043" s="14" t="s">
        <v>1581</v>
      </c>
      <c r="R1043" s="14" t="s">
        <v>1581</v>
      </c>
      <c r="S1043" s="14" t="s">
        <v>1582</v>
      </c>
      <c r="T1043" s="14" t="s">
        <v>1583</v>
      </c>
      <c r="U1043" s="15">
        <v>6.2E-2</v>
      </c>
      <c r="V1043" s="10">
        <v>1</v>
      </c>
    </row>
    <row r="1044" spans="1:22" ht="18" customHeight="1" x14ac:dyDescent="0.35">
      <c r="A1044" s="10" t="s">
        <v>23</v>
      </c>
      <c r="B1044" s="10" t="s">
        <v>3163</v>
      </c>
      <c r="C1044" s="11" t="s">
        <v>2929</v>
      </c>
      <c r="D1044" s="11" t="s">
        <v>24</v>
      </c>
      <c r="E1044" s="12">
        <v>45684.441481481481</v>
      </c>
      <c r="F1044" s="10" t="str">
        <f>TEXT(events[[#This Row],[Start Date]],"DDD")</f>
        <v>Mon</v>
      </c>
      <c r="G1044" s="10">
        <f>YEAR(events[[#This Row],[Start Date]])</f>
        <v>2025</v>
      </c>
      <c r="H1044" s="10" t="str">
        <f>TEXT(events[[#This Row],[Start Date]],"mmm")</f>
        <v>Jan</v>
      </c>
      <c r="I1044" s="10" t="str">
        <f>CONCATENATE("WK_",WEEKNUM(events[[#This Row],[Start Date]]))</f>
        <v>WK_5</v>
      </c>
      <c r="J1044" s="12">
        <v>45684.441747685189</v>
      </c>
      <c r="K1044" s="10">
        <v>54</v>
      </c>
      <c r="L1044" s="10" t="s">
        <v>25</v>
      </c>
      <c r="M1044" s="10" t="s">
        <v>583</v>
      </c>
      <c r="N1044" s="13">
        <f t="shared" si="16"/>
        <v>0.38333333333333336</v>
      </c>
      <c r="O1044" s="14" t="s">
        <v>138</v>
      </c>
      <c r="P1044" s="14" t="s">
        <v>138</v>
      </c>
      <c r="Q1044" s="14" t="s">
        <v>1578</v>
      </c>
      <c r="R1044" s="14" t="s">
        <v>1578</v>
      </c>
      <c r="S1044" s="14" t="s">
        <v>1579</v>
      </c>
      <c r="T1044" s="14" t="s">
        <v>1580</v>
      </c>
      <c r="U1044" s="15">
        <v>0.312</v>
      </c>
      <c r="V1044" s="10">
        <v>1</v>
      </c>
    </row>
    <row r="1045" spans="1:22" ht="18" customHeight="1" x14ac:dyDescent="0.35">
      <c r="A1045" s="10" t="s">
        <v>23</v>
      </c>
      <c r="B1045" s="10" t="s">
        <v>3163</v>
      </c>
      <c r="C1045" s="11" t="s">
        <v>2929</v>
      </c>
      <c r="D1045" s="11" t="s">
        <v>24</v>
      </c>
      <c r="E1045" s="12">
        <v>45684.431493055556</v>
      </c>
      <c r="F1045" s="10" t="str">
        <f>TEXT(events[[#This Row],[Start Date]],"DDD")</f>
        <v>Mon</v>
      </c>
      <c r="G1045" s="10">
        <f>YEAR(events[[#This Row],[Start Date]])</f>
        <v>2025</v>
      </c>
      <c r="H1045" s="10" t="str">
        <f>TEXT(events[[#This Row],[Start Date]],"mmm")</f>
        <v>Jan</v>
      </c>
      <c r="I1045" s="10" t="str">
        <f>CONCATENATE("WK_",WEEKNUM(events[[#This Row],[Start Date]]))</f>
        <v>WK_5</v>
      </c>
      <c r="J1045" s="12">
        <v>45684.431504629632</v>
      </c>
      <c r="K1045" s="10">
        <v>53</v>
      </c>
      <c r="L1045" s="10" t="s">
        <v>25</v>
      </c>
      <c r="M1045" s="10" t="s">
        <v>26</v>
      </c>
      <c r="N1045" s="13">
        <f t="shared" si="16"/>
        <v>1.6666666666666666E-2</v>
      </c>
      <c r="O1045" s="14" t="s">
        <v>92</v>
      </c>
      <c r="P1045" s="14" t="s">
        <v>92</v>
      </c>
      <c r="Q1045" s="14" t="s">
        <v>1575</v>
      </c>
      <c r="R1045" s="14" t="s">
        <v>1575</v>
      </c>
      <c r="S1045" s="14" t="s">
        <v>1576</v>
      </c>
      <c r="T1045" s="14" t="s">
        <v>1577</v>
      </c>
      <c r="U1045" s="15">
        <v>0.125</v>
      </c>
      <c r="V1045" s="10">
        <v>1</v>
      </c>
    </row>
    <row r="1046" spans="1:22" ht="18" customHeight="1" x14ac:dyDescent="0.35">
      <c r="A1046" s="10" t="s">
        <v>23</v>
      </c>
      <c r="B1046" s="10" t="s">
        <v>3163</v>
      </c>
      <c r="C1046" s="11" t="s">
        <v>2929</v>
      </c>
      <c r="D1046" s="11" t="s">
        <v>24</v>
      </c>
      <c r="E1046" s="12">
        <v>45684.423263888886</v>
      </c>
      <c r="F1046" s="10" t="str">
        <f>TEXT(events[[#This Row],[Start Date]],"DDD")</f>
        <v>Mon</v>
      </c>
      <c r="G1046" s="10">
        <f>YEAR(events[[#This Row],[Start Date]])</f>
        <v>2025</v>
      </c>
      <c r="H1046" s="10" t="str">
        <f>TEXT(events[[#This Row],[Start Date]],"mmm")</f>
        <v>Jan</v>
      </c>
      <c r="I1046" s="10" t="str">
        <f>CONCATENATE("WK_",WEEKNUM(events[[#This Row],[Start Date]]))</f>
        <v>WK_5</v>
      </c>
      <c r="J1046" s="12">
        <v>45684.423310185186</v>
      </c>
      <c r="K1046" s="10">
        <v>38</v>
      </c>
      <c r="L1046" s="10" t="s">
        <v>25</v>
      </c>
      <c r="M1046" s="10" t="s">
        <v>275</v>
      </c>
      <c r="N1046" s="13">
        <f t="shared" si="16"/>
        <v>6.6666666666666666E-2</v>
      </c>
      <c r="O1046" s="14" t="s">
        <v>92</v>
      </c>
      <c r="P1046" s="14" t="s">
        <v>92</v>
      </c>
      <c r="Q1046" s="14" t="s">
        <v>1572</v>
      </c>
      <c r="R1046" s="14" t="s">
        <v>1572</v>
      </c>
      <c r="S1046" s="14" t="s">
        <v>1573</v>
      </c>
      <c r="T1046" s="14" t="s">
        <v>1574</v>
      </c>
      <c r="U1046" s="15">
        <v>0</v>
      </c>
      <c r="V1046" s="10">
        <v>1</v>
      </c>
    </row>
    <row r="1047" spans="1:22" ht="18" customHeight="1" x14ac:dyDescent="0.35">
      <c r="A1047" s="10" t="s">
        <v>47</v>
      </c>
      <c r="B1047" s="10" t="s">
        <v>3157</v>
      </c>
      <c r="C1047" s="11" t="s">
        <v>2923</v>
      </c>
      <c r="D1047" s="11" t="s">
        <v>74</v>
      </c>
      <c r="E1047" s="12">
        <v>45684.293993055559</v>
      </c>
      <c r="F1047" s="10" t="str">
        <f>TEXT(events[[#This Row],[Start Date]],"DDD")</f>
        <v>Mon</v>
      </c>
      <c r="G1047" s="10">
        <f>YEAR(events[[#This Row],[Start Date]])</f>
        <v>2025</v>
      </c>
      <c r="H1047" s="10" t="str">
        <f>TEXT(events[[#This Row],[Start Date]],"mmm")</f>
        <v>Jan</v>
      </c>
      <c r="I1047" s="10" t="str">
        <f>CONCATENATE("WK_",WEEKNUM(events[[#This Row],[Start Date]]))</f>
        <v>WK_5</v>
      </c>
      <c r="J1047" s="12">
        <v>45684.294004629628</v>
      </c>
      <c r="K1047" s="10">
        <v>81</v>
      </c>
      <c r="L1047" s="10" t="s">
        <v>25</v>
      </c>
      <c r="M1047" s="10" t="s">
        <v>26</v>
      </c>
      <c r="N1047" s="13">
        <f t="shared" si="16"/>
        <v>1.6666666666666666E-2</v>
      </c>
      <c r="O1047" s="14" t="s">
        <v>92</v>
      </c>
      <c r="P1047" s="14" t="s">
        <v>92</v>
      </c>
      <c r="Q1047" s="14" t="s">
        <v>1095</v>
      </c>
      <c r="R1047" s="14" t="s">
        <v>1095</v>
      </c>
      <c r="S1047" s="14" t="s">
        <v>1608</v>
      </c>
      <c r="T1047" s="14" t="s">
        <v>1609</v>
      </c>
      <c r="U1047" s="15">
        <v>6.2E-2</v>
      </c>
      <c r="V1047" s="10">
        <v>1</v>
      </c>
    </row>
    <row r="1048" spans="1:22" ht="18" customHeight="1" x14ac:dyDescent="0.35">
      <c r="A1048" s="10" t="s">
        <v>47</v>
      </c>
      <c r="B1048" s="10" t="s">
        <v>3191</v>
      </c>
      <c r="C1048" s="11" t="s">
        <v>2958</v>
      </c>
      <c r="D1048" s="11" t="s">
        <v>24</v>
      </c>
      <c r="E1048" s="12">
        <v>45683.85355324074</v>
      </c>
      <c r="F1048" s="10" t="str">
        <f>TEXT(events[[#This Row],[Start Date]],"DDD")</f>
        <v>Sun</v>
      </c>
      <c r="G1048" s="10">
        <f>YEAR(events[[#This Row],[Start Date]])</f>
        <v>2025</v>
      </c>
      <c r="H1048" s="10" t="str">
        <f>TEXT(events[[#This Row],[Start Date]],"mmm")</f>
        <v>Jan</v>
      </c>
      <c r="I1048" s="10" t="str">
        <f>CONCATENATE("WK_",WEEKNUM(events[[#This Row],[Start Date]]))</f>
        <v>WK_5</v>
      </c>
      <c r="J1048" s="12">
        <v>45683.854444444441</v>
      </c>
      <c r="K1048" s="10">
        <v>73</v>
      </c>
      <c r="L1048" s="10" t="s">
        <v>25</v>
      </c>
      <c r="M1048" s="10" t="s">
        <v>1586</v>
      </c>
      <c r="N1048" s="13">
        <f t="shared" si="16"/>
        <v>1.2833333333333332</v>
      </c>
      <c r="O1048" s="14" t="s">
        <v>27</v>
      </c>
      <c r="P1048" s="14" t="s">
        <v>27</v>
      </c>
      <c r="Q1048" s="14" t="s">
        <v>1587</v>
      </c>
      <c r="R1048" s="14" t="s">
        <v>1588</v>
      </c>
      <c r="S1048" s="14" t="s">
        <v>1589</v>
      </c>
      <c r="T1048" s="14" t="s">
        <v>1590</v>
      </c>
      <c r="U1048" s="15">
        <v>1.3049999999999999</v>
      </c>
      <c r="V1048" s="10">
        <v>1</v>
      </c>
    </row>
    <row r="1049" spans="1:22" ht="18" customHeight="1" x14ac:dyDescent="0.35">
      <c r="A1049" s="10" t="s">
        <v>47</v>
      </c>
      <c r="B1049" s="10" t="s">
        <v>3157</v>
      </c>
      <c r="C1049" s="11" t="s">
        <v>2923</v>
      </c>
      <c r="D1049" s="11" t="s">
        <v>74</v>
      </c>
      <c r="E1049" s="12">
        <v>45683.551076388889</v>
      </c>
      <c r="F1049" s="10" t="str">
        <f>TEXT(events[[#This Row],[Start Date]],"DDD")</f>
        <v>Sun</v>
      </c>
      <c r="G1049" s="10">
        <f>YEAR(events[[#This Row],[Start Date]])</f>
        <v>2025</v>
      </c>
      <c r="H1049" s="10" t="str">
        <f>TEXT(events[[#This Row],[Start Date]],"mmm")</f>
        <v>Jan</v>
      </c>
      <c r="I1049" s="10" t="str">
        <f>CONCATENATE("WK_",WEEKNUM(events[[#This Row],[Start Date]]))</f>
        <v>WK_5</v>
      </c>
      <c r="J1049" s="12">
        <v>45683.55133101852</v>
      </c>
      <c r="K1049" s="10">
        <v>90</v>
      </c>
      <c r="L1049" s="10" t="s">
        <v>25</v>
      </c>
      <c r="M1049" s="10" t="s">
        <v>1079</v>
      </c>
      <c r="N1049" s="13">
        <f t="shared" si="16"/>
        <v>0.36666666666666664</v>
      </c>
      <c r="O1049" s="14" t="s">
        <v>27</v>
      </c>
      <c r="P1049" s="14" t="s">
        <v>27</v>
      </c>
      <c r="Q1049" s="14" t="s">
        <v>1605</v>
      </c>
      <c r="R1049" s="14" t="s">
        <v>1605</v>
      </c>
      <c r="S1049" s="14" t="s">
        <v>1606</v>
      </c>
      <c r="T1049" s="14" t="s">
        <v>1607</v>
      </c>
      <c r="U1049" s="15">
        <v>0.5</v>
      </c>
      <c r="V1049" s="10">
        <v>1</v>
      </c>
    </row>
    <row r="1050" spans="1:22" ht="18" customHeight="1" x14ac:dyDescent="0.35">
      <c r="A1050" s="10" t="s">
        <v>47</v>
      </c>
      <c r="B1050" s="10" t="s">
        <v>3157</v>
      </c>
      <c r="C1050" s="11" t="s">
        <v>2923</v>
      </c>
      <c r="D1050" s="11" t="s">
        <v>74</v>
      </c>
      <c r="E1050" s="12">
        <v>45683.549317129633</v>
      </c>
      <c r="F1050" s="10" t="str">
        <f>TEXT(events[[#This Row],[Start Date]],"DDD")</f>
        <v>Sun</v>
      </c>
      <c r="G1050" s="10">
        <f>YEAR(events[[#This Row],[Start Date]])</f>
        <v>2025</v>
      </c>
      <c r="H1050" s="10" t="str">
        <f>TEXT(events[[#This Row],[Start Date]],"mmm")</f>
        <v>Jan</v>
      </c>
      <c r="I1050" s="10" t="str">
        <f>CONCATENATE("WK_",WEEKNUM(events[[#This Row],[Start Date]]))</f>
        <v>WK_5</v>
      </c>
      <c r="J1050" s="12">
        <v>45683.549513888887</v>
      </c>
      <c r="K1050" s="10">
        <v>88</v>
      </c>
      <c r="L1050" s="10" t="s">
        <v>25</v>
      </c>
      <c r="M1050" s="10" t="s">
        <v>775</v>
      </c>
      <c r="N1050" s="13">
        <f t="shared" si="16"/>
        <v>0.28333333333333333</v>
      </c>
      <c r="O1050" s="14" t="s">
        <v>27</v>
      </c>
      <c r="P1050" s="14" t="s">
        <v>27</v>
      </c>
      <c r="Q1050" s="14" t="s">
        <v>1602</v>
      </c>
      <c r="R1050" s="14" t="s">
        <v>1602</v>
      </c>
      <c r="S1050" s="14" t="s">
        <v>1603</v>
      </c>
      <c r="T1050" s="14" t="s">
        <v>1604</v>
      </c>
      <c r="U1050" s="15">
        <v>0.375</v>
      </c>
      <c r="V1050" s="10">
        <v>1</v>
      </c>
    </row>
    <row r="1051" spans="1:22" ht="18" customHeight="1" x14ac:dyDescent="0.35">
      <c r="A1051" s="10" t="s">
        <v>47</v>
      </c>
      <c r="B1051" s="10" t="s">
        <v>3157</v>
      </c>
      <c r="C1051" s="11" t="s">
        <v>2923</v>
      </c>
      <c r="D1051" s="11" t="s">
        <v>74</v>
      </c>
      <c r="E1051" s="12">
        <v>45683.546770833331</v>
      </c>
      <c r="F1051" s="10" t="str">
        <f>TEXT(events[[#This Row],[Start Date]],"DDD")</f>
        <v>Sun</v>
      </c>
      <c r="G1051" s="10">
        <f>YEAR(events[[#This Row],[Start Date]])</f>
        <v>2025</v>
      </c>
      <c r="H1051" s="10" t="str">
        <f>TEXT(events[[#This Row],[Start Date]],"mmm")</f>
        <v>Jan</v>
      </c>
      <c r="I1051" s="10" t="str">
        <f>CONCATENATE("WK_",WEEKNUM(events[[#This Row],[Start Date]]))</f>
        <v>WK_5</v>
      </c>
      <c r="J1051" s="12">
        <v>45683.547488425924</v>
      </c>
      <c r="K1051" s="10">
        <v>93</v>
      </c>
      <c r="L1051" s="10" t="s">
        <v>25</v>
      </c>
      <c r="M1051" s="10" t="s">
        <v>1163</v>
      </c>
      <c r="N1051" s="13">
        <f t="shared" si="16"/>
        <v>1.0333333333333334</v>
      </c>
      <c r="O1051" s="14" t="s">
        <v>27</v>
      </c>
      <c r="P1051" s="14" t="s">
        <v>27</v>
      </c>
      <c r="Q1051" s="14" t="s">
        <v>1599</v>
      </c>
      <c r="R1051" s="14" t="s">
        <v>1599</v>
      </c>
      <c r="S1051" s="14" t="s">
        <v>1600</v>
      </c>
      <c r="T1051" s="14" t="s">
        <v>1601</v>
      </c>
      <c r="U1051" s="15">
        <v>1.625</v>
      </c>
      <c r="V1051" s="10">
        <v>1</v>
      </c>
    </row>
    <row r="1052" spans="1:22" ht="18" customHeight="1" x14ac:dyDescent="0.35">
      <c r="A1052" s="10" t="s">
        <v>47</v>
      </c>
      <c r="B1052" s="10" t="s">
        <v>3159</v>
      </c>
      <c r="C1052" s="11" t="s">
        <v>2925</v>
      </c>
      <c r="D1052" s="11" t="s">
        <v>74</v>
      </c>
      <c r="E1052" s="12">
        <v>45682.764722222222</v>
      </c>
      <c r="F1052" s="10" t="str">
        <f>TEXT(events[[#This Row],[Start Date]],"DDD")</f>
        <v>Sat</v>
      </c>
      <c r="G1052" s="10">
        <f>YEAR(events[[#This Row],[Start Date]])</f>
        <v>2025</v>
      </c>
      <c r="H1052" s="10" t="str">
        <f>TEXT(events[[#This Row],[Start Date]],"mmm")</f>
        <v>Jan</v>
      </c>
      <c r="I1052" s="10" t="str">
        <f>CONCATENATE("WK_",WEEKNUM(events[[#This Row],[Start Date]]))</f>
        <v>WK_4</v>
      </c>
      <c r="J1052" s="12">
        <v>45682.764745370368</v>
      </c>
      <c r="K1052" s="10">
        <v>84</v>
      </c>
      <c r="L1052" s="10" t="s">
        <v>25</v>
      </c>
      <c r="M1052" s="10" t="s">
        <v>31</v>
      </c>
      <c r="N1052" s="13">
        <f t="shared" si="16"/>
        <v>3.3333333333333333E-2</v>
      </c>
      <c r="O1052" s="14" t="s">
        <v>65</v>
      </c>
      <c r="P1052" s="14" t="s">
        <v>65</v>
      </c>
      <c r="Q1052" s="14" t="s">
        <v>948</v>
      </c>
      <c r="R1052" s="14" t="s">
        <v>948</v>
      </c>
      <c r="S1052" s="14" t="s">
        <v>1591</v>
      </c>
      <c r="T1052" s="14" t="s">
        <v>1592</v>
      </c>
      <c r="U1052" s="15">
        <v>0</v>
      </c>
      <c r="V1052" s="10">
        <v>1</v>
      </c>
    </row>
    <row r="1053" spans="1:22" ht="18" customHeight="1" x14ac:dyDescent="0.35">
      <c r="A1053" s="10" t="s">
        <v>47</v>
      </c>
      <c r="B1053" s="10" t="s">
        <v>3157</v>
      </c>
      <c r="C1053" s="11" t="s">
        <v>2923</v>
      </c>
      <c r="D1053" s="11" t="s">
        <v>74</v>
      </c>
      <c r="E1053" s="12">
        <v>45682.65185185185</v>
      </c>
      <c r="F1053" s="10" t="str">
        <f>TEXT(events[[#This Row],[Start Date]],"DDD")</f>
        <v>Sat</v>
      </c>
      <c r="G1053" s="10">
        <f>YEAR(events[[#This Row],[Start Date]])</f>
        <v>2025</v>
      </c>
      <c r="H1053" s="10" t="str">
        <f>TEXT(events[[#This Row],[Start Date]],"mmm")</f>
        <v>Jan</v>
      </c>
      <c r="I1053" s="10" t="str">
        <f>CONCATENATE("WK_",WEEKNUM(events[[#This Row],[Start Date]]))</f>
        <v>WK_4</v>
      </c>
      <c r="J1053" s="12">
        <v>45682.651863425926</v>
      </c>
      <c r="K1053" s="10">
        <v>81</v>
      </c>
      <c r="L1053" s="10" t="s">
        <v>25</v>
      </c>
      <c r="M1053" s="10" t="s">
        <v>26</v>
      </c>
      <c r="N1053" s="13">
        <f t="shared" si="16"/>
        <v>1.6666666666666666E-2</v>
      </c>
      <c r="O1053" s="14" t="s">
        <v>27</v>
      </c>
      <c r="P1053" s="14" t="s">
        <v>27</v>
      </c>
      <c r="Q1053" s="14" t="s">
        <v>100</v>
      </c>
      <c r="R1053" s="14" t="s">
        <v>100</v>
      </c>
      <c r="S1053" s="14" t="s">
        <v>1597</v>
      </c>
      <c r="T1053" s="14" t="s">
        <v>1598</v>
      </c>
      <c r="U1053" s="15">
        <v>0</v>
      </c>
      <c r="V1053" s="10">
        <v>1</v>
      </c>
    </row>
    <row r="1054" spans="1:22" ht="18" customHeight="1" x14ac:dyDescent="0.35">
      <c r="A1054" s="10" t="s">
        <v>123</v>
      </c>
      <c r="B1054" s="10" t="s">
        <v>3192</v>
      </c>
      <c r="C1054" s="11" t="s">
        <v>2959</v>
      </c>
      <c r="D1054" s="11" t="s">
        <v>74</v>
      </c>
      <c r="E1054" s="12">
        <v>45682.560046296298</v>
      </c>
      <c r="F1054" s="10" t="str">
        <f>TEXT(events[[#This Row],[Start Date]],"DDD")</f>
        <v>Sat</v>
      </c>
      <c r="G1054" s="10">
        <f>YEAR(events[[#This Row],[Start Date]])</f>
        <v>2025</v>
      </c>
      <c r="H1054" s="10" t="str">
        <f>TEXT(events[[#This Row],[Start Date]],"mmm")</f>
        <v>Jan</v>
      </c>
      <c r="I1054" s="10" t="str">
        <f>CONCATENATE("WK_",WEEKNUM(events[[#This Row],[Start Date]]))</f>
        <v>WK_4</v>
      </c>
      <c r="J1054" s="12">
        <v>45682.560740740744</v>
      </c>
      <c r="K1054" s="10">
        <v>92</v>
      </c>
      <c r="L1054" s="10" t="s">
        <v>25</v>
      </c>
      <c r="M1054" s="10" t="s">
        <v>538</v>
      </c>
      <c r="N1054" s="13">
        <f t="shared" si="16"/>
        <v>0.98333333333333328</v>
      </c>
      <c r="O1054" s="14"/>
      <c r="P1054" s="14"/>
      <c r="Q1054" s="14" t="s">
        <v>174</v>
      </c>
      <c r="R1054" s="14" t="s">
        <v>174</v>
      </c>
      <c r="S1054" s="14" t="s">
        <v>1657</v>
      </c>
      <c r="T1054" s="14" t="s">
        <v>1658</v>
      </c>
      <c r="U1054" s="15">
        <v>1.5</v>
      </c>
      <c r="V1054" s="10">
        <v>1</v>
      </c>
    </row>
    <row r="1055" spans="1:22" ht="18" customHeight="1" x14ac:dyDescent="0.35">
      <c r="A1055" s="10" t="s">
        <v>86</v>
      </c>
      <c r="B1055" s="10" t="s">
        <v>3342</v>
      </c>
      <c r="C1055" s="11" t="s">
        <v>3054</v>
      </c>
      <c r="D1055" s="11" t="s">
        <v>74</v>
      </c>
      <c r="E1055" s="12">
        <v>45682.533599537041</v>
      </c>
      <c r="F1055" s="10" t="str">
        <f>TEXT(events[[#This Row],[Start Date]],"DDD")</f>
        <v>Sat</v>
      </c>
      <c r="G1055" s="10">
        <f>YEAR(events[[#This Row],[Start Date]])</f>
        <v>2025</v>
      </c>
      <c r="H1055" s="10" t="str">
        <f>TEXT(events[[#This Row],[Start Date]],"mmm")</f>
        <v>Jan</v>
      </c>
      <c r="I1055" s="10" t="str">
        <f>CONCATENATE("WK_",WEEKNUM(events[[#This Row],[Start Date]]))</f>
        <v>WK_4</v>
      </c>
      <c r="J1055" s="12">
        <v>45682.53365740741</v>
      </c>
      <c r="K1055" s="10">
        <v>81</v>
      </c>
      <c r="L1055" s="10" t="s">
        <v>25</v>
      </c>
      <c r="M1055" s="10" t="s">
        <v>431</v>
      </c>
      <c r="N1055" s="13">
        <f t="shared" si="16"/>
        <v>8.3333333333333329E-2</v>
      </c>
      <c r="O1055" s="14" t="s">
        <v>205</v>
      </c>
      <c r="P1055" s="14" t="s">
        <v>205</v>
      </c>
      <c r="Q1055" s="14" t="s">
        <v>1629</v>
      </c>
      <c r="R1055" s="14" t="s">
        <v>1629</v>
      </c>
      <c r="S1055" s="14" t="s">
        <v>1630</v>
      </c>
      <c r="T1055" s="14" t="s">
        <v>1631</v>
      </c>
      <c r="U1055" s="15">
        <v>9.4E-2</v>
      </c>
      <c r="V1055" s="10">
        <v>1</v>
      </c>
    </row>
    <row r="1056" spans="1:22" ht="18" customHeight="1" x14ac:dyDescent="0.35">
      <c r="A1056" s="10" t="s">
        <v>86</v>
      </c>
      <c r="B1056" s="10" t="s">
        <v>3342</v>
      </c>
      <c r="C1056" s="11" t="s">
        <v>3054</v>
      </c>
      <c r="D1056" s="11" t="s">
        <v>74</v>
      </c>
      <c r="E1056" s="12">
        <v>45682.521550925929</v>
      </c>
      <c r="F1056" s="10" t="str">
        <f>TEXT(events[[#This Row],[Start Date]],"DDD")</f>
        <v>Sat</v>
      </c>
      <c r="G1056" s="10">
        <f>YEAR(events[[#This Row],[Start Date]])</f>
        <v>2025</v>
      </c>
      <c r="H1056" s="10" t="str">
        <f>TEXT(events[[#This Row],[Start Date]],"mmm")</f>
        <v>Jan</v>
      </c>
      <c r="I1056" s="10" t="str">
        <f>CONCATENATE("WK_",WEEKNUM(events[[#This Row],[Start Date]]))</f>
        <v>WK_4</v>
      </c>
      <c r="J1056" s="12">
        <v>45682.521655092591</v>
      </c>
      <c r="K1056" s="10">
        <v>83</v>
      </c>
      <c r="L1056" s="10" t="s">
        <v>25</v>
      </c>
      <c r="M1056" s="10" t="s">
        <v>414</v>
      </c>
      <c r="N1056" s="13">
        <f t="shared" si="16"/>
        <v>0.15</v>
      </c>
      <c r="O1056" s="14" t="s">
        <v>205</v>
      </c>
      <c r="P1056" s="14" t="s">
        <v>205</v>
      </c>
      <c r="Q1056" s="14" t="s">
        <v>1626</v>
      </c>
      <c r="R1056" s="14" t="s">
        <v>1626</v>
      </c>
      <c r="S1056" s="14" t="s">
        <v>1627</v>
      </c>
      <c r="T1056" s="14" t="s">
        <v>1628</v>
      </c>
      <c r="U1056" s="15">
        <v>0.188</v>
      </c>
      <c r="V1056" s="10">
        <v>1</v>
      </c>
    </row>
    <row r="1057" spans="1:22" ht="18" customHeight="1" x14ac:dyDescent="0.35">
      <c r="A1057" s="10" t="s">
        <v>123</v>
      </c>
      <c r="B1057" s="10" t="s">
        <v>3383</v>
      </c>
      <c r="C1057" s="11" t="s">
        <v>3421</v>
      </c>
      <c r="D1057" s="11" t="s">
        <v>74</v>
      </c>
      <c r="E1057" s="12">
        <v>45682.35832175926</v>
      </c>
      <c r="F1057" s="10" t="str">
        <f>TEXT(events[[#This Row],[Start Date]],"DDD")</f>
        <v>Sat</v>
      </c>
      <c r="G1057" s="10">
        <f>YEAR(events[[#This Row],[Start Date]])</f>
        <v>2025</v>
      </c>
      <c r="H1057" s="10" t="str">
        <f>TEXT(events[[#This Row],[Start Date]],"mmm")</f>
        <v>Jan</v>
      </c>
      <c r="I1057" s="10" t="str">
        <f>CONCATENATE("WK_",WEEKNUM(events[[#This Row],[Start Date]]))</f>
        <v>WK_4</v>
      </c>
      <c r="J1057" s="12">
        <v>45682.359074074076</v>
      </c>
      <c r="K1057" s="10">
        <v>86</v>
      </c>
      <c r="L1057" s="10" t="s">
        <v>25</v>
      </c>
      <c r="M1057" s="10" t="s">
        <v>1653</v>
      </c>
      <c r="N1057" s="13">
        <f t="shared" si="16"/>
        <v>1.0666666666666667</v>
      </c>
      <c r="O1057" s="14"/>
      <c r="P1057" s="14"/>
      <c r="Q1057" s="14" t="s">
        <v>1654</v>
      </c>
      <c r="R1057" s="14" t="s">
        <v>1654</v>
      </c>
      <c r="S1057" s="14" t="s">
        <v>1655</v>
      </c>
      <c r="T1057" s="14" t="s">
        <v>1656</v>
      </c>
      <c r="U1057" s="15">
        <v>1.6</v>
      </c>
      <c r="V1057" s="10">
        <v>1</v>
      </c>
    </row>
    <row r="1058" spans="1:22" ht="18" customHeight="1" x14ac:dyDescent="0.35">
      <c r="A1058" s="10" t="s">
        <v>123</v>
      </c>
      <c r="B1058" s="10" t="s">
        <v>3373</v>
      </c>
      <c r="C1058" s="11" t="s">
        <v>3408</v>
      </c>
      <c r="D1058" s="11" t="s">
        <v>74</v>
      </c>
      <c r="E1058" s="12">
        <v>45682.343599537038</v>
      </c>
      <c r="F1058" s="10" t="str">
        <f>TEXT(events[[#This Row],[Start Date]],"DDD")</f>
        <v>Sat</v>
      </c>
      <c r="G1058" s="10">
        <f>YEAR(events[[#This Row],[Start Date]])</f>
        <v>2025</v>
      </c>
      <c r="H1058" s="10" t="str">
        <f>TEXT(events[[#This Row],[Start Date]],"mmm")</f>
        <v>Jan</v>
      </c>
      <c r="I1058" s="10" t="str">
        <f>CONCATENATE("WK_",WEEKNUM(events[[#This Row],[Start Date]]))</f>
        <v>WK_4</v>
      </c>
      <c r="J1058" s="12">
        <v>45682.3440625</v>
      </c>
      <c r="K1058" s="10">
        <v>88</v>
      </c>
      <c r="L1058" s="10" t="s">
        <v>25</v>
      </c>
      <c r="M1058" s="10" t="s">
        <v>823</v>
      </c>
      <c r="N1058" s="13">
        <f t="shared" si="16"/>
        <v>0.65</v>
      </c>
      <c r="O1058" s="14"/>
      <c r="P1058" s="14"/>
      <c r="Q1058" s="14" t="s">
        <v>438</v>
      </c>
      <c r="R1058" s="14" t="s">
        <v>438</v>
      </c>
      <c r="S1058" s="14" t="s">
        <v>1651</v>
      </c>
      <c r="T1058" s="14" t="s">
        <v>1652</v>
      </c>
      <c r="U1058" s="15">
        <v>1</v>
      </c>
      <c r="V1058" s="10">
        <v>1</v>
      </c>
    </row>
    <row r="1059" spans="1:22" ht="18" customHeight="1" x14ac:dyDescent="0.35">
      <c r="A1059" s="10" t="s">
        <v>123</v>
      </c>
      <c r="B1059" s="10" t="s">
        <v>3378</v>
      </c>
      <c r="C1059" s="11" t="s">
        <v>3415</v>
      </c>
      <c r="D1059" s="11" t="s">
        <v>74</v>
      </c>
      <c r="E1059" s="12">
        <v>45681.877638888887</v>
      </c>
      <c r="F1059" s="10" t="str">
        <f>TEXT(events[[#This Row],[Start Date]],"DDD")</f>
        <v>Fri</v>
      </c>
      <c r="G1059" s="10">
        <f>YEAR(events[[#This Row],[Start Date]])</f>
        <v>2025</v>
      </c>
      <c r="H1059" s="10" t="str">
        <f>TEXT(events[[#This Row],[Start Date]],"mmm")</f>
        <v>Jan</v>
      </c>
      <c r="I1059" s="10" t="str">
        <f>CONCATENATE("WK_",WEEKNUM(events[[#This Row],[Start Date]]))</f>
        <v>WK_4</v>
      </c>
      <c r="J1059" s="12">
        <v>45681.878194444442</v>
      </c>
      <c r="K1059" s="10">
        <v>95</v>
      </c>
      <c r="L1059" s="10" t="s">
        <v>25</v>
      </c>
      <c r="M1059" s="10" t="s">
        <v>450</v>
      </c>
      <c r="N1059" s="13">
        <f t="shared" si="16"/>
        <v>0.78333333333333333</v>
      </c>
      <c r="O1059" s="14"/>
      <c r="P1059" s="14"/>
      <c r="Q1059" s="14" t="s">
        <v>657</v>
      </c>
      <c r="R1059" s="14" t="s">
        <v>657</v>
      </c>
      <c r="S1059" s="14" t="s">
        <v>1649</v>
      </c>
      <c r="T1059" s="14" t="s">
        <v>1650</v>
      </c>
      <c r="U1059" s="15">
        <v>1.2</v>
      </c>
      <c r="V1059" s="10">
        <v>1</v>
      </c>
    </row>
    <row r="1060" spans="1:22" ht="18" customHeight="1" x14ac:dyDescent="0.35">
      <c r="A1060" s="10" t="s">
        <v>86</v>
      </c>
      <c r="B1060" s="10" t="s">
        <v>3342</v>
      </c>
      <c r="C1060" s="11" t="s">
        <v>3054</v>
      </c>
      <c r="D1060" s="11" t="s">
        <v>74</v>
      </c>
      <c r="E1060" s="12">
        <v>45681.73646990741</v>
      </c>
      <c r="F1060" s="10" t="str">
        <f>TEXT(events[[#This Row],[Start Date]],"DDD")</f>
        <v>Fri</v>
      </c>
      <c r="G1060" s="10">
        <f>YEAR(events[[#This Row],[Start Date]])</f>
        <v>2025</v>
      </c>
      <c r="H1060" s="10" t="str">
        <f>TEXT(events[[#This Row],[Start Date]],"mmm")</f>
        <v>Jan</v>
      </c>
      <c r="I1060" s="10" t="str">
        <f>CONCATENATE("WK_",WEEKNUM(events[[#This Row],[Start Date]]))</f>
        <v>WK_4</v>
      </c>
      <c r="J1060" s="12">
        <v>45681.736493055556</v>
      </c>
      <c r="K1060" s="10">
        <v>81</v>
      </c>
      <c r="L1060" s="10" t="s">
        <v>25</v>
      </c>
      <c r="M1060" s="10" t="s">
        <v>31</v>
      </c>
      <c r="N1060" s="13">
        <f t="shared" si="16"/>
        <v>3.3333333333333333E-2</v>
      </c>
      <c r="O1060" s="14" t="s">
        <v>50</v>
      </c>
      <c r="P1060" s="14" t="s">
        <v>50</v>
      </c>
      <c r="Q1060" s="14" t="s">
        <v>626</v>
      </c>
      <c r="R1060" s="14" t="s">
        <v>626</v>
      </c>
      <c r="S1060" s="14" t="s">
        <v>1624</v>
      </c>
      <c r="T1060" s="14" t="s">
        <v>1625</v>
      </c>
      <c r="U1060" s="15">
        <v>0</v>
      </c>
      <c r="V1060" s="10">
        <v>1</v>
      </c>
    </row>
    <row r="1061" spans="1:22" ht="18" customHeight="1" x14ac:dyDescent="0.35">
      <c r="A1061" s="10" t="s">
        <v>86</v>
      </c>
      <c r="B1061" s="10" t="s">
        <v>3342</v>
      </c>
      <c r="C1061" s="11" t="s">
        <v>3054</v>
      </c>
      <c r="D1061" s="11" t="s">
        <v>74</v>
      </c>
      <c r="E1061" s="12">
        <v>45681.730682870373</v>
      </c>
      <c r="F1061" s="10" t="str">
        <f>TEXT(events[[#This Row],[Start Date]],"DDD")</f>
        <v>Fri</v>
      </c>
      <c r="G1061" s="10">
        <f>YEAR(events[[#This Row],[Start Date]])</f>
        <v>2025</v>
      </c>
      <c r="H1061" s="10" t="str">
        <f>TEXT(events[[#This Row],[Start Date]],"mmm")</f>
        <v>Jan</v>
      </c>
      <c r="I1061" s="10" t="str">
        <f>CONCATENATE("WK_",WEEKNUM(events[[#This Row],[Start Date]]))</f>
        <v>WK_4</v>
      </c>
      <c r="J1061" s="12">
        <v>45681.730717592596</v>
      </c>
      <c r="K1061" s="10">
        <v>82</v>
      </c>
      <c r="L1061" s="10" t="s">
        <v>25</v>
      </c>
      <c r="M1061" s="10" t="s">
        <v>75</v>
      </c>
      <c r="N1061" s="13">
        <f t="shared" si="16"/>
        <v>0.05</v>
      </c>
      <c r="O1061" s="14" t="s">
        <v>50</v>
      </c>
      <c r="P1061" s="14" t="s">
        <v>50</v>
      </c>
      <c r="Q1061" s="14" t="s">
        <v>112</v>
      </c>
      <c r="R1061" s="14" t="s">
        <v>112</v>
      </c>
      <c r="S1061" s="14" t="s">
        <v>1622</v>
      </c>
      <c r="T1061" s="14" t="s">
        <v>1623</v>
      </c>
      <c r="U1061" s="15">
        <v>9.4E-2</v>
      </c>
      <c r="V1061" s="10">
        <v>1</v>
      </c>
    </row>
    <row r="1062" spans="1:22" ht="18" customHeight="1" x14ac:dyDescent="0.35">
      <c r="A1062" s="10" t="s">
        <v>86</v>
      </c>
      <c r="B1062" s="10" t="s">
        <v>3342</v>
      </c>
      <c r="C1062" s="11" t="s">
        <v>3054</v>
      </c>
      <c r="D1062" s="11" t="s">
        <v>74</v>
      </c>
      <c r="E1062" s="12">
        <v>45681.722905092596</v>
      </c>
      <c r="F1062" s="10" t="str">
        <f>TEXT(events[[#This Row],[Start Date]],"DDD")</f>
        <v>Fri</v>
      </c>
      <c r="G1062" s="10">
        <f>YEAR(events[[#This Row],[Start Date]])</f>
        <v>2025</v>
      </c>
      <c r="H1062" s="10" t="str">
        <f>TEXT(events[[#This Row],[Start Date]],"mmm")</f>
        <v>Jan</v>
      </c>
      <c r="I1062" s="10" t="str">
        <f>CONCATENATE("WK_",WEEKNUM(events[[#This Row],[Start Date]]))</f>
        <v>WK_4</v>
      </c>
      <c r="J1062" s="12">
        <v>45681.723090277781</v>
      </c>
      <c r="K1062" s="10">
        <v>84</v>
      </c>
      <c r="L1062" s="10" t="s">
        <v>25</v>
      </c>
      <c r="M1062" s="10" t="s">
        <v>353</v>
      </c>
      <c r="N1062" s="13">
        <f t="shared" si="16"/>
        <v>0.26666666666666666</v>
      </c>
      <c r="O1062" s="14" t="s">
        <v>50</v>
      </c>
      <c r="P1062" s="14" t="s">
        <v>50</v>
      </c>
      <c r="Q1062" s="14" t="s">
        <v>112</v>
      </c>
      <c r="R1062" s="14" t="s">
        <v>112</v>
      </c>
      <c r="S1062" s="14" t="s">
        <v>1620</v>
      </c>
      <c r="T1062" s="14" t="s">
        <v>1621</v>
      </c>
      <c r="U1062" s="15">
        <v>0.40600000000000003</v>
      </c>
      <c r="V1062" s="10">
        <v>1</v>
      </c>
    </row>
    <row r="1063" spans="1:22" ht="18" customHeight="1" x14ac:dyDescent="0.35">
      <c r="A1063" s="10" t="s">
        <v>86</v>
      </c>
      <c r="B1063" s="10" t="s">
        <v>3342</v>
      </c>
      <c r="C1063" s="11" t="s">
        <v>3054</v>
      </c>
      <c r="D1063" s="11" t="s">
        <v>74</v>
      </c>
      <c r="E1063" s="12">
        <v>45681.61383101852</v>
      </c>
      <c r="F1063" s="10" t="str">
        <f>TEXT(events[[#This Row],[Start Date]],"DDD")</f>
        <v>Fri</v>
      </c>
      <c r="G1063" s="10">
        <f>YEAR(events[[#This Row],[Start Date]])</f>
        <v>2025</v>
      </c>
      <c r="H1063" s="10" t="str">
        <f>TEXT(events[[#This Row],[Start Date]],"mmm")</f>
        <v>Jan</v>
      </c>
      <c r="I1063" s="10" t="str">
        <f>CONCATENATE("WK_",WEEKNUM(events[[#This Row],[Start Date]]))</f>
        <v>WK_4</v>
      </c>
      <c r="J1063" s="12">
        <v>45681.613854166666</v>
      </c>
      <c r="K1063" s="10">
        <v>81</v>
      </c>
      <c r="L1063" s="10" t="s">
        <v>25</v>
      </c>
      <c r="M1063" s="10" t="s">
        <v>31</v>
      </c>
      <c r="N1063" s="13">
        <f t="shared" si="16"/>
        <v>3.3333333333333333E-2</v>
      </c>
      <c r="O1063" s="14" t="s">
        <v>138</v>
      </c>
      <c r="P1063" s="14" t="s">
        <v>138</v>
      </c>
      <c r="Q1063" s="14" t="s">
        <v>637</v>
      </c>
      <c r="R1063" s="14" t="s">
        <v>637</v>
      </c>
      <c r="S1063" s="14" t="s">
        <v>1618</v>
      </c>
      <c r="T1063" s="14" t="s">
        <v>1619</v>
      </c>
      <c r="U1063" s="15">
        <v>0</v>
      </c>
      <c r="V1063" s="10">
        <v>1</v>
      </c>
    </row>
    <row r="1064" spans="1:22" ht="18" customHeight="1" x14ac:dyDescent="0.35">
      <c r="A1064" s="10" t="s">
        <v>86</v>
      </c>
      <c r="B1064" s="10" t="s">
        <v>3342</v>
      </c>
      <c r="C1064" s="11" t="s">
        <v>3054</v>
      </c>
      <c r="D1064" s="11" t="s">
        <v>74</v>
      </c>
      <c r="E1064" s="12">
        <v>45681.613553240742</v>
      </c>
      <c r="F1064" s="10" t="str">
        <f>TEXT(events[[#This Row],[Start Date]],"DDD")</f>
        <v>Fri</v>
      </c>
      <c r="G1064" s="10">
        <f>YEAR(events[[#This Row],[Start Date]])</f>
        <v>2025</v>
      </c>
      <c r="H1064" s="10" t="str">
        <f>TEXT(events[[#This Row],[Start Date]],"mmm")</f>
        <v>Jan</v>
      </c>
      <c r="I1064" s="10" t="str">
        <f>CONCATENATE("WK_",WEEKNUM(events[[#This Row],[Start Date]]))</f>
        <v>WK_4</v>
      </c>
      <c r="J1064" s="12">
        <v>45681.613553240742</v>
      </c>
      <c r="K1064" s="10">
        <v>81</v>
      </c>
      <c r="L1064" s="10" t="s">
        <v>25</v>
      </c>
      <c r="M1064" s="10" t="s">
        <v>87</v>
      </c>
      <c r="N1064" s="13">
        <f t="shared" si="16"/>
        <v>0</v>
      </c>
      <c r="O1064" s="14" t="s">
        <v>138</v>
      </c>
      <c r="P1064" s="14" t="s">
        <v>138</v>
      </c>
      <c r="Q1064" s="14" t="s">
        <v>637</v>
      </c>
      <c r="R1064" s="14" t="s">
        <v>637</v>
      </c>
      <c r="S1064" s="14" t="s">
        <v>1617</v>
      </c>
      <c r="T1064" s="14" t="s">
        <v>1617</v>
      </c>
      <c r="U1064" s="15">
        <v>9.4E-2</v>
      </c>
      <c r="V1064" s="10">
        <v>1</v>
      </c>
    </row>
    <row r="1065" spans="1:22" ht="18" customHeight="1" x14ac:dyDescent="0.35">
      <c r="A1065" s="10" t="s">
        <v>123</v>
      </c>
      <c r="B1065" s="10" t="s">
        <v>3161</v>
      </c>
      <c r="C1065" s="11" t="s">
        <v>2927</v>
      </c>
      <c r="D1065" s="11" t="s">
        <v>74</v>
      </c>
      <c r="E1065" s="12">
        <v>45681.332546296297</v>
      </c>
      <c r="F1065" s="10" t="str">
        <f>TEXT(events[[#This Row],[Start Date]],"DDD")</f>
        <v>Fri</v>
      </c>
      <c r="G1065" s="10">
        <f>YEAR(events[[#This Row],[Start Date]])</f>
        <v>2025</v>
      </c>
      <c r="H1065" s="10" t="str">
        <f>TEXT(events[[#This Row],[Start Date]],"mmm")</f>
        <v>Jan</v>
      </c>
      <c r="I1065" s="10" t="str">
        <f>CONCATENATE("WK_",WEEKNUM(events[[#This Row],[Start Date]]))</f>
        <v>WK_4</v>
      </c>
      <c r="J1065" s="12">
        <v>45681.333240740743</v>
      </c>
      <c r="K1065" s="10">
        <v>92</v>
      </c>
      <c r="L1065" s="10" t="s">
        <v>25</v>
      </c>
      <c r="M1065" s="10" t="s">
        <v>177</v>
      </c>
      <c r="N1065" s="13">
        <f t="shared" si="16"/>
        <v>1</v>
      </c>
      <c r="O1065" s="14"/>
      <c r="P1065" s="14"/>
      <c r="Q1065" s="14" t="s">
        <v>174</v>
      </c>
      <c r="R1065" s="14" t="s">
        <v>174</v>
      </c>
      <c r="S1065" s="14" t="s">
        <v>1647</v>
      </c>
      <c r="T1065" s="14" t="s">
        <v>1648</v>
      </c>
      <c r="U1065" s="15">
        <v>1.4</v>
      </c>
      <c r="V1065" s="10">
        <v>1</v>
      </c>
    </row>
    <row r="1066" spans="1:22" ht="18" customHeight="1" x14ac:dyDescent="0.35">
      <c r="A1066" s="10" t="s">
        <v>86</v>
      </c>
      <c r="B1066" s="10" t="s">
        <v>3210</v>
      </c>
      <c r="C1066" s="11" t="s">
        <v>2979</v>
      </c>
      <c r="D1066" s="11" t="s">
        <v>24</v>
      </c>
      <c r="E1066" s="12">
        <v>45681.290381944447</v>
      </c>
      <c r="F1066" s="10" t="str">
        <f>TEXT(events[[#This Row],[Start Date]],"DDD")</f>
        <v>Fri</v>
      </c>
      <c r="G1066" s="10">
        <f>YEAR(events[[#This Row],[Start Date]])</f>
        <v>2025</v>
      </c>
      <c r="H1066" s="10" t="str">
        <f>TEXT(events[[#This Row],[Start Date]],"mmm")</f>
        <v>Jan</v>
      </c>
      <c r="I1066" s="10" t="str">
        <f>CONCATENATE("WK_",WEEKNUM(events[[#This Row],[Start Date]]))</f>
        <v>WK_4</v>
      </c>
      <c r="J1066" s="12">
        <v>45681.290497685186</v>
      </c>
      <c r="K1066" s="10">
        <v>76</v>
      </c>
      <c r="L1066" s="10" t="s">
        <v>25</v>
      </c>
      <c r="M1066" s="10" t="s">
        <v>250</v>
      </c>
      <c r="N1066" s="13">
        <f t="shared" si="16"/>
        <v>0.16666666666666666</v>
      </c>
      <c r="O1066" s="14" t="s">
        <v>1101</v>
      </c>
      <c r="P1066" s="14" t="s">
        <v>1101</v>
      </c>
      <c r="Q1066" s="14" t="s">
        <v>1610</v>
      </c>
      <c r="R1066" s="14" t="s">
        <v>1610</v>
      </c>
      <c r="S1066" s="14" t="s">
        <v>1611</v>
      </c>
      <c r="T1066" s="14" t="s">
        <v>1612</v>
      </c>
      <c r="U1066" s="15">
        <v>0.25</v>
      </c>
      <c r="V1066" s="10">
        <v>1</v>
      </c>
    </row>
    <row r="1067" spans="1:22" ht="18" customHeight="1" x14ac:dyDescent="0.35">
      <c r="A1067" s="10" t="s">
        <v>123</v>
      </c>
      <c r="B1067" s="10" t="s">
        <v>3198</v>
      </c>
      <c r="C1067" s="11" t="s">
        <v>2965</v>
      </c>
      <c r="D1067" s="11" t="s">
        <v>74</v>
      </c>
      <c r="E1067" s="12">
        <v>45679.420601851853</v>
      </c>
      <c r="F1067" s="10" t="str">
        <f>TEXT(events[[#This Row],[Start Date]],"DDD")</f>
        <v>Wed</v>
      </c>
      <c r="G1067" s="10">
        <f>YEAR(events[[#This Row],[Start Date]])</f>
        <v>2025</v>
      </c>
      <c r="H1067" s="10" t="str">
        <f>TEXT(events[[#This Row],[Start Date]],"mmm")</f>
        <v>Jan</v>
      </c>
      <c r="I1067" s="10" t="str">
        <f>CONCATENATE("WK_",WEEKNUM(events[[#This Row],[Start Date]]))</f>
        <v>WK_4</v>
      </c>
      <c r="J1067" s="12">
        <v>45679.420995370368</v>
      </c>
      <c r="K1067" s="10">
        <v>88</v>
      </c>
      <c r="L1067" s="10" t="s">
        <v>25</v>
      </c>
      <c r="M1067" s="10" t="s">
        <v>656</v>
      </c>
      <c r="N1067" s="13">
        <f t="shared" si="16"/>
        <v>0.56666666666666665</v>
      </c>
      <c r="O1067" s="14"/>
      <c r="P1067" s="14"/>
      <c r="Q1067" s="14" t="s">
        <v>1639</v>
      </c>
      <c r="R1067" s="14" t="s">
        <v>1640</v>
      </c>
      <c r="S1067" s="14" t="s">
        <v>1641</v>
      </c>
      <c r="T1067" s="14" t="s">
        <v>1642</v>
      </c>
      <c r="U1067" s="15">
        <v>0.9</v>
      </c>
      <c r="V1067" s="10">
        <v>1</v>
      </c>
    </row>
    <row r="1068" spans="1:22" ht="18" customHeight="1" x14ac:dyDescent="0.35">
      <c r="A1068" s="10" t="s">
        <v>86</v>
      </c>
      <c r="B1068" s="10" t="s">
        <v>3372</v>
      </c>
      <c r="C1068" s="11" t="s">
        <v>3414</v>
      </c>
      <c r="D1068" s="11" t="s">
        <v>74</v>
      </c>
      <c r="E1068" s="12">
        <v>45678.396701388891</v>
      </c>
      <c r="F1068" s="10" t="str">
        <f>TEXT(events[[#This Row],[Start Date]],"DDD")</f>
        <v>Tue</v>
      </c>
      <c r="G1068" s="10">
        <f>YEAR(events[[#This Row],[Start Date]])</f>
        <v>2025</v>
      </c>
      <c r="H1068" s="10" t="str">
        <f>TEXT(events[[#This Row],[Start Date]],"mmm")</f>
        <v>Jan</v>
      </c>
      <c r="I1068" s="10" t="str">
        <f>CONCATENATE("WK_",WEEKNUM(events[[#This Row],[Start Date]]))</f>
        <v>WK_4</v>
      </c>
      <c r="J1068" s="12">
        <v>45678.396724537037</v>
      </c>
      <c r="K1068" s="10">
        <v>82</v>
      </c>
      <c r="L1068" s="10" t="s">
        <v>25</v>
      </c>
      <c r="M1068" s="10" t="s">
        <v>31</v>
      </c>
      <c r="N1068" s="13">
        <f t="shared" si="16"/>
        <v>3.3333333333333333E-2</v>
      </c>
      <c r="O1068" s="14" t="s">
        <v>142</v>
      </c>
      <c r="P1068" s="14" t="s">
        <v>142</v>
      </c>
      <c r="Q1068" s="14" t="s">
        <v>1048</v>
      </c>
      <c r="R1068" s="14" t="s">
        <v>1048</v>
      </c>
      <c r="S1068" s="14" t="s">
        <v>2422</v>
      </c>
      <c r="T1068" s="14" t="s">
        <v>2423</v>
      </c>
      <c r="U1068" s="15">
        <v>6.2E-2</v>
      </c>
      <c r="V1068" s="10">
        <v>1</v>
      </c>
    </row>
    <row r="1069" spans="1:22" ht="18" customHeight="1" x14ac:dyDescent="0.35">
      <c r="A1069" s="10" t="s">
        <v>23</v>
      </c>
      <c r="B1069" s="10" t="s">
        <v>3202</v>
      </c>
      <c r="C1069" s="11" t="s">
        <v>2969</v>
      </c>
      <c r="D1069" s="11" t="s">
        <v>35</v>
      </c>
      <c r="E1069" s="12">
        <v>45677.958333333336</v>
      </c>
      <c r="F1069" s="10" t="str">
        <f>TEXT(events[[#This Row],[Start Date]],"DDD")</f>
        <v>Mon</v>
      </c>
      <c r="G1069" s="10">
        <f>YEAR(events[[#This Row],[Start Date]])</f>
        <v>2025</v>
      </c>
      <c r="H1069" s="10" t="str">
        <f>TEXT(events[[#This Row],[Start Date]],"mmm")</f>
        <v>Jan</v>
      </c>
      <c r="I1069" s="10" t="str">
        <f>CONCATENATE("WK_",WEEKNUM(events[[#This Row],[Start Date]]))</f>
        <v>WK_4</v>
      </c>
      <c r="J1069" s="12">
        <v>45677.962488425925</v>
      </c>
      <c r="K1069" s="10">
        <v>15.6</v>
      </c>
      <c r="L1069" s="10" t="s">
        <v>36</v>
      </c>
      <c r="M1069" s="10" t="s">
        <v>2402</v>
      </c>
      <c r="N1069" s="13">
        <f t="shared" si="16"/>
        <v>5.9833333333333334</v>
      </c>
      <c r="O1069" s="14" t="s">
        <v>38</v>
      </c>
      <c r="P1069" s="14" t="s">
        <v>38</v>
      </c>
      <c r="Q1069" s="14" t="s">
        <v>2403</v>
      </c>
      <c r="R1069" s="14" t="s">
        <v>2403</v>
      </c>
      <c r="S1069" s="14" t="s">
        <v>2404</v>
      </c>
      <c r="T1069" s="14" t="s">
        <v>2405</v>
      </c>
      <c r="U1069" s="15">
        <v>9.4E-2</v>
      </c>
      <c r="V1069" s="10">
        <v>1</v>
      </c>
    </row>
    <row r="1070" spans="1:22" ht="18" customHeight="1" x14ac:dyDescent="0.35">
      <c r="A1070" s="10" t="s">
        <v>123</v>
      </c>
      <c r="B1070" s="10" t="s">
        <v>3358</v>
      </c>
      <c r="C1070" s="11" t="s">
        <v>3393</v>
      </c>
      <c r="D1070" s="11" t="s">
        <v>74</v>
      </c>
      <c r="E1070" s="12">
        <v>45677.524699074071</v>
      </c>
      <c r="F1070" s="10" t="str">
        <f>TEXT(events[[#This Row],[Start Date]],"DDD")</f>
        <v>Mon</v>
      </c>
      <c r="G1070" s="10">
        <f>YEAR(events[[#This Row],[Start Date]])</f>
        <v>2025</v>
      </c>
      <c r="H1070" s="10" t="str">
        <f>TEXT(events[[#This Row],[Start Date]],"mmm")</f>
        <v>Jan</v>
      </c>
      <c r="I1070" s="10" t="str">
        <f>CONCATENATE("WK_",WEEKNUM(events[[#This Row],[Start Date]]))</f>
        <v>WK_4</v>
      </c>
      <c r="J1070" s="12">
        <v>45677.525127314817</v>
      </c>
      <c r="K1070" s="10">
        <v>88</v>
      </c>
      <c r="L1070" s="10" t="s">
        <v>25</v>
      </c>
      <c r="M1070" s="10" t="s">
        <v>1037</v>
      </c>
      <c r="N1070" s="13">
        <f t="shared" si="16"/>
        <v>0.6</v>
      </c>
      <c r="O1070" s="14"/>
      <c r="P1070" s="14"/>
      <c r="Q1070" s="14" t="s">
        <v>920</v>
      </c>
      <c r="R1070" s="14" t="s">
        <v>920</v>
      </c>
      <c r="S1070" s="14" t="s">
        <v>2437</v>
      </c>
      <c r="T1070" s="14" t="s">
        <v>2438</v>
      </c>
      <c r="U1070" s="15">
        <v>0.9</v>
      </c>
      <c r="V1070" s="10">
        <v>1</v>
      </c>
    </row>
    <row r="1071" spans="1:22" ht="18" customHeight="1" x14ac:dyDescent="0.35">
      <c r="A1071" s="10" t="s">
        <v>23</v>
      </c>
      <c r="B1071" s="10" t="s">
        <v>3163</v>
      </c>
      <c r="C1071" s="11" t="s">
        <v>2929</v>
      </c>
      <c r="D1071" s="11" t="s">
        <v>24</v>
      </c>
      <c r="E1071" s="12">
        <v>45676.851145833331</v>
      </c>
      <c r="F1071" s="10" t="str">
        <f>TEXT(events[[#This Row],[Start Date]],"DDD")</f>
        <v>Sun</v>
      </c>
      <c r="G1071" s="10">
        <f>YEAR(events[[#This Row],[Start Date]])</f>
        <v>2025</v>
      </c>
      <c r="H1071" s="10" t="str">
        <f>TEXT(events[[#This Row],[Start Date]],"mmm")</f>
        <v>Jan</v>
      </c>
      <c r="I1071" s="10" t="str">
        <f>CONCATENATE("WK_",WEEKNUM(events[[#This Row],[Start Date]]))</f>
        <v>WK_4</v>
      </c>
      <c r="J1071" s="12">
        <v>45676.851377314815</v>
      </c>
      <c r="K1071" s="10">
        <v>36</v>
      </c>
      <c r="L1071" s="10" t="s">
        <v>25</v>
      </c>
      <c r="M1071" s="10" t="s">
        <v>301</v>
      </c>
      <c r="N1071" s="13">
        <f t="shared" si="16"/>
        <v>0.33333333333333331</v>
      </c>
      <c r="O1071" s="14" t="s">
        <v>38</v>
      </c>
      <c r="P1071" s="14" t="s">
        <v>38</v>
      </c>
      <c r="Q1071" s="14" t="s">
        <v>294</v>
      </c>
      <c r="R1071" s="14" t="s">
        <v>294</v>
      </c>
      <c r="S1071" s="14" t="s">
        <v>2395</v>
      </c>
      <c r="T1071" s="14" t="s">
        <v>2396</v>
      </c>
      <c r="U1071" s="15">
        <v>0.188</v>
      </c>
      <c r="V1071" s="10">
        <v>1</v>
      </c>
    </row>
    <row r="1072" spans="1:22" ht="18" customHeight="1" x14ac:dyDescent="0.35">
      <c r="A1072" s="10" t="s">
        <v>86</v>
      </c>
      <c r="B1072" s="10" t="s">
        <v>3342</v>
      </c>
      <c r="C1072" s="11" t="s">
        <v>3422</v>
      </c>
      <c r="D1072" s="11" t="s">
        <v>74</v>
      </c>
      <c r="E1072" s="12">
        <v>45676.810902777775</v>
      </c>
      <c r="F1072" s="10" t="str">
        <f>TEXT(events[[#This Row],[Start Date]],"DDD")</f>
        <v>Sun</v>
      </c>
      <c r="G1072" s="10">
        <f>YEAR(events[[#This Row],[Start Date]])</f>
        <v>2025</v>
      </c>
      <c r="H1072" s="10" t="str">
        <f>TEXT(events[[#This Row],[Start Date]],"mmm")</f>
        <v>Jan</v>
      </c>
      <c r="I1072" s="10" t="str">
        <f>CONCATENATE("WK_",WEEKNUM(events[[#This Row],[Start Date]]))</f>
        <v>WK_4</v>
      </c>
      <c r="J1072" s="12">
        <v>45676.810914351852</v>
      </c>
      <c r="K1072" s="10">
        <v>82</v>
      </c>
      <c r="L1072" s="10" t="s">
        <v>25</v>
      </c>
      <c r="M1072" s="10" t="s">
        <v>26</v>
      </c>
      <c r="N1072" s="13">
        <f t="shared" si="16"/>
        <v>1.6666666666666666E-2</v>
      </c>
      <c r="O1072" s="14" t="s">
        <v>92</v>
      </c>
      <c r="P1072" s="14" t="s">
        <v>92</v>
      </c>
      <c r="Q1072" s="14" t="s">
        <v>93</v>
      </c>
      <c r="R1072" s="14" t="s">
        <v>93</v>
      </c>
      <c r="S1072" s="14" t="s">
        <v>2418</v>
      </c>
      <c r="T1072" s="14" t="s">
        <v>2419</v>
      </c>
      <c r="U1072" s="15">
        <v>0.125</v>
      </c>
      <c r="V1072" s="10">
        <v>1</v>
      </c>
    </row>
    <row r="1073" spans="1:22" ht="18" customHeight="1" x14ac:dyDescent="0.35">
      <c r="A1073" s="10" t="s">
        <v>23</v>
      </c>
      <c r="B1073" s="10" t="s">
        <v>3162</v>
      </c>
      <c r="C1073" s="11" t="s">
        <v>2928</v>
      </c>
      <c r="D1073" s="11" t="s">
        <v>24</v>
      </c>
      <c r="E1073" s="12">
        <v>45676.649699074071</v>
      </c>
      <c r="F1073" s="10" t="str">
        <f>TEXT(events[[#This Row],[Start Date]],"DDD")</f>
        <v>Sun</v>
      </c>
      <c r="G1073" s="10">
        <f>YEAR(events[[#This Row],[Start Date]])</f>
        <v>2025</v>
      </c>
      <c r="H1073" s="10" t="str">
        <f>TEXT(events[[#This Row],[Start Date]],"mmm")</f>
        <v>Jan</v>
      </c>
      <c r="I1073" s="10" t="str">
        <f>CONCATENATE("WK_",WEEKNUM(events[[#This Row],[Start Date]]))</f>
        <v>WK_4</v>
      </c>
      <c r="J1073" s="12">
        <v>45676.649791666663</v>
      </c>
      <c r="K1073" s="10">
        <v>41</v>
      </c>
      <c r="L1073" s="10" t="s">
        <v>25</v>
      </c>
      <c r="M1073" s="10" t="s">
        <v>357</v>
      </c>
      <c r="N1073" s="13">
        <f t="shared" si="16"/>
        <v>0.13333333333333333</v>
      </c>
      <c r="O1073" s="14" t="s">
        <v>27</v>
      </c>
      <c r="P1073" s="14" t="s">
        <v>27</v>
      </c>
      <c r="Q1073" s="14" t="s">
        <v>888</v>
      </c>
      <c r="R1073" s="14" t="s">
        <v>888</v>
      </c>
      <c r="S1073" s="14" t="s">
        <v>2406</v>
      </c>
      <c r="T1073" s="14" t="s">
        <v>2407</v>
      </c>
      <c r="U1073" s="15">
        <v>9.4E-2</v>
      </c>
      <c r="V1073" s="10">
        <v>1</v>
      </c>
    </row>
    <row r="1074" spans="1:22" ht="18" customHeight="1" x14ac:dyDescent="0.35">
      <c r="A1074" s="10" t="s">
        <v>123</v>
      </c>
      <c r="B1074" s="10" t="s">
        <v>3161</v>
      </c>
      <c r="C1074" s="11" t="s">
        <v>2927</v>
      </c>
      <c r="D1074" s="11" t="s">
        <v>74</v>
      </c>
      <c r="E1074" s="12">
        <v>45676.505069444444</v>
      </c>
      <c r="F1074" s="10" t="str">
        <f>TEXT(events[[#This Row],[Start Date]],"DDD")</f>
        <v>Sun</v>
      </c>
      <c r="G1074" s="10">
        <f>YEAR(events[[#This Row],[Start Date]])</f>
        <v>2025</v>
      </c>
      <c r="H1074" s="10" t="str">
        <f>TEXT(events[[#This Row],[Start Date]],"mmm")</f>
        <v>Jan</v>
      </c>
      <c r="I1074" s="10" t="str">
        <f>CONCATENATE("WK_",WEEKNUM(events[[#This Row],[Start Date]]))</f>
        <v>WK_4</v>
      </c>
      <c r="J1074" s="12">
        <v>45676.505497685182</v>
      </c>
      <c r="K1074" s="10">
        <v>94</v>
      </c>
      <c r="L1074" s="10" t="s">
        <v>25</v>
      </c>
      <c r="M1074" s="10" t="s">
        <v>647</v>
      </c>
      <c r="N1074" s="13">
        <f t="shared" si="16"/>
        <v>0.6166666666666667</v>
      </c>
      <c r="O1074" s="14"/>
      <c r="P1074" s="14"/>
      <c r="Q1074" s="14" t="s">
        <v>544</v>
      </c>
      <c r="R1074" s="14" t="s">
        <v>544</v>
      </c>
      <c r="S1074" s="14" t="s">
        <v>2435</v>
      </c>
      <c r="T1074" s="14" t="s">
        <v>2436</v>
      </c>
      <c r="U1074" s="15">
        <v>0.9</v>
      </c>
      <c r="V1074" s="10">
        <v>1</v>
      </c>
    </row>
    <row r="1075" spans="1:22" ht="18" customHeight="1" x14ac:dyDescent="0.35">
      <c r="A1075" s="10" t="s">
        <v>86</v>
      </c>
      <c r="B1075" s="10" t="s">
        <v>3344</v>
      </c>
      <c r="C1075" s="11" t="s">
        <v>3139</v>
      </c>
      <c r="D1075" s="11" t="s">
        <v>74</v>
      </c>
      <c r="E1075" s="12">
        <v>45676.418275462966</v>
      </c>
      <c r="F1075" s="10" t="str">
        <f>TEXT(events[[#This Row],[Start Date]],"DDD")</f>
        <v>Sun</v>
      </c>
      <c r="G1075" s="10">
        <f>YEAR(events[[#This Row],[Start Date]])</f>
        <v>2025</v>
      </c>
      <c r="H1075" s="10" t="str">
        <f>TEXT(events[[#This Row],[Start Date]],"mmm")</f>
        <v>Jan</v>
      </c>
      <c r="I1075" s="10" t="str">
        <f>CONCATENATE("WK_",WEEKNUM(events[[#This Row],[Start Date]]))</f>
        <v>WK_4</v>
      </c>
      <c r="J1075" s="12">
        <v>45676.418287037035</v>
      </c>
      <c r="K1075" s="10">
        <v>81</v>
      </c>
      <c r="L1075" s="10" t="s">
        <v>25</v>
      </c>
      <c r="M1075" s="10" t="s">
        <v>26</v>
      </c>
      <c r="N1075" s="13">
        <f t="shared" si="16"/>
        <v>1.6666666666666666E-2</v>
      </c>
      <c r="O1075" s="14" t="s">
        <v>142</v>
      </c>
      <c r="P1075" s="14" t="s">
        <v>142</v>
      </c>
      <c r="Q1075" s="14" t="s">
        <v>694</v>
      </c>
      <c r="R1075" s="14" t="s">
        <v>694</v>
      </c>
      <c r="S1075" s="14" t="s">
        <v>2416</v>
      </c>
      <c r="T1075" s="14" t="s">
        <v>2417</v>
      </c>
      <c r="U1075" s="15">
        <v>0</v>
      </c>
      <c r="V1075" s="10">
        <v>1</v>
      </c>
    </row>
    <row r="1076" spans="1:22" ht="18" customHeight="1" x14ac:dyDescent="0.35">
      <c r="A1076" s="10" t="s">
        <v>86</v>
      </c>
      <c r="B1076" s="10" t="s">
        <v>3344</v>
      </c>
      <c r="C1076" s="11" t="s">
        <v>3139</v>
      </c>
      <c r="D1076" s="11" t="s">
        <v>74</v>
      </c>
      <c r="E1076" s="12">
        <v>45676.352523148147</v>
      </c>
      <c r="F1076" s="10" t="str">
        <f>TEXT(events[[#This Row],[Start Date]],"DDD")</f>
        <v>Sun</v>
      </c>
      <c r="G1076" s="10">
        <f>YEAR(events[[#This Row],[Start Date]])</f>
        <v>2025</v>
      </c>
      <c r="H1076" s="10" t="str">
        <f>TEXT(events[[#This Row],[Start Date]],"mmm")</f>
        <v>Jan</v>
      </c>
      <c r="I1076" s="10" t="str">
        <f>CONCATENATE("WK_",WEEKNUM(events[[#This Row],[Start Date]]))</f>
        <v>WK_4</v>
      </c>
      <c r="J1076" s="12">
        <v>45676.35260416667</v>
      </c>
      <c r="K1076" s="10">
        <v>87</v>
      </c>
      <c r="L1076" s="10" t="s">
        <v>25</v>
      </c>
      <c r="M1076" s="10" t="s">
        <v>115</v>
      </c>
      <c r="N1076" s="13">
        <f t="shared" si="16"/>
        <v>0.11666666666666667</v>
      </c>
      <c r="O1076" s="14" t="s">
        <v>142</v>
      </c>
      <c r="P1076" s="14" t="s">
        <v>142</v>
      </c>
      <c r="Q1076" s="14" t="s">
        <v>2413</v>
      </c>
      <c r="R1076" s="14" t="s">
        <v>2413</v>
      </c>
      <c r="S1076" s="14" t="s">
        <v>2414</v>
      </c>
      <c r="T1076" s="14" t="s">
        <v>2415</v>
      </c>
      <c r="U1076" s="15">
        <v>0.125</v>
      </c>
      <c r="V1076" s="10">
        <v>1</v>
      </c>
    </row>
    <row r="1077" spans="1:22" ht="18" customHeight="1" x14ac:dyDescent="0.35">
      <c r="A1077" s="10" t="s">
        <v>123</v>
      </c>
      <c r="B1077" s="10" t="s">
        <v>3161</v>
      </c>
      <c r="C1077" s="11" t="s">
        <v>2927</v>
      </c>
      <c r="D1077" s="11" t="s">
        <v>74</v>
      </c>
      <c r="E1077" s="12">
        <v>45675.679201388892</v>
      </c>
      <c r="F1077" s="10" t="str">
        <f>TEXT(events[[#This Row],[Start Date]],"DDD")</f>
        <v>Sat</v>
      </c>
      <c r="G1077" s="10">
        <f>YEAR(events[[#This Row],[Start Date]])</f>
        <v>2025</v>
      </c>
      <c r="H1077" s="10" t="str">
        <f>TEXT(events[[#This Row],[Start Date]],"mmm")</f>
        <v>Jan</v>
      </c>
      <c r="I1077" s="10" t="str">
        <f>CONCATENATE("WK_",WEEKNUM(events[[#This Row],[Start Date]]))</f>
        <v>WK_3</v>
      </c>
      <c r="J1077" s="12">
        <v>45675.679780092592</v>
      </c>
      <c r="K1077" s="10">
        <v>100</v>
      </c>
      <c r="L1077" s="10" t="s">
        <v>25</v>
      </c>
      <c r="M1077" s="10" t="s">
        <v>580</v>
      </c>
      <c r="N1077" s="13">
        <f t="shared" si="16"/>
        <v>0.83333333333333337</v>
      </c>
      <c r="O1077" s="14"/>
      <c r="P1077" s="14"/>
      <c r="Q1077" s="14" t="s">
        <v>2432</v>
      </c>
      <c r="R1077" s="14" t="s">
        <v>797</v>
      </c>
      <c r="S1077" s="14" t="s">
        <v>2433</v>
      </c>
      <c r="T1077" s="14" t="s">
        <v>2434</v>
      </c>
      <c r="U1077" s="15">
        <v>1.3</v>
      </c>
      <c r="V1077" s="10">
        <v>1</v>
      </c>
    </row>
    <row r="1078" spans="1:22" ht="18" customHeight="1" x14ac:dyDescent="0.35">
      <c r="A1078" s="10" t="s">
        <v>23</v>
      </c>
      <c r="B1078" s="10" t="s">
        <v>3163</v>
      </c>
      <c r="C1078" s="11" t="s">
        <v>2929</v>
      </c>
      <c r="D1078" s="11" t="s">
        <v>24</v>
      </c>
      <c r="E1078" s="12">
        <v>45675.579027777778</v>
      </c>
      <c r="F1078" s="10" t="str">
        <f>TEXT(events[[#This Row],[Start Date]],"DDD")</f>
        <v>Sat</v>
      </c>
      <c r="G1078" s="10">
        <f>YEAR(events[[#This Row],[Start Date]])</f>
        <v>2025</v>
      </c>
      <c r="H1078" s="10" t="str">
        <f>TEXT(events[[#This Row],[Start Date]],"mmm")</f>
        <v>Jan</v>
      </c>
      <c r="I1078" s="10" t="str">
        <f>CONCATENATE("WK_",WEEKNUM(events[[#This Row],[Start Date]]))</f>
        <v>WK_3</v>
      </c>
      <c r="J1078" s="12">
        <v>45675.579039351855</v>
      </c>
      <c r="K1078" s="10">
        <v>35</v>
      </c>
      <c r="L1078" s="10" t="s">
        <v>25</v>
      </c>
      <c r="M1078" s="10" t="s">
        <v>26</v>
      </c>
      <c r="N1078" s="13">
        <f t="shared" si="16"/>
        <v>1.6666666666666666E-2</v>
      </c>
      <c r="O1078" s="14" t="s">
        <v>38</v>
      </c>
      <c r="P1078" s="14" t="s">
        <v>38</v>
      </c>
      <c r="Q1078" s="14" t="s">
        <v>2392</v>
      </c>
      <c r="R1078" s="14" t="s">
        <v>2392</v>
      </c>
      <c r="S1078" s="14" t="s">
        <v>2393</v>
      </c>
      <c r="T1078" s="14" t="s">
        <v>2394</v>
      </c>
      <c r="U1078" s="15">
        <v>0.125</v>
      </c>
      <c r="V1078" s="10">
        <v>1</v>
      </c>
    </row>
    <row r="1079" spans="1:22" ht="18" customHeight="1" x14ac:dyDescent="0.35">
      <c r="A1079" s="10" t="s">
        <v>123</v>
      </c>
      <c r="B1079" s="10" t="s">
        <v>3369</v>
      </c>
      <c r="C1079" s="11" t="s">
        <v>3403</v>
      </c>
      <c r="D1079" s="11" t="s">
        <v>74</v>
      </c>
      <c r="E1079" s="12">
        <v>45674.353912037041</v>
      </c>
      <c r="F1079" s="10" t="str">
        <f>TEXT(events[[#This Row],[Start Date]],"DDD")</f>
        <v>Fri</v>
      </c>
      <c r="G1079" s="10">
        <f>YEAR(events[[#This Row],[Start Date]])</f>
        <v>2025</v>
      </c>
      <c r="H1079" s="10" t="str">
        <f>TEXT(events[[#This Row],[Start Date]],"mmm")</f>
        <v>Jan</v>
      </c>
      <c r="I1079" s="10" t="str">
        <f>CONCATENATE("WK_",WEEKNUM(events[[#This Row],[Start Date]]))</f>
        <v>WK_3</v>
      </c>
      <c r="J1079" s="12">
        <v>45674.35434027778</v>
      </c>
      <c r="K1079" s="10">
        <v>103</v>
      </c>
      <c r="L1079" s="10" t="s">
        <v>25</v>
      </c>
      <c r="M1079" s="10" t="s">
        <v>647</v>
      </c>
      <c r="N1079" s="13">
        <f t="shared" si="16"/>
        <v>0.6166666666666667</v>
      </c>
      <c r="O1079" s="14"/>
      <c r="P1079" s="14"/>
      <c r="Q1079" s="14" t="s">
        <v>2424</v>
      </c>
      <c r="R1079" s="14" t="s">
        <v>1858</v>
      </c>
      <c r="S1079" s="14" t="s">
        <v>2425</v>
      </c>
      <c r="T1079" s="14" t="s">
        <v>2426</v>
      </c>
      <c r="U1079" s="15">
        <v>1</v>
      </c>
      <c r="V1079" s="10">
        <v>1</v>
      </c>
    </row>
    <row r="1080" spans="1:22" ht="18" customHeight="1" x14ac:dyDescent="0.35">
      <c r="A1080" s="10" t="s">
        <v>23</v>
      </c>
      <c r="B1080" s="10" t="s">
        <v>3162</v>
      </c>
      <c r="C1080" s="11" t="s">
        <v>2928</v>
      </c>
      <c r="D1080" s="11" t="s">
        <v>35</v>
      </c>
      <c r="E1080" s="12">
        <v>45673.958333333336</v>
      </c>
      <c r="F1080" s="10" t="str">
        <f>TEXT(events[[#This Row],[Start Date]],"DDD")</f>
        <v>Thu</v>
      </c>
      <c r="G1080" s="10">
        <f>YEAR(events[[#This Row],[Start Date]])</f>
        <v>2025</v>
      </c>
      <c r="H1080" s="10" t="str">
        <f>TEXT(events[[#This Row],[Start Date]],"mmm")</f>
        <v>Jan</v>
      </c>
      <c r="I1080" s="10" t="str">
        <f>CONCATENATE("WK_",WEEKNUM(events[[#This Row],[Start Date]]))</f>
        <v>WK_3</v>
      </c>
      <c r="J1080" s="12">
        <v>45673.963240740741</v>
      </c>
      <c r="K1080" s="10">
        <v>63.3</v>
      </c>
      <c r="L1080" s="10" t="s">
        <v>36</v>
      </c>
      <c r="M1080" s="10" t="s">
        <v>2408</v>
      </c>
      <c r="N1080" s="13">
        <f t="shared" si="16"/>
        <v>7.0666666666666664</v>
      </c>
      <c r="O1080" s="14" t="s">
        <v>142</v>
      </c>
      <c r="P1080" s="14" t="s">
        <v>142</v>
      </c>
      <c r="Q1080" s="14" t="s">
        <v>2409</v>
      </c>
      <c r="R1080" s="14" t="s">
        <v>2409</v>
      </c>
      <c r="S1080" s="14" t="s">
        <v>2410</v>
      </c>
      <c r="T1080" s="14" t="s">
        <v>2411</v>
      </c>
      <c r="U1080" s="15">
        <v>0.40600000000000003</v>
      </c>
      <c r="V1080" s="10">
        <v>1</v>
      </c>
    </row>
    <row r="1081" spans="1:22" ht="18" customHeight="1" x14ac:dyDescent="0.35">
      <c r="A1081" s="10" t="s">
        <v>86</v>
      </c>
      <c r="B1081" s="10" t="s">
        <v>3372</v>
      </c>
      <c r="C1081" s="11" t="s">
        <v>3414</v>
      </c>
      <c r="D1081" s="11" t="s">
        <v>74</v>
      </c>
      <c r="E1081" s="12">
        <v>45673.749606481484</v>
      </c>
      <c r="F1081" s="10" t="str">
        <f>TEXT(events[[#This Row],[Start Date]],"DDD")</f>
        <v>Thu</v>
      </c>
      <c r="G1081" s="10">
        <f>YEAR(events[[#This Row],[Start Date]])</f>
        <v>2025</v>
      </c>
      <c r="H1081" s="10" t="str">
        <f>TEXT(events[[#This Row],[Start Date]],"mmm")</f>
        <v>Jan</v>
      </c>
      <c r="I1081" s="10" t="str">
        <f>CONCATENATE("WK_",WEEKNUM(events[[#This Row],[Start Date]]))</f>
        <v>WK_3</v>
      </c>
      <c r="J1081" s="12">
        <v>45673.74962962963</v>
      </c>
      <c r="K1081" s="10">
        <v>84</v>
      </c>
      <c r="L1081" s="10" t="s">
        <v>25</v>
      </c>
      <c r="M1081" s="10" t="s">
        <v>31</v>
      </c>
      <c r="N1081" s="13">
        <f t="shared" si="16"/>
        <v>3.3333333333333333E-2</v>
      </c>
      <c r="O1081" s="14" t="s">
        <v>231</v>
      </c>
      <c r="P1081" s="14" t="s">
        <v>231</v>
      </c>
      <c r="Q1081" s="14" t="s">
        <v>723</v>
      </c>
      <c r="R1081" s="14" t="s">
        <v>723</v>
      </c>
      <c r="S1081" s="14" t="s">
        <v>2420</v>
      </c>
      <c r="T1081" s="14" t="s">
        <v>2421</v>
      </c>
      <c r="U1081" s="15">
        <v>0.125</v>
      </c>
      <c r="V1081" s="10">
        <v>1</v>
      </c>
    </row>
    <row r="1082" spans="1:22" ht="18" customHeight="1" x14ac:dyDescent="0.35">
      <c r="A1082" s="10" t="s">
        <v>123</v>
      </c>
      <c r="B1082" s="10" t="s">
        <v>3160</v>
      </c>
      <c r="C1082" s="11" t="s">
        <v>2926</v>
      </c>
      <c r="D1082" s="11" t="s">
        <v>74</v>
      </c>
      <c r="E1082" s="12">
        <v>45673.709513888891</v>
      </c>
      <c r="F1082" s="10" t="str">
        <f>TEXT(events[[#This Row],[Start Date]],"DDD")</f>
        <v>Thu</v>
      </c>
      <c r="G1082" s="10">
        <f>YEAR(events[[#This Row],[Start Date]])</f>
        <v>2025</v>
      </c>
      <c r="H1082" s="10" t="str">
        <f>TEXT(events[[#This Row],[Start Date]],"mmm")</f>
        <v>Jan</v>
      </c>
      <c r="I1082" s="10" t="str">
        <f>CONCATENATE("WK_",WEEKNUM(events[[#This Row],[Start Date]]))</f>
        <v>WK_3</v>
      </c>
      <c r="J1082" s="12">
        <v>45673.71020833333</v>
      </c>
      <c r="K1082" s="10">
        <v>93</v>
      </c>
      <c r="L1082" s="10" t="s">
        <v>25</v>
      </c>
      <c r="M1082" s="10" t="s">
        <v>177</v>
      </c>
      <c r="N1082" s="13">
        <f t="shared" si="16"/>
        <v>1</v>
      </c>
      <c r="O1082" s="14"/>
      <c r="P1082" s="14"/>
      <c r="Q1082" s="14" t="s">
        <v>174</v>
      </c>
      <c r="R1082" s="14" t="s">
        <v>174</v>
      </c>
      <c r="S1082" s="14" t="s">
        <v>2427</v>
      </c>
      <c r="T1082" s="14" t="s">
        <v>2428</v>
      </c>
      <c r="U1082" s="15">
        <v>1.5</v>
      </c>
      <c r="V1082" s="10">
        <v>1</v>
      </c>
    </row>
    <row r="1083" spans="1:22" ht="18" customHeight="1" x14ac:dyDescent="0.35">
      <c r="A1083" s="10" t="s">
        <v>123</v>
      </c>
      <c r="B1083" s="10" t="s">
        <v>3384</v>
      </c>
      <c r="C1083" s="11" t="s">
        <v>3423</v>
      </c>
      <c r="D1083" s="11" t="s">
        <v>74</v>
      </c>
      <c r="E1083" s="12">
        <v>45673.437719907408</v>
      </c>
      <c r="F1083" s="10" t="str">
        <f>TEXT(events[[#This Row],[Start Date]],"DDD")</f>
        <v>Thu</v>
      </c>
      <c r="G1083" s="10">
        <f>YEAR(events[[#This Row],[Start Date]])</f>
        <v>2025</v>
      </c>
      <c r="H1083" s="10" t="str">
        <f>TEXT(events[[#This Row],[Start Date]],"mmm")</f>
        <v>Jan</v>
      </c>
      <c r="I1083" s="10" t="str">
        <f>CONCATENATE("WK_",WEEKNUM(events[[#This Row],[Start Date]]))</f>
        <v>WK_3</v>
      </c>
      <c r="J1083" s="12">
        <v>45673.438356481478</v>
      </c>
      <c r="K1083" s="10">
        <v>88</v>
      </c>
      <c r="L1083" s="10" t="s">
        <v>25</v>
      </c>
      <c r="M1083" s="10" t="s">
        <v>2429</v>
      </c>
      <c r="N1083" s="13">
        <f t="shared" si="16"/>
        <v>0.91666666666666663</v>
      </c>
      <c r="O1083" s="14"/>
      <c r="P1083" s="14"/>
      <c r="Q1083" s="14" t="s">
        <v>549</v>
      </c>
      <c r="R1083" s="14" t="s">
        <v>550</v>
      </c>
      <c r="S1083" s="14" t="s">
        <v>2430</v>
      </c>
      <c r="T1083" s="14" t="s">
        <v>2431</v>
      </c>
      <c r="U1083" s="15">
        <v>1.4</v>
      </c>
      <c r="V1083" s="10">
        <v>1</v>
      </c>
    </row>
    <row r="1084" spans="1:22" ht="18" customHeight="1" x14ac:dyDescent="0.35">
      <c r="A1084" s="10" t="s">
        <v>123</v>
      </c>
      <c r="B1084" s="10" t="s">
        <v>3385</v>
      </c>
      <c r="C1084" s="11" t="s">
        <v>3424</v>
      </c>
      <c r="D1084" s="11" t="s">
        <v>74</v>
      </c>
      <c r="E1084" s="12">
        <v>45672.964421296296</v>
      </c>
      <c r="F1084" s="10" t="str">
        <f>TEXT(events[[#This Row],[Start Date]],"DDD")</f>
        <v>Wed</v>
      </c>
      <c r="G1084" s="10">
        <f>YEAR(events[[#This Row],[Start Date]])</f>
        <v>2025</v>
      </c>
      <c r="H1084" s="10" t="str">
        <f>TEXT(events[[#This Row],[Start Date]],"mmm")</f>
        <v>Jan</v>
      </c>
      <c r="I1084" s="10" t="str">
        <f>CONCATENATE("WK_",WEEKNUM(events[[#This Row],[Start Date]]))</f>
        <v>WK_3</v>
      </c>
      <c r="J1084" s="12">
        <v>45672.964594907404</v>
      </c>
      <c r="K1084" s="10">
        <v>85</v>
      </c>
      <c r="L1084" s="10" t="s">
        <v>25</v>
      </c>
      <c r="M1084" s="10" t="s">
        <v>394</v>
      </c>
      <c r="N1084" s="13">
        <f t="shared" si="16"/>
        <v>0.25</v>
      </c>
      <c r="O1084" s="14"/>
      <c r="P1084" s="14"/>
      <c r="Q1084" s="14" t="s">
        <v>544</v>
      </c>
      <c r="R1084" s="14" t="s">
        <v>544</v>
      </c>
      <c r="S1084" s="14" t="s">
        <v>2439</v>
      </c>
      <c r="T1084" s="14" t="s">
        <v>2440</v>
      </c>
      <c r="U1084" s="15">
        <v>0.5</v>
      </c>
      <c r="V1084" s="10">
        <v>1</v>
      </c>
    </row>
    <row r="1085" spans="1:22" ht="18" customHeight="1" x14ac:dyDescent="0.35">
      <c r="A1085" s="10" t="s">
        <v>23</v>
      </c>
      <c r="B1085" s="10" t="s">
        <v>3254</v>
      </c>
      <c r="C1085" s="11" t="s">
        <v>3024</v>
      </c>
      <c r="D1085" s="11" t="s">
        <v>35</v>
      </c>
      <c r="E1085" s="12">
        <v>45672.958333333336</v>
      </c>
      <c r="F1085" s="10" t="str">
        <f>TEXT(events[[#This Row],[Start Date]],"DDD")</f>
        <v>Wed</v>
      </c>
      <c r="G1085" s="10">
        <f>YEAR(events[[#This Row],[Start Date]])</f>
        <v>2025</v>
      </c>
      <c r="H1085" s="10" t="str">
        <f>TEXT(events[[#This Row],[Start Date]],"mmm")</f>
        <v>Jan</v>
      </c>
      <c r="I1085" s="10" t="str">
        <f>CONCATENATE("WK_",WEEKNUM(events[[#This Row],[Start Date]]))</f>
        <v>WK_3</v>
      </c>
      <c r="J1085" s="12">
        <v>45672.973530092589</v>
      </c>
      <c r="K1085" s="10">
        <v>31.5</v>
      </c>
      <c r="L1085" s="10" t="s">
        <v>36</v>
      </c>
      <c r="M1085" s="10" t="s">
        <v>2397</v>
      </c>
      <c r="N1085" s="13">
        <f t="shared" si="16"/>
        <v>21.883333333333333</v>
      </c>
      <c r="O1085" s="14" t="s">
        <v>92</v>
      </c>
      <c r="P1085" s="14" t="s">
        <v>27</v>
      </c>
      <c r="Q1085" s="14" t="s">
        <v>2398</v>
      </c>
      <c r="R1085" s="14" t="s">
        <v>2399</v>
      </c>
      <c r="S1085" s="14" t="s">
        <v>2400</v>
      </c>
      <c r="T1085" s="14" t="s">
        <v>2401</v>
      </c>
      <c r="U1085" s="15">
        <v>8</v>
      </c>
      <c r="V1085" s="10">
        <v>1</v>
      </c>
    </row>
    <row r="1086" spans="1:22" ht="18" customHeight="1" x14ac:dyDescent="0.35">
      <c r="A1086" s="10" t="s">
        <v>47</v>
      </c>
      <c r="B1086" s="10" t="s">
        <v>3262</v>
      </c>
      <c r="C1086" s="11" t="s">
        <v>3035</v>
      </c>
      <c r="D1086" s="11" t="s">
        <v>82</v>
      </c>
      <c r="E1086" s="12">
        <v>45672.576365740744</v>
      </c>
      <c r="F1086" s="10" t="str">
        <f>TEXT(events[[#This Row],[Start Date]],"DDD")</f>
        <v>Wed</v>
      </c>
      <c r="G1086" s="10">
        <f>YEAR(events[[#This Row],[Start Date]])</f>
        <v>2025</v>
      </c>
      <c r="H1086" s="10" t="str">
        <f>TEXT(events[[#This Row],[Start Date]],"mmm")</f>
        <v>Jan</v>
      </c>
      <c r="I1086" s="10" t="str">
        <f>CONCATENATE("WK_",WEEKNUM(events[[#This Row],[Start Date]]))</f>
        <v>WK_3</v>
      </c>
      <c r="J1086" s="12">
        <v>45672.576377314814</v>
      </c>
      <c r="K1086" s="10">
        <v>24</v>
      </c>
      <c r="L1086" s="10" t="s">
        <v>83</v>
      </c>
      <c r="M1086" s="10" t="s">
        <v>26</v>
      </c>
      <c r="N1086" s="13">
        <f t="shared" si="16"/>
        <v>1.6666666666666666E-2</v>
      </c>
      <c r="O1086" s="14" t="s">
        <v>50</v>
      </c>
      <c r="P1086" s="14"/>
      <c r="Q1086" s="14" t="s">
        <v>112</v>
      </c>
      <c r="R1086" s="14"/>
      <c r="S1086" s="14" t="s">
        <v>2412</v>
      </c>
      <c r="T1086" s="14"/>
      <c r="U1086" s="15">
        <v>0</v>
      </c>
      <c r="V1086" s="10">
        <v>1</v>
      </c>
    </row>
    <row r="1087" spans="1:22" ht="18" customHeight="1" x14ac:dyDescent="0.35">
      <c r="A1087" s="10" t="s">
        <v>123</v>
      </c>
      <c r="B1087" s="10" t="s">
        <v>3386</v>
      </c>
      <c r="C1087" s="11" t="s">
        <v>3425</v>
      </c>
      <c r="D1087" s="11" t="s">
        <v>74</v>
      </c>
      <c r="E1087" s="12">
        <v>45672.065613425926</v>
      </c>
      <c r="F1087" s="10" t="str">
        <f>TEXT(events[[#This Row],[Start Date]],"DDD")</f>
        <v>Wed</v>
      </c>
      <c r="G1087" s="10">
        <f>YEAR(events[[#This Row],[Start Date]])</f>
        <v>2025</v>
      </c>
      <c r="H1087" s="10" t="str">
        <f>TEXT(events[[#This Row],[Start Date]],"mmm")</f>
        <v>Jan</v>
      </c>
      <c r="I1087" s="10" t="str">
        <f>CONCATENATE("WK_",WEEKNUM(events[[#This Row],[Start Date]]))</f>
        <v>WK_3</v>
      </c>
      <c r="J1087" s="12">
        <v>45672.066180555557</v>
      </c>
      <c r="K1087" s="10">
        <v>95</v>
      </c>
      <c r="L1087" s="10" t="s">
        <v>25</v>
      </c>
      <c r="M1087" s="10" t="s">
        <v>1934</v>
      </c>
      <c r="N1087" s="13">
        <f t="shared" si="16"/>
        <v>0.8</v>
      </c>
      <c r="O1087" s="14"/>
      <c r="P1087" s="14"/>
      <c r="Q1087" s="14" t="s">
        <v>2441</v>
      </c>
      <c r="R1087" s="14" t="s">
        <v>2442</v>
      </c>
      <c r="S1087" s="14" t="s">
        <v>2443</v>
      </c>
      <c r="T1087" s="14" t="s">
        <v>2444</v>
      </c>
      <c r="U1087" s="15">
        <v>1.2</v>
      </c>
      <c r="V1087" s="10">
        <v>1</v>
      </c>
    </row>
    <row r="1088" spans="1:22" ht="18" customHeight="1" x14ac:dyDescent="0.35">
      <c r="A1088" s="10" t="s">
        <v>123</v>
      </c>
      <c r="B1088" s="10" t="s">
        <v>3305</v>
      </c>
      <c r="C1088" s="11" t="s">
        <v>3091</v>
      </c>
      <c r="D1088" s="11" t="s">
        <v>74</v>
      </c>
      <c r="E1088" s="12">
        <v>45672.051979166667</v>
      </c>
      <c r="F1088" s="10" t="str">
        <f>TEXT(events[[#This Row],[Start Date]],"DDD")</f>
        <v>Wed</v>
      </c>
      <c r="G1088" s="10">
        <f>YEAR(events[[#This Row],[Start Date]])</f>
        <v>2025</v>
      </c>
      <c r="H1088" s="10" t="str">
        <f>TEXT(events[[#This Row],[Start Date]],"mmm")</f>
        <v>Jan</v>
      </c>
      <c r="I1088" s="10" t="str">
        <f>CONCATENATE("WK_",WEEKNUM(events[[#This Row],[Start Date]]))</f>
        <v>WK_3</v>
      </c>
      <c r="J1088" s="12">
        <v>45672.052152777775</v>
      </c>
      <c r="K1088" s="10">
        <v>84</v>
      </c>
      <c r="L1088" s="10" t="s">
        <v>25</v>
      </c>
      <c r="M1088" s="10" t="s">
        <v>394</v>
      </c>
      <c r="N1088" s="13">
        <f t="shared" si="16"/>
        <v>0.25</v>
      </c>
      <c r="O1088" s="14"/>
      <c r="P1088" s="14"/>
      <c r="Q1088" s="14" t="s">
        <v>2445</v>
      </c>
      <c r="R1088" s="14" t="s">
        <v>2445</v>
      </c>
      <c r="S1088" s="14" t="s">
        <v>2446</v>
      </c>
      <c r="T1088" s="14" t="s">
        <v>2447</v>
      </c>
      <c r="U1088" s="15">
        <v>0.5</v>
      </c>
      <c r="V1088" s="10">
        <v>1</v>
      </c>
    </row>
    <row r="1089" spans="1:22" ht="18" customHeight="1" x14ac:dyDescent="0.35">
      <c r="A1089" s="10" t="s">
        <v>86</v>
      </c>
      <c r="B1089" s="10" t="s">
        <v>3273</v>
      </c>
      <c r="C1089" s="11" t="s">
        <v>3112</v>
      </c>
      <c r="D1089" s="11" t="s">
        <v>35</v>
      </c>
      <c r="E1089" s="12">
        <v>45671.999745370369</v>
      </c>
      <c r="F1089" s="10" t="str">
        <f>TEXT(events[[#This Row],[Start Date]],"DDD")</f>
        <v>Tue</v>
      </c>
      <c r="G1089" s="10">
        <f>YEAR(events[[#This Row],[Start Date]])</f>
        <v>2025</v>
      </c>
      <c r="H1089" s="10" t="str">
        <f>TEXT(events[[#This Row],[Start Date]],"mmm")</f>
        <v>Jan</v>
      </c>
      <c r="I1089" s="10" t="str">
        <f>CONCATENATE("WK_",WEEKNUM(events[[#This Row],[Start Date]]))</f>
        <v>WK_3</v>
      </c>
      <c r="J1089" s="12">
        <v>45672.019247685188</v>
      </c>
      <c r="K1089" s="10">
        <v>10.6</v>
      </c>
      <c r="L1089" s="10" t="s">
        <v>36</v>
      </c>
      <c r="M1089" s="10" t="s">
        <v>2681</v>
      </c>
      <c r="N1089" s="13">
        <f t="shared" si="16"/>
        <v>28.083333333333332</v>
      </c>
      <c r="O1089" s="14" t="s">
        <v>92</v>
      </c>
      <c r="P1089" s="14" t="s">
        <v>92</v>
      </c>
      <c r="Q1089" s="14" t="s">
        <v>2678</v>
      </c>
      <c r="R1089" s="14" t="s">
        <v>981</v>
      </c>
      <c r="S1089" s="14" t="s">
        <v>2682</v>
      </c>
      <c r="T1089" s="14" t="s">
        <v>2683</v>
      </c>
      <c r="U1089" s="15">
        <v>10.438000000000001</v>
      </c>
      <c r="V1089" s="10">
        <v>1</v>
      </c>
    </row>
    <row r="1090" spans="1:22" ht="18" customHeight="1" x14ac:dyDescent="0.35">
      <c r="A1090" s="10" t="s">
        <v>86</v>
      </c>
      <c r="B1090" s="10" t="s">
        <v>3273</v>
      </c>
      <c r="C1090" s="11" t="s">
        <v>3112</v>
      </c>
      <c r="D1090" s="11" t="s">
        <v>35</v>
      </c>
      <c r="E1090" s="12">
        <v>45671.958344907405</v>
      </c>
      <c r="F1090" s="10" t="str">
        <f>TEXT(events[[#This Row],[Start Date]],"DDD")</f>
        <v>Tue</v>
      </c>
      <c r="G1090" s="10">
        <f>YEAR(events[[#This Row],[Start Date]])</f>
        <v>2025</v>
      </c>
      <c r="H1090" s="10" t="str">
        <f>TEXT(events[[#This Row],[Start Date]],"mmm")</f>
        <v>Jan</v>
      </c>
      <c r="I1090" s="10" t="str">
        <f>CONCATENATE("WK_",WEEKNUM(events[[#This Row],[Start Date]]))</f>
        <v>WK_3</v>
      </c>
      <c r="J1090" s="12">
        <v>45671.99927083333</v>
      </c>
      <c r="K1090" s="10">
        <v>62.3</v>
      </c>
      <c r="L1090" s="10" t="s">
        <v>36</v>
      </c>
      <c r="M1090" s="10" t="s">
        <v>2677</v>
      </c>
      <c r="N1090" s="13">
        <f t="shared" ref="N1090:N1153" si="17">HOUR(M1090)*60+MINUTE(M1090)+SECOND(M1090)/60</f>
        <v>58.93333333333333</v>
      </c>
      <c r="O1090" s="14" t="s">
        <v>138</v>
      </c>
      <c r="P1090" s="14" t="s">
        <v>92</v>
      </c>
      <c r="Q1090" s="14" t="s">
        <v>242</v>
      </c>
      <c r="R1090" s="14" t="s">
        <v>2678</v>
      </c>
      <c r="S1090" s="14" t="s">
        <v>2679</v>
      </c>
      <c r="T1090" s="14" t="s">
        <v>2680</v>
      </c>
      <c r="U1090" s="15">
        <v>27.375</v>
      </c>
      <c r="V1090" s="10">
        <v>1</v>
      </c>
    </row>
    <row r="1091" spans="1:22" ht="18" customHeight="1" x14ac:dyDescent="0.35">
      <c r="A1091" s="10" t="s">
        <v>123</v>
      </c>
      <c r="B1091" s="10" t="s">
        <v>3180</v>
      </c>
      <c r="C1091" s="11" t="s">
        <v>2947</v>
      </c>
      <c r="D1091" s="11" t="s">
        <v>74</v>
      </c>
      <c r="E1091" s="12">
        <v>45671.51703703704</v>
      </c>
      <c r="F1091" s="10" t="str">
        <f>TEXT(events[[#This Row],[Start Date]],"DDD")</f>
        <v>Tue</v>
      </c>
      <c r="G1091" s="10">
        <f>YEAR(events[[#This Row],[Start Date]])</f>
        <v>2025</v>
      </c>
      <c r="H1091" s="10" t="str">
        <f>TEXT(events[[#This Row],[Start Date]],"mmm")</f>
        <v>Jan</v>
      </c>
      <c r="I1091" s="10" t="str">
        <f>CONCATENATE("WK_",WEEKNUM(events[[#This Row],[Start Date]]))</f>
        <v>WK_3</v>
      </c>
      <c r="J1091" s="12">
        <v>45671.517812500002</v>
      </c>
      <c r="K1091" s="10">
        <v>91</v>
      </c>
      <c r="L1091" s="10" t="s">
        <v>25</v>
      </c>
      <c r="M1091" s="10" t="s">
        <v>2490</v>
      </c>
      <c r="N1091" s="13">
        <f t="shared" si="17"/>
        <v>1.1000000000000001</v>
      </c>
      <c r="O1091" s="14"/>
      <c r="P1091" s="14"/>
      <c r="Q1091" s="14" t="s">
        <v>174</v>
      </c>
      <c r="R1091" s="14" t="s">
        <v>174</v>
      </c>
      <c r="S1091" s="14" t="s">
        <v>1131</v>
      </c>
      <c r="T1091" s="14" t="s">
        <v>2723</v>
      </c>
      <c r="U1091" s="15">
        <v>1.7</v>
      </c>
      <c r="V1091" s="10">
        <v>1</v>
      </c>
    </row>
    <row r="1092" spans="1:22" ht="18" customHeight="1" x14ac:dyDescent="0.35">
      <c r="A1092" s="10" t="s">
        <v>123</v>
      </c>
      <c r="B1092" s="10" t="s">
        <v>3177</v>
      </c>
      <c r="C1092" s="11" t="s">
        <v>2944</v>
      </c>
      <c r="D1092" s="11" t="s">
        <v>74</v>
      </c>
      <c r="E1092" s="12">
        <v>45671.463368055556</v>
      </c>
      <c r="F1092" s="10" t="str">
        <f>TEXT(events[[#This Row],[Start Date]],"DDD")</f>
        <v>Tue</v>
      </c>
      <c r="G1092" s="10">
        <f>YEAR(events[[#This Row],[Start Date]])</f>
        <v>2025</v>
      </c>
      <c r="H1092" s="10" t="str">
        <f>TEXT(events[[#This Row],[Start Date]],"mmm")</f>
        <v>Jan</v>
      </c>
      <c r="I1092" s="10" t="str">
        <f>CONCATENATE("WK_",WEEKNUM(events[[#This Row],[Start Date]]))</f>
        <v>WK_3</v>
      </c>
      <c r="J1092" s="12">
        <v>45671.464143518519</v>
      </c>
      <c r="K1092" s="10">
        <v>95</v>
      </c>
      <c r="L1092" s="10" t="s">
        <v>25</v>
      </c>
      <c r="M1092" s="10" t="s">
        <v>2490</v>
      </c>
      <c r="N1092" s="13">
        <f t="shared" si="17"/>
        <v>1.1000000000000001</v>
      </c>
      <c r="O1092" s="14"/>
      <c r="P1092" s="14"/>
      <c r="Q1092" s="14" t="s">
        <v>2724</v>
      </c>
      <c r="R1092" s="14" t="s">
        <v>2725</v>
      </c>
      <c r="S1092" s="14" t="s">
        <v>2726</v>
      </c>
      <c r="T1092" s="14" t="s">
        <v>2727</v>
      </c>
      <c r="U1092" s="15">
        <v>1.7</v>
      </c>
      <c r="V1092" s="10">
        <v>1</v>
      </c>
    </row>
    <row r="1093" spans="1:22" ht="18" customHeight="1" x14ac:dyDescent="0.35">
      <c r="A1093" s="10" t="s">
        <v>86</v>
      </c>
      <c r="B1093" s="10" t="s">
        <v>3372</v>
      </c>
      <c r="C1093" s="11" t="s">
        <v>3414</v>
      </c>
      <c r="D1093" s="11" t="s">
        <v>74</v>
      </c>
      <c r="E1093" s="12">
        <v>45671.45884259259</v>
      </c>
      <c r="F1093" s="10" t="str">
        <f>TEXT(events[[#This Row],[Start Date]],"DDD")</f>
        <v>Tue</v>
      </c>
      <c r="G1093" s="10">
        <f>YEAR(events[[#This Row],[Start Date]])</f>
        <v>2025</v>
      </c>
      <c r="H1093" s="10" t="str">
        <f>TEXT(events[[#This Row],[Start Date]],"mmm")</f>
        <v>Jan</v>
      </c>
      <c r="I1093" s="10" t="str">
        <f>CONCATENATE("WK_",WEEKNUM(events[[#This Row],[Start Date]]))</f>
        <v>WK_3</v>
      </c>
      <c r="J1093" s="12">
        <v>45671.458877314813</v>
      </c>
      <c r="K1093" s="10">
        <v>81</v>
      </c>
      <c r="L1093" s="10" t="s">
        <v>25</v>
      </c>
      <c r="M1093" s="10" t="s">
        <v>75</v>
      </c>
      <c r="N1093" s="13">
        <f t="shared" si="17"/>
        <v>0.05</v>
      </c>
      <c r="O1093" s="14" t="s">
        <v>138</v>
      </c>
      <c r="P1093" s="14" t="s">
        <v>138</v>
      </c>
      <c r="Q1093" s="14" t="s">
        <v>245</v>
      </c>
      <c r="R1093" s="14" t="s">
        <v>245</v>
      </c>
      <c r="S1093" s="14" t="s">
        <v>2711</v>
      </c>
      <c r="T1093" s="14" t="s">
        <v>2712</v>
      </c>
      <c r="U1093" s="15">
        <v>0.125</v>
      </c>
      <c r="V1093" s="10">
        <v>1</v>
      </c>
    </row>
    <row r="1094" spans="1:22" ht="18" customHeight="1" x14ac:dyDescent="0.35">
      <c r="A1094" s="10" t="s">
        <v>86</v>
      </c>
      <c r="B1094" s="10" t="s">
        <v>3372</v>
      </c>
      <c r="C1094" s="11" t="s">
        <v>3414</v>
      </c>
      <c r="D1094" s="11" t="s">
        <v>74</v>
      </c>
      <c r="E1094" s="12">
        <v>45671.400208333333</v>
      </c>
      <c r="F1094" s="10" t="str">
        <f>TEXT(events[[#This Row],[Start Date]],"DDD")</f>
        <v>Tue</v>
      </c>
      <c r="G1094" s="10">
        <f>YEAR(events[[#This Row],[Start Date]])</f>
        <v>2025</v>
      </c>
      <c r="H1094" s="10" t="str">
        <f>TEXT(events[[#This Row],[Start Date]],"mmm")</f>
        <v>Jan</v>
      </c>
      <c r="I1094" s="10" t="str">
        <f>CONCATENATE("WK_",WEEKNUM(events[[#This Row],[Start Date]]))</f>
        <v>WK_3</v>
      </c>
      <c r="J1094" s="12">
        <v>45671.400277777779</v>
      </c>
      <c r="K1094" s="10">
        <v>88</v>
      </c>
      <c r="L1094" s="10" t="s">
        <v>25</v>
      </c>
      <c r="M1094" s="10" t="s">
        <v>328</v>
      </c>
      <c r="N1094" s="13">
        <f t="shared" si="17"/>
        <v>0.1</v>
      </c>
      <c r="O1094" s="14" t="s">
        <v>92</v>
      </c>
      <c r="P1094" s="14" t="s">
        <v>92</v>
      </c>
      <c r="Q1094" s="14" t="s">
        <v>419</v>
      </c>
      <c r="R1094" s="14" t="s">
        <v>419</v>
      </c>
      <c r="S1094" s="14" t="s">
        <v>2709</v>
      </c>
      <c r="T1094" s="14" t="s">
        <v>2710</v>
      </c>
      <c r="U1094" s="15">
        <v>0.188</v>
      </c>
      <c r="V1094" s="10">
        <v>1</v>
      </c>
    </row>
    <row r="1095" spans="1:22" ht="18" customHeight="1" x14ac:dyDescent="0.35">
      <c r="A1095" s="10" t="s">
        <v>86</v>
      </c>
      <c r="B1095" s="10" t="s">
        <v>3273</v>
      </c>
      <c r="C1095" s="11" t="s">
        <v>3112</v>
      </c>
      <c r="D1095" s="11" t="s">
        <v>35</v>
      </c>
      <c r="E1095" s="12">
        <v>45670.973819444444</v>
      </c>
      <c r="F1095" s="10" t="str">
        <f>TEXT(events[[#This Row],[Start Date]],"DDD")</f>
        <v>Mon</v>
      </c>
      <c r="G1095" s="10">
        <f>YEAR(events[[#This Row],[Start Date]])</f>
        <v>2025</v>
      </c>
      <c r="H1095" s="10" t="str">
        <f>TEXT(events[[#This Row],[Start Date]],"mmm")</f>
        <v>Jan</v>
      </c>
      <c r="I1095" s="10" t="str">
        <f>CONCATENATE("WK_",WEEKNUM(events[[#This Row],[Start Date]]))</f>
        <v>WK_3</v>
      </c>
      <c r="J1095" s="12">
        <v>45671.019675925927</v>
      </c>
      <c r="K1095" s="10">
        <v>18.399999999999999</v>
      </c>
      <c r="L1095" s="10" t="s">
        <v>36</v>
      </c>
      <c r="M1095" s="10" t="s">
        <v>2672</v>
      </c>
      <c r="N1095" s="13">
        <f t="shared" si="17"/>
        <v>66.033333333333331</v>
      </c>
      <c r="O1095" s="14" t="s">
        <v>209</v>
      </c>
      <c r="P1095" s="14" t="s">
        <v>341</v>
      </c>
      <c r="Q1095" s="14" t="s">
        <v>2673</v>
      </c>
      <c r="R1095" s="14" t="s">
        <v>2674</v>
      </c>
      <c r="S1095" s="14" t="s">
        <v>2675</v>
      </c>
      <c r="T1095" s="14" t="s">
        <v>2676</v>
      </c>
      <c r="U1095" s="15">
        <v>18.187999999999999</v>
      </c>
      <c r="V1095" s="10">
        <v>1</v>
      </c>
    </row>
    <row r="1096" spans="1:22" ht="18" customHeight="1" x14ac:dyDescent="0.35">
      <c r="A1096" s="10" t="s">
        <v>23</v>
      </c>
      <c r="B1096" s="10" t="s">
        <v>3172</v>
      </c>
      <c r="C1096" s="11" t="s">
        <v>2939</v>
      </c>
      <c r="D1096" s="11" t="s">
        <v>82</v>
      </c>
      <c r="E1096" s="12">
        <v>45670.831817129627</v>
      </c>
      <c r="F1096" s="10" t="str">
        <f>TEXT(events[[#This Row],[Start Date]],"DDD")</f>
        <v>Mon</v>
      </c>
      <c r="G1096" s="10">
        <f>YEAR(events[[#This Row],[Start Date]])</f>
        <v>2025</v>
      </c>
      <c r="H1096" s="10" t="str">
        <f>TEXT(events[[#This Row],[Start Date]],"mmm")</f>
        <v>Jan</v>
      </c>
      <c r="I1096" s="10" t="str">
        <f>CONCATENATE("WK_",WEEKNUM(events[[#This Row],[Start Date]]))</f>
        <v>WK_3</v>
      </c>
      <c r="J1096" s="12">
        <v>45670.831828703704</v>
      </c>
      <c r="K1096" s="10">
        <v>17</v>
      </c>
      <c r="L1096" s="10" t="s">
        <v>83</v>
      </c>
      <c r="M1096" s="10" t="s">
        <v>26</v>
      </c>
      <c r="N1096" s="13">
        <f t="shared" si="17"/>
        <v>1.6666666666666666E-2</v>
      </c>
      <c r="O1096" s="14" t="s">
        <v>458</v>
      </c>
      <c r="P1096" s="14"/>
      <c r="Q1096" s="14" t="s">
        <v>459</v>
      </c>
      <c r="R1096" s="14"/>
      <c r="S1096" s="14" t="s">
        <v>2636</v>
      </c>
      <c r="T1096" s="14"/>
      <c r="U1096" s="15">
        <v>0</v>
      </c>
      <c r="V1096" s="10">
        <v>1</v>
      </c>
    </row>
    <row r="1097" spans="1:22" ht="18" customHeight="1" x14ac:dyDescent="0.35">
      <c r="A1097" s="10" t="s">
        <v>123</v>
      </c>
      <c r="B1097" s="10" t="s">
        <v>3192</v>
      </c>
      <c r="C1097" s="11" t="s">
        <v>2959</v>
      </c>
      <c r="D1097" s="11" t="s">
        <v>74</v>
      </c>
      <c r="E1097" s="12">
        <v>45670.739386574074</v>
      </c>
      <c r="F1097" s="10" t="str">
        <f>TEXT(events[[#This Row],[Start Date]],"DDD")</f>
        <v>Mon</v>
      </c>
      <c r="G1097" s="10">
        <f>YEAR(events[[#This Row],[Start Date]])</f>
        <v>2025</v>
      </c>
      <c r="H1097" s="10" t="str">
        <f>TEXT(events[[#This Row],[Start Date]],"mmm")</f>
        <v>Jan</v>
      </c>
      <c r="I1097" s="10" t="str">
        <f>CONCATENATE("WK_",WEEKNUM(events[[#This Row],[Start Date]]))</f>
        <v>WK_3</v>
      </c>
      <c r="J1097" s="12">
        <v>45670.740069444444</v>
      </c>
      <c r="K1097" s="10">
        <v>91</v>
      </c>
      <c r="L1097" s="10" t="s">
        <v>25</v>
      </c>
      <c r="M1097" s="10" t="s">
        <v>538</v>
      </c>
      <c r="N1097" s="13">
        <f t="shared" si="17"/>
        <v>0.98333333333333328</v>
      </c>
      <c r="O1097" s="14"/>
      <c r="P1097" s="14"/>
      <c r="Q1097" s="14" t="s">
        <v>805</v>
      </c>
      <c r="R1097" s="14" t="s">
        <v>805</v>
      </c>
      <c r="S1097" s="14" t="s">
        <v>2740</v>
      </c>
      <c r="T1097" s="14" t="s">
        <v>2741</v>
      </c>
      <c r="U1097" s="15">
        <v>1.5</v>
      </c>
      <c r="V1097" s="10">
        <v>1</v>
      </c>
    </row>
    <row r="1098" spans="1:22" ht="18" customHeight="1" x14ac:dyDescent="0.35">
      <c r="A1098" s="10" t="s">
        <v>86</v>
      </c>
      <c r="B1098" s="10" t="s">
        <v>3171</v>
      </c>
      <c r="C1098" s="11" t="s">
        <v>2933</v>
      </c>
      <c r="D1098" s="11" t="s">
        <v>24</v>
      </c>
      <c r="E1098" s="12">
        <v>45670.597754629627</v>
      </c>
      <c r="F1098" s="10" t="str">
        <f>TEXT(events[[#This Row],[Start Date]],"DDD")</f>
        <v>Mon</v>
      </c>
      <c r="G1098" s="10">
        <f>YEAR(events[[#This Row],[Start Date]])</f>
        <v>2025</v>
      </c>
      <c r="H1098" s="10" t="str">
        <f>TEXT(events[[#This Row],[Start Date]],"mmm")</f>
        <v>Jan</v>
      </c>
      <c r="I1098" s="10" t="str">
        <f>CONCATENATE("WK_",WEEKNUM(events[[#This Row],[Start Date]]))</f>
        <v>WK_3</v>
      </c>
      <c r="J1098" s="12">
        <v>45670.59783564815</v>
      </c>
      <c r="K1098" s="10">
        <v>41</v>
      </c>
      <c r="L1098" s="10" t="s">
        <v>25</v>
      </c>
      <c r="M1098" s="10" t="s">
        <v>115</v>
      </c>
      <c r="N1098" s="13">
        <f t="shared" si="17"/>
        <v>0.11666666666666667</v>
      </c>
      <c r="O1098" s="14" t="s">
        <v>27</v>
      </c>
      <c r="P1098" s="14" t="s">
        <v>27</v>
      </c>
      <c r="Q1098" s="14" t="s">
        <v>2669</v>
      </c>
      <c r="R1098" s="14" t="s">
        <v>2669</v>
      </c>
      <c r="S1098" s="14" t="s">
        <v>2670</v>
      </c>
      <c r="T1098" s="14" t="s">
        <v>2671</v>
      </c>
      <c r="U1098" s="15">
        <v>0.20300000000000001</v>
      </c>
      <c r="V1098" s="10">
        <v>1</v>
      </c>
    </row>
    <row r="1099" spans="1:22" ht="18" customHeight="1" x14ac:dyDescent="0.35">
      <c r="A1099" s="10" t="s">
        <v>86</v>
      </c>
      <c r="B1099" s="10" t="s">
        <v>3171</v>
      </c>
      <c r="C1099" s="11" t="s">
        <v>2933</v>
      </c>
      <c r="D1099" s="11" t="s">
        <v>24</v>
      </c>
      <c r="E1099" s="12">
        <v>45670.596400462964</v>
      </c>
      <c r="F1099" s="10" t="str">
        <f>TEXT(events[[#This Row],[Start Date]],"DDD")</f>
        <v>Mon</v>
      </c>
      <c r="G1099" s="10">
        <f>YEAR(events[[#This Row],[Start Date]])</f>
        <v>2025</v>
      </c>
      <c r="H1099" s="10" t="str">
        <f>TEXT(events[[#This Row],[Start Date]],"mmm")</f>
        <v>Jan</v>
      </c>
      <c r="I1099" s="10" t="str">
        <f>CONCATENATE("WK_",WEEKNUM(events[[#This Row],[Start Date]]))</f>
        <v>WK_3</v>
      </c>
      <c r="J1099" s="12">
        <v>45670.596412037034</v>
      </c>
      <c r="K1099" s="10">
        <v>32</v>
      </c>
      <c r="L1099" s="10" t="s">
        <v>25</v>
      </c>
      <c r="M1099" s="10" t="s">
        <v>26</v>
      </c>
      <c r="N1099" s="13">
        <f t="shared" si="17"/>
        <v>1.6666666666666666E-2</v>
      </c>
      <c r="O1099" s="14" t="s">
        <v>27</v>
      </c>
      <c r="P1099" s="14" t="s">
        <v>27</v>
      </c>
      <c r="Q1099" s="14" t="s">
        <v>71</v>
      </c>
      <c r="R1099" s="14" t="s">
        <v>71</v>
      </c>
      <c r="S1099" s="14" t="s">
        <v>2667</v>
      </c>
      <c r="T1099" s="14" t="s">
        <v>2668</v>
      </c>
      <c r="U1099" s="15">
        <v>9.4E-2</v>
      </c>
      <c r="V1099" s="10">
        <v>1</v>
      </c>
    </row>
    <row r="1100" spans="1:22" ht="18" customHeight="1" x14ac:dyDescent="0.35">
      <c r="A1100" s="10" t="s">
        <v>86</v>
      </c>
      <c r="B1100" s="10" t="s">
        <v>3224</v>
      </c>
      <c r="C1100" s="11" t="s">
        <v>3405</v>
      </c>
      <c r="D1100" s="11" t="s">
        <v>82</v>
      </c>
      <c r="E1100" s="12">
        <v>45670.496874999997</v>
      </c>
      <c r="F1100" s="10" t="str">
        <f>TEXT(events[[#This Row],[Start Date]],"DDD")</f>
        <v>Mon</v>
      </c>
      <c r="G1100" s="10">
        <f>YEAR(events[[#This Row],[Start Date]])</f>
        <v>2025</v>
      </c>
      <c r="H1100" s="10" t="str">
        <f>TEXT(events[[#This Row],[Start Date]],"mmm")</f>
        <v>Jan</v>
      </c>
      <c r="I1100" s="10" t="str">
        <f>CONCATENATE("WK_",WEEKNUM(events[[#This Row],[Start Date]]))</f>
        <v>WK_3</v>
      </c>
      <c r="J1100" s="12">
        <v>45670.496874999997</v>
      </c>
      <c r="K1100" s="10">
        <v>18</v>
      </c>
      <c r="L1100" s="10" t="s">
        <v>83</v>
      </c>
      <c r="M1100" s="10" t="s">
        <v>87</v>
      </c>
      <c r="N1100" s="13">
        <f t="shared" si="17"/>
        <v>0</v>
      </c>
      <c r="O1100" s="14" t="s">
        <v>65</v>
      </c>
      <c r="P1100" s="14" t="s">
        <v>65</v>
      </c>
      <c r="Q1100" s="14" t="s">
        <v>2691</v>
      </c>
      <c r="R1100" s="14" t="s">
        <v>2691</v>
      </c>
      <c r="S1100" s="14" t="s">
        <v>2692</v>
      </c>
      <c r="T1100" s="14" t="s">
        <v>2692</v>
      </c>
      <c r="U1100" s="15">
        <v>0</v>
      </c>
      <c r="V1100" s="10">
        <v>1</v>
      </c>
    </row>
    <row r="1101" spans="1:22" ht="18" customHeight="1" x14ac:dyDescent="0.35">
      <c r="A1101" s="10" t="s">
        <v>47</v>
      </c>
      <c r="B1101" s="10" t="s">
        <v>3216</v>
      </c>
      <c r="C1101" s="11" t="s">
        <v>3140</v>
      </c>
      <c r="D1101" s="11" t="s">
        <v>24</v>
      </c>
      <c r="E1101" s="12">
        <v>45670.413530092592</v>
      </c>
      <c r="F1101" s="10" t="str">
        <f>TEXT(events[[#This Row],[Start Date]],"DDD")</f>
        <v>Mon</v>
      </c>
      <c r="G1101" s="10">
        <f>YEAR(events[[#This Row],[Start Date]])</f>
        <v>2025</v>
      </c>
      <c r="H1101" s="10" t="str">
        <f>TEXT(events[[#This Row],[Start Date]],"mmm")</f>
        <v>Jan</v>
      </c>
      <c r="I1101" s="10" t="str">
        <f>CONCATENATE("WK_",WEEKNUM(events[[#This Row],[Start Date]]))</f>
        <v>WK_3</v>
      </c>
      <c r="J1101" s="12">
        <v>45670.413576388892</v>
      </c>
      <c r="K1101" s="10">
        <v>45</v>
      </c>
      <c r="L1101" s="10" t="s">
        <v>25</v>
      </c>
      <c r="M1101" s="10" t="s">
        <v>275</v>
      </c>
      <c r="N1101" s="13">
        <f t="shared" si="17"/>
        <v>6.6666666666666666E-2</v>
      </c>
      <c r="O1101" s="14" t="s">
        <v>65</v>
      </c>
      <c r="P1101" s="14" t="s">
        <v>65</v>
      </c>
      <c r="Q1101" s="14" t="s">
        <v>944</v>
      </c>
      <c r="R1101" s="14" t="s">
        <v>944</v>
      </c>
      <c r="S1101" s="14" t="s">
        <v>2648</v>
      </c>
      <c r="T1101" s="14" t="s">
        <v>2649</v>
      </c>
      <c r="U1101" s="15">
        <v>0</v>
      </c>
      <c r="V1101" s="10">
        <v>1</v>
      </c>
    </row>
    <row r="1102" spans="1:22" ht="18" customHeight="1" x14ac:dyDescent="0.35">
      <c r="A1102" s="10" t="s">
        <v>47</v>
      </c>
      <c r="B1102" s="10" t="s">
        <v>3216</v>
      </c>
      <c r="C1102" s="11" t="s">
        <v>3140</v>
      </c>
      <c r="D1102" s="11" t="s">
        <v>24</v>
      </c>
      <c r="E1102" s="12">
        <v>45670.384351851855</v>
      </c>
      <c r="F1102" s="10" t="str">
        <f>TEXT(events[[#This Row],[Start Date]],"DDD")</f>
        <v>Mon</v>
      </c>
      <c r="G1102" s="10">
        <f>YEAR(events[[#This Row],[Start Date]])</f>
        <v>2025</v>
      </c>
      <c r="H1102" s="10" t="str">
        <f>TEXT(events[[#This Row],[Start Date]],"mmm")</f>
        <v>Jan</v>
      </c>
      <c r="I1102" s="10" t="str">
        <f>CONCATENATE("WK_",WEEKNUM(events[[#This Row],[Start Date]]))</f>
        <v>WK_3</v>
      </c>
      <c r="J1102" s="12">
        <v>45670.384386574071</v>
      </c>
      <c r="K1102" s="10">
        <v>37</v>
      </c>
      <c r="L1102" s="10" t="s">
        <v>25</v>
      </c>
      <c r="M1102" s="10" t="s">
        <v>75</v>
      </c>
      <c r="N1102" s="13">
        <f t="shared" si="17"/>
        <v>0.05</v>
      </c>
      <c r="O1102" s="14" t="s">
        <v>27</v>
      </c>
      <c r="P1102" s="14" t="s">
        <v>27</v>
      </c>
      <c r="Q1102" s="14" t="s">
        <v>1092</v>
      </c>
      <c r="R1102" s="14" t="s">
        <v>571</v>
      </c>
      <c r="S1102" s="14" t="s">
        <v>2646</v>
      </c>
      <c r="T1102" s="14" t="s">
        <v>2647</v>
      </c>
      <c r="U1102" s="15">
        <v>0</v>
      </c>
      <c r="V1102" s="10">
        <v>1</v>
      </c>
    </row>
    <row r="1103" spans="1:22" ht="18" customHeight="1" x14ac:dyDescent="0.35">
      <c r="A1103" s="10" t="s">
        <v>47</v>
      </c>
      <c r="B1103" s="10" t="s">
        <v>3216</v>
      </c>
      <c r="C1103" s="11" t="s">
        <v>3140</v>
      </c>
      <c r="D1103" s="11" t="s">
        <v>24</v>
      </c>
      <c r="E1103" s="12">
        <v>45670.382928240739</v>
      </c>
      <c r="F1103" s="10" t="str">
        <f>TEXT(events[[#This Row],[Start Date]],"DDD")</f>
        <v>Mon</v>
      </c>
      <c r="G1103" s="10">
        <f>YEAR(events[[#This Row],[Start Date]])</f>
        <v>2025</v>
      </c>
      <c r="H1103" s="10" t="str">
        <f>TEXT(events[[#This Row],[Start Date]],"mmm")</f>
        <v>Jan</v>
      </c>
      <c r="I1103" s="10" t="str">
        <f>CONCATENATE("WK_",WEEKNUM(events[[#This Row],[Start Date]]))</f>
        <v>WK_3</v>
      </c>
      <c r="J1103" s="12">
        <v>45670.382962962962</v>
      </c>
      <c r="K1103" s="10">
        <v>40</v>
      </c>
      <c r="L1103" s="10" t="s">
        <v>25</v>
      </c>
      <c r="M1103" s="10" t="s">
        <v>75</v>
      </c>
      <c r="N1103" s="13">
        <f t="shared" si="17"/>
        <v>0.05</v>
      </c>
      <c r="O1103" s="14" t="s">
        <v>27</v>
      </c>
      <c r="P1103" s="14" t="s">
        <v>27</v>
      </c>
      <c r="Q1103" s="14" t="s">
        <v>1011</v>
      </c>
      <c r="R1103" s="14" t="s">
        <v>1011</v>
      </c>
      <c r="S1103" s="14" t="s">
        <v>2644</v>
      </c>
      <c r="T1103" s="14" t="s">
        <v>2645</v>
      </c>
      <c r="U1103" s="15">
        <v>0</v>
      </c>
      <c r="V1103" s="10">
        <v>1</v>
      </c>
    </row>
    <row r="1104" spans="1:22" ht="18" customHeight="1" x14ac:dyDescent="0.35">
      <c r="A1104" s="10" t="s">
        <v>123</v>
      </c>
      <c r="B1104" s="10" t="s">
        <v>3185</v>
      </c>
      <c r="C1104" s="11" t="s">
        <v>2953</v>
      </c>
      <c r="D1104" s="11" t="s">
        <v>74</v>
      </c>
      <c r="E1104" s="12">
        <v>45669.761608796296</v>
      </c>
      <c r="F1104" s="10" t="str">
        <f>TEXT(events[[#This Row],[Start Date]],"DDD")</f>
        <v>Sun</v>
      </c>
      <c r="G1104" s="10">
        <f>YEAR(events[[#This Row],[Start Date]])</f>
        <v>2025</v>
      </c>
      <c r="H1104" s="10" t="str">
        <f>TEXT(events[[#This Row],[Start Date]],"mmm")</f>
        <v>Jan</v>
      </c>
      <c r="I1104" s="10" t="str">
        <f>CONCATENATE("WK_",WEEKNUM(events[[#This Row],[Start Date]]))</f>
        <v>WK_3</v>
      </c>
      <c r="J1104" s="12">
        <v>45669.762442129628</v>
      </c>
      <c r="K1104" s="10">
        <v>89</v>
      </c>
      <c r="L1104" s="10" t="s">
        <v>25</v>
      </c>
      <c r="M1104" s="10" t="s">
        <v>2728</v>
      </c>
      <c r="N1104" s="13">
        <f t="shared" si="17"/>
        <v>1.2</v>
      </c>
      <c r="O1104" s="14"/>
      <c r="P1104" s="14"/>
      <c r="Q1104" s="14" t="s">
        <v>2729</v>
      </c>
      <c r="R1104" s="14" t="s">
        <v>2730</v>
      </c>
      <c r="S1104" s="14" t="s">
        <v>2731</v>
      </c>
      <c r="T1104" s="14" t="s">
        <v>2732</v>
      </c>
      <c r="U1104" s="15">
        <v>1.8</v>
      </c>
      <c r="V1104" s="10">
        <v>1</v>
      </c>
    </row>
    <row r="1105" spans="1:22" ht="18" customHeight="1" x14ac:dyDescent="0.35">
      <c r="A1105" s="10" t="s">
        <v>86</v>
      </c>
      <c r="B1105" s="10" t="s">
        <v>3372</v>
      </c>
      <c r="C1105" s="11" t="s">
        <v>3414</v>
      </c>
      <c r="D1105" s="11" t="s">
        <v>74</v>
      </c>
      <c r="E1105" s="12">
        <v>45669.335138888891</v>
      </c>
      <c r="F1105" s="10" t="str">
        <f>TEXT(events[[#This Row],[Start Date]],"DDD")</f>
        <v>Sun</v>
      </c>
      <c r="G1105" s="10">
        <f>YEAR(events[[#This Row],[Start Date]])</f>
        <v>2025</v>
      </c>
      <c r="H1105" s="10" t="str">
        <f>TEXT(events[[#This Row],[Start Date]],"mmm")</f>
        <v>Jan</v>
      </c>
      <c r="I1105" s="10" t="str">
        <f>CONCATENATE("WK_",WEEKNUM(events[[#This Row],[Start Date]]))</f>
        <v>WK_3</v>
      </c>
      <c r="J1105" s="12">
        <v>45669.335173611114</v>
      </c>
      <c r="K1105" s="10">
        <v>83</v>
      </c>
      <c r="L1105" s="10" t="s">
        <v>25</v>
      </c>
      <c r="M1105" s="10" t="s">
        <v>75</v>
      </c>
      <c r="N1105" s="13">
        <f t="shared" si="17"/>
        <v>0.05</v>
      </c>
      <c r="O1105" s="14" t="s">
        <v>50</v>
      </c>
      <c r="P1105" s="14" t="s">
        <v>50</v>
      </c>
      <c r="Q1105" s="14" t="s">
        <v>534</v>
      </c>
      <c r="R1105" s="14" t="s">
        <v>534</v>
      </c>
      <c r="S1105" s="14" t="s">
        <v>2707</v>
      </c>
      <c r="T1105" s="14" t="s">
        <v>2708</v>
      </c>
      <c r="U1105" s="15">
        <v>0.125</v>
      </c>
      <c r="V1105" s="10">
        <v>1</v>
      </c>
    </row>
    <row r="1106" spans="1:22" ht="18" customHeight="1" x14ac:dyDescent="0.35">
      <c r="A1106" s="10" t="s">
        <v>123</v>
      </c>
      <c r="B1106" s="10" t="s">
        <v>3192</v>
      </c>
      <c r="C1106" s="11" t="s">
        <v>2959</v>
      </c>
      <c r="D1106" s="11" t="s">
        <v>74</v>
      </c>
      <c r="E1106" s="12">
        <v>45669.08085648148</v>
      </c>
      <c r="F1106" s="10" t="str">
        <f>TEXT(events[[#This Row],[Start Date]],"DDD")</f>
        <v>Sun</v>
      </c>
      <c r="G1106" s="10">
        <f>YEAR(events[[#This Row],[Start Date]])</f>
        <v>2025</v>
      </c>
      <c r="H1106" s="10" t="str">
        <f>TEXT(events[[#This Row],[Start Date]],"mmm")</f>
        <v>Jan</v>
      </c>
      <c r="I1106" s="10" t="str">
        <f>CONCATENATE("WK_",WEEKNUM(events[[#This Row],[Start Date]]))</f>
        <v>WK_3</v>
      </c>
      <c r="J1106" s="12">
        <v>45669.081435185188</v>
      </c>
      <c r="K1106" s="10">
        <v>93</v>
      </c>
      <c r="L1106" s="10" t="s">
        <v>25</v>
      </c>
      <c r="M1106" s="10" t="s">
        <v>580</v>
      </c>
      <c r="N1106" s="13">
        <f t="shared" si="17"/>
        <v>0.83333333333333337</v>
      </c>
      <c r="O1106" s="14"/>
      <c r="P1106" s="14"/>
      <c r="Q1106" s="14" t="s">
        <v>808</v>
      </c>
      <c r="R1106" s="14" t="s">
        <v>809</v>
      </c>
      <c r="S1106" s="14" t="s">
        <v>2733</v>
      </c>
      <c r="T1106" s="14" t="s">
        <v>2734</v>
      </c>
      <c r="U1106" s="15">
        <v>1.2</v>
      </c>
      <c r="V1106" s="10">
        <v>1</v>
      </c>
    </row>
    <row r="1107" spans="1:22" ht="18" customHeight="1" x14ac:dyDescent="0.35">
      <c r="A1107" s="10" t="s">
        <v>86</v>
      </c>
      <c r="B1107" s="10" t="s">
        <v>3372</v>
      </c>
      <c r="C1107" s="11" t="s">
        <v>3414</v>
      </c>
      <c r="D1107" s="11" t="s">
        <v>74</v>
      </c>
      <c r="E1107" s="12">
        <v>45668.769803240742</v>
      </c>
      <c r="F1107" s="10" t="str">
        <f>TEXT(events[[#This Row],[Start Date]],"DDD")</f>
        <v>Sat</v>
      </c>
      <c r="G1107" s="10">
        <f>YEAR(events[[#This Row],[Start Date]])</f>
        <v>2025</v>
      </c>
      <c r="H1107" s="10" t="str">
        <f>TEXT(events[[#This Row],[Start Date]],"mmm")</f>
        <v>Jan</v>
      </c>
      <c r="I1107" s="10" t="str">
        <f>CONCATENATE("WK_",WEEKNUM(events[[#This Row],[Start Date]]))</f>
        <v>WK_2</v>
      </c>
      <c r="J1107" s="12">
        <v>45668.769872685189</v>
      </c>
      <c r="K1107" s="10">
        <v>85</v>
      </c>
      <c r="L1107" s="10" t="s">
        <v>25</v>
      </c>
      <c r="M1107" s="10" t="s">
        <v>328</v>
      </c>
      <c r="N1107" s="13">
        <f t="shared" si="17"/>
        <v>0.1</v>
      </c>
      <c r="O1107" s="14" t="s">
        <v>49</v>
      </c>
      <c r="P1107" s="14" t="s">
        <v>49</v>
      </c>
      <c r="Q1107" s="14" t="s">
        <v>974</v>
      </c>
      <c r="R1107" s="14" t="s">
        <v>974</v>
      </c>
      <c r="S1107" s="14" t="s">
        <v>2705</v>
      </c>
      <c r="T1107" s="14" t="s">
        <v>2706</v>
      </c>
      <c r="U1107" s="15">
        <v>0.125</v>
      </c>
      <c r="V1107" s="10">
        <v>1</v>
      </c>
    </row>
    <row r="1108" spans="1:22" ht="18" customHeight="1" x14ac:dyDescent="0.35">
      <c r="A1108" s="10" t="s">
        <v>86</v>
      </c>
      <c r="B1108" s="10" t="s">
        <v>3176</v>
      </c>
      <c r="C1108" s="11" t="s">
        <v>3426</v>
      </c>
      <c r="D1108" s="11" t="s">
        <v>74</v>
      </c>
      <c r="E1108" s="12">
        <v>45668.470312500001</v>
      </c>
      <c r="F1108" s="10" t="str">
        <f>TEXT(events[[#This Row],[Start Date]],"DDD")</f>
        <v>Sat</v>
      </c>
      <c r="G1108" s="10">
        <f>YEAR(events[[#This Row],[Start Date]])</f>
        <v>2025</v>
      </c>
      <c r="H1108" s="10" t="str">
        <f>TEXT(events[[#This Row],[Start Date]],"mmm")</f>
        <v>Jan</v>
      </c>
      <c r="I1108" s="10" t="str">
        <f>CONCATENATE("WK_",WEEKNUM(events[[#This Row],[Start Date]]))</f>
        <v>WK_2</v>
      </c>
      <c r="J1108" s="12">
        <v>45668.470324074071</v>
      </c>
      <c r="K1108" s="10">
        <v>82</v>
      </c>
      <c r="L1108" s="10" t="s">
        <v>25</v>
      </c>
      <c r="M1108" s="10" t="s">
        <v>26</v>
      </c>
      <c r="N1108" s="13">
        <f t="shared" si="17"/>
        <v>1.6666666666666666E-2</v>
      </c>
      <c r="O1108" s="14" t="s">
        <v>27</v>
      </c>
      <c r="P1108" s="14" t="s">
        <v>27</v>
      </c>
      <c r="Q1108" s="14" t="s">
        <v>758</v>
      </c>
      <c r="R1108" s="14" t="s">
        <v>758</v>
      </c>
      <c r="S1108" s="14" t="s">
        <v>2665</v>
      </c>
      <c r="T1108" s="14" t="s">
        <v>2666</v>
      </c>
      <c r="U1108" s="15">
        <v>0</v>
      </c>
      <c r="V1108" s="10">
        <v>1</v>
      </c>
    </row>
    <row r="1109" spans="1:22" ht="18" customHeight="1" x14ac:dyDescent="0.35">
      <c r="A1109" s="10" t="s">
        <v>86</v>
      </c>
      <c r="B1109" s="10" t="s">
        <v>3176</v>
      </c>
      <c r="C1109" s="11" t="s">
        <v>3426</v>
      </c>
      <c r="D1109" s="11" t="s">
        <v>74</v>
      </c>
      <c r="E1109" s="12">
        <v>45668.469502314816</v>
      </c>
      <c r="F1109" s="10" t="str">
        <f>TEXT(events[[#This Row],[Start Date]],"DDD")</f>
        <v>Sat</v>
      </c>
      <c r="G1109" s="10">
        <f>YEAR(events[[#This Row],[Start Date]])</f>
        <v>2025</v>
      </c>
      <c r="H1109" s="10" t="str">
        <f>TEXT(events[[#This Row],[Start Date]],"mmm")</f>
        <v>Jan</v>
      </c>
      <c r="I1109" s="10" t="str">
        <f>CONCATENATE("WK_",WEEKNUM(events[[#This Row],[Start Date]]))</f>
        <v>WK_2</v>
      </c>
      <c r="J1109" s="12">
        <v>45668.469594907408</v>
      </c>
      <c r="K1109" s="10">
        <v>83</v>
      </c>
      <c r="L1109" s="10" t="s">
        <v>25</v>
      </c>
      <c r="M1109" s="10" t="s">
        <v>357</v>
      </c>
      <c r="N1109" s="13">
        <f t="shared" si="17"/>
        <v>0.13333333333333333</v>
      </c>
      <c r="O1109" s="14" t="s">
        <v>27</v>
      </c>
      <c r="P1109" s="14" t="s">
        <v>27</v>
      </c>
      <c r="Q1109" s="14" t="s">
        <v>2662</v>
      </c>
      <c r="R1109" s="14" t="s">
        <v>2662</v>
      </c>
      <c r="S1109" s="14" t="s">
        <v>2663</v>
      </c>
      <c r="T1109" s="14" t="s">
        <v>2664</v>
      </c>
      <c r="U1109" s="15">
        <v>0.125</v>
      </c>
      <c r="V1109" s="10">
        <v>1</v>
      </c>
    </row>
    <row r="1110" spans="1:22" ht="18" customHeight="1" x14ac:dyDescent="0.35">
      <c r="A1110" s="10" t="s">
        <v>123</v>
      </c>
      <c r="B1110" s="10" t="s">
        <v>3160</v>
      </c>
      <c r="C1110" s="11" t="s">
        <v>2926</v>
      </c>
      <c r="D1110" s="11" t="s">
        <v>74</v>
      </c>
      <c r="E1110" s="12">
        <v>45668.355891203704</v>
      </c>
      <c r="F1110" s="10" t="str">
        <f>TEXT(events[[#This Row],[Start Date]],"DDD")</f>
        <v>Sat</v>
      </c>
      <c r="G1110" s="10">
        <f>YEAR(events[[#This Row],[Start Date]])</f>
        <v>2025</v>
      </c>
      <c r="H1110" s="10" t="str">
        <f>TEXT(events[[#This Row],[Start Date]],"mmm")</f>
        <v>Jan</v>
      </c>
      <c r="I1110" s="10" t="str">
        <f>CONCATENATE("WK_",WEEKNUM(events[[#This Row],[Start Date]]))</f>
        <v>WK_2</v>
      </c>
      <c r="J1110" s="12">
        <v>45668.356585648151</v>
      </c>
      <c r="K1110" s="10">
        <v>94</v>
      </c>
      <c r="L1110" s="10" t="s">
        <v>25</v>
      </c>
      <c r="M1110" s="10" t="s">
        <v>538</v>
      </c>
      <c r="N1110" s="13">
        <f t="shared" si="17"/>
        <v>0.98333333333333328</v>
      </c>
      <c r="O1110" s="14"/>
      <c r="P1110" s="14"/>
      <c r="Q1110" s="14" t="s">
        <v>174</v>
      </c>
      <c r="R1110" s="14" t="s">
        <v>174</v>
      </c>
      <c r="S1110" s="14" t="s">
        <v>2739</v>
      </c>
      <c r="T1110" s="14" t="s">
        <v>1865</v>
      </c>
      <c r="U1110" s="15">
        <v>1.5</v>
      </c>
      <c r="V1110" s="10">
        <v>1</v>
      </c>
    </row>
    <row r="1111" spans="1:22" ht="18" customHeight="1" x14ac:dyDescent="0.35">
      <c r="A1111" s="10" t="s">
        <v>86</v>
      </c>
      <c r="B1111" s="10" t="s">
        <v>3372</v>
      </c>
      <c r="C1111" s="11" t="s">
        <v>3414</v>
      </c>
      <c r="D1111" s="11" t="s">
        <v>74</v>
      </c>
      <c r="E1111" s="12">
        <v>45667.832430555558</v>
      </c>
      <c r="F1111" s="10" t="str">
        <f>TEXT(events[[#This Row],[Start Date]],"DDD")</f>
        <v>Fri</v>
      </c>
      <c r="G1111" s="10">
        <f>YEAR(events[[#This Row],[Start Date]])</f>
        <v>2025</v>
      </c>
      <c r="H1111" s="10" t="str">
        <f>TEXT(events[[#This Row],[Start Date]],"mmm")</f>
        <v>Jan</v>
      </c>
      <c r="I1111" s="10" t="str">
        <f>CONCATENATE("WK_",WEEKNUM(events[[#This Row],[Start Date]]))</f>
        <v>WK_2</v>
      </c>
      <c r="J1111" s="12">
        <v>45667.832442129627</v>
      </c>
      <c r="K1111" s="10">
        <v>81</v>
      </c>
      <c r="L1111" s="10" t="s">
        <v>25</v>
      </c>
      <c r="M1111" s="10" t="s">
        <v>26</v>
      </c>
      <c r="N1111" s="13">
        <f t="shared" si="17"/>
        <v>1.6666666666666666E-2</v>
      </c>
      <c r="O1111" s="14" t="s">
        <v>205</v>
      </c>
      <c r="P1111" s="14" t="s">
        <v>205</v>
      </c>
      <c r="Q1111" s="14" t="s">
        <v>206</v>
      </c>
      <c r="R1111" s="14" t="s">
        <v>206</v>
      </c>
      <c r="S1111" s="14" t="s">
        <v>2703</v>
      </c>
      <c r="T1111" s="14" t="s">
        <v>2704</v>
      </c>
      <c r="U1111" s="15">
        <v>0</v>
      </c>
      <c r="V1111" s="10">
        <v>1</v>
      </c>
    </row>
    <row r="1112" spans="1:22" ht="18" customHeight="1" x14ac:dyDescent="0.35">
      <c r="A1112" s="10" t="s">
        <v>86</v>
      </c>
      <c r="B1112" s="10" t="s">
        <v>3372</v>
      </c>
      <c r="C1112" s="11" t="s">
        <v>3414</v>
      </c>
      <c r="D1112" s="11" t="s">
        <v>74</v>
      </c>
      <c r="E1112" s="12">
        <v>45667.590937499997</v>
      </c>
      <c r="F1112" s="10" t="str">
        <f>TEXT(events[[#This Row],[Start Date]],"DDD")</f>
        <v>Fri</v>
      </c>
      <c r="G1112" s="10">
        <f>YEAR(events[[#This Row],[Start Date]])</f>
        <v>2025</v>
      </c>
      <c r="H1112" s="10" t="str">
        <f>TEXT(events[[#This Row],[Start Date]],"mmm")</f>
        <v>Jan</v>
      </c>
      <c r="I1112" s="10" t="str">
        <f>CONCATENATE("WK_",WEEKNUM(events[[#This Row],[Start Date]]))</f>
        <v>WK_2</v>
      </c>
      <c r="J1112" s="12">
        <v>45667.59103009259</v>
      </c>
      <c r="K1112" s="10">
        <v>82</v>
      </c>
      <c r="L1112" s="10" t="s">
        <v>25</v>
      </c>
      <c r="M1112" s="10" t="s">
        <v>357</v>
      </c>
      <c r="N1112" s="13">
        <f t="shared" si="17"/>
        <v>0.13333333333333333</v>
      </c>
      <c r="O1112" s="14" t="s">
        <v>965</v>
      </c>
      <c r="P1112" s="14" t="s">
        <v>965</v>
      </c>
      <c r="Q1112" s="14" t="s">
        <v>2700</v>
      </c>
      <c r="R1112" s="14" t="s">
        <v>2700</v>
      </c>
      <c r="S1112" s="14" t="s">
        <v>2701</v>
      </c>
      <c r="T1112" s="14" t="s">
        <v>2702</v>
      </c>
      <c r="U1112" s="15">
        <v>0.188</v>
      </c>
      <c r="V1112" s="10">
        <v>1</v>
      </c>
    </row>
    <row r="1113" spans="1:22" ht="18" customHeight="1" x14ac:dyDescent="0.35">
      <c r="A1113" s="10" t="s">
        <v>86</v>
      </c>
      <c r="B1113" s="10" t="s">
        <v>3213</v>
      </c>
      <c r="C1113" s="11" t="s">
        <v>3037</v>
      </c>
      <c r="D1113" s="11" t="s">
        <v>24</v>
      </c>
      <c r="E1113" s="12">
        <v>45667.578182870369</v>
      </c>
      <c r="F1113" s="10" t="str">
        <f>TEXT(events[[#This Row],[Start Date]],"DDD")</f>
        <v>Fri</v>
      </c>
      <c r="G1113" s="10">
        <f>YEAR(events[[#This Row],[Start Date]])</f>
        <v>2025</v>
      </c>
      <c r="H1113" s="10" t="str">
        <f>TEXT(events[[#This Row],[Start Date]],"mmm")</f>
        <v>Jan</v>
      </c>
      <c r="I1113" s="10" t="str">
        <f>CONCATENATE("WK_",WEEKNUM(events[[#This Row],[Start Date]]))</f>
        <v>WK_2</v>
      </c>
      <c r="J1113" s="12">
        <v>45667.578194444446</v>
      </c>
      <c r="K1113" s="10">
        <v>31</v>
      </c>
      <c r="L1113" s="10" t="s">
        <v>25</v>
      </c>
      <c r="M1113" s="10" t="s">
        <v>26</v>
      </c>
      <c r="N1113" s="13">
        <f t="shared" si="17"/>
        <v>1.6666666666666666E-2</v>
      </c>
      <c r="O1113" s="14" t="s">
        <v>27</v>
      </c>
      <c r="P1113" s="14" t="s">
        <v>27</v>
      </c>
      <c r="Q1113" s="14" t="s">
        <v>28</v>
      </c>
      <c r="R1113" s="14" t="s">
        <v>28</v>
      </c>
      <c r="S1113" s="14" t="s">
        <v>2660</v>
      </c>
      <c r="T1113" s="14" t="s">
        <v>2661</v>
      </c>
      <c r="U1113" s="15">
        <v>0</v>
      </c>
      <c r="V1113" s="10">
        <v>1</v>
      </c>
    </row>
    <row r="1114" spans="1:22" ht="18" customHeight="1" x14ac:dyDescent="0.35">
      <c r="A1114" s="10" t="s">
        <v>123</v>
      </c>
      <c r="B1114" s="10" t="s">
        <v>3198</v>
      </c>
      <c r="C1114" s="11" t="s">
        <v>2965</v>
      </c>
      <c r="D1114" s="11" t="s">
        <v>74</v>
      </c>
      <c r="E1114" s="12">
        <v>45667.568379629629</v>
      </c>
      <c r="F1114" s="10" t="str">
        <f>TEXT(events[[#This Row],[Start Date]],"DDD")</f>
        <v>Fri</v>
      </c>
      <c r="G1114" s="10">
        <f>YEAR(events[[#This Row],[Start Date]])</f>
        <v>2025</v>
      </c>
      <c r="H1114" s="10" t="str">
        <f>TEXT(events[[#This Row],[Start Date]],"mmm")</f>
        <v>Jan</v>
      </c>
      <c r="I1114" s="10" t="str">
        <f>CONCATENATE("WK_",WEEKNUM(events[[#This Row],[Start Date]]))</f>
        <v>WK_2</v>
      </c>
      <c r="J1114" s="12">
        <v>45667.569074074076</v>
      </c>
      <c r="K1114" s="10">
        <v>94</v>
      </c>
      <c r="L1114" s="10" t="s">
        <v>25</v>
      </c>
      <c r="M1114" s="10" t="s">
        <v>177</v>
      </c>
      <c r="N1114" s="13">
        <f t="shared" si="17"/>
        <v>1</v>
      </c>
      <c r="O1114" s="14"/>
      <c r="P1114" s="14"/>
      <c r="Q1114" s="14" t="s">
        <v>178</v>
      </c>
      <c r="R1114" s="14" t="s">
        <v>179</v>
      </c>
      <c r="S1114" s="14" t="s">
        <v>2746</v>
      </c>
      <c r="T1114" s="14" t="s">
        <v>2747</v>
      </c>
      <c r="U1114" s="15">
        <v>1.5</v>
      </c>
      <c r="V1114" s="10">
        <v>1</v>
      </c>
    </row>
    <row r="1115" spans="1:22" ht="18" customHeight="1" x14ac:dyDescent="0.35">
      <c r="A1115" s="10" t="s">
        <v>86</v>
      </c>
      <c r="B1115" s="10" t="s">
        <v>3372</v>
      </c>
      <c r="C1115" s="11" t="s">
        <v>3414</v>
      </c>
      <c r="D1115" s="11" t="s">
        <v>74</v>
      </c>
      <c r="E1115" s="12">
        <v>45667.550057870372</v>
      </c>
      <c r="F1115" s="10" t="str">
        <f>TEXT(events[[#This Row],[Start Date]],"DDD")</f>
        <v>Fri</v>
      </c>
      <c r="G1115" s="10">
        <f>YEAR(events[[#This Row],[Start Date]])</f>
        <v>2025</v>
      </c>
      <c r="H1115" s="10" t="str">
        <f>TEXT(events[[#This Row],[Start Date]],"mmm")</f>
        <v>Jan</v>
      </c>
      <c r="I1115" s="10" t="str">
        <f>CONCATENATE("WK_",WEEKNUM(events[[#This Row],[Start Date]]))</f>
        <v>WK_2</v>
      </c>
      <c r="J1115" s="12">
        <v>45667.550162037034</v>
      </c>
      <c r="K1115" s="10">
        <v>84</v>
      </c>
      <c r="L1115" s="10" t="s">
        <v>25</v>
      </c>
      <c r="M1115" s="10" t="s">
        <v>414</v>
      </c>
      <c r="N1115" s="13">
        <f t="shared" si="17"/>
        <v>0.15</v>
      </c>
      <c r="O1115" s="14" t="s">
        <v>50</v>
      </c>
      <c r="P1115" s="14" t="s">
        <v>50</v>
      </c>
      <c r="Q1115" s="14" t="s">
        <v>112</v>
      </c>
      <c r="R1115" s="14" t="s">
        <v>2697</v>
      </c>
      <c r="S1115" s="14" t="s">
        <v>2698</v>
      </c>
      <c r="T1115" s="14" t="s">
        <v>2699</v>
      </c>
      <c r="U1115" s="15">
        <v>0.188</v>
      </c>
      <c r="V1115" s="10">
        <v>1</v>
      </c>
    </row>
    <row r="1116" spans="1:22" ht="18" customHeight="1" x14ac:dyDescent="0.35">
      <c r="A1116" s="10" t="s">
        <v>47</v>
      </c>
      <c r="B1116" s="10" t="s">
        <v>3216</v>
      </c>
      <c r="C1116" s="11" t="s">
        <v>3140</v>
      </c>
      <c r="D1116" s="11" t="s">
        <v>24</v>
      </c>
      <c r="E1116" s="12">
        <v>45667.444236111114</v>
      </c>
      <c r="F1116" s="10" t="str">
        <f>TEXT(events[[#This Row],[Start Date]],"DDD")</f>
        <v>Fri</v>
      </c>
      <c r="G1116" s="10">
        <f>YEAR(events[[#This Row],[Start Date]])</f>
        <v>2025</v>
      </c>
      <c r="H1116" s="10" t="str">
        <f>TEXT(events[[#This Row],[Start Date]],"mmm")</f>
        <v>Jan</v>
      </c>
      <c r="I1116" s="10" t="str">
        <f>CONCATENATE("WK_",WEEKNUM(events[[#This Row],[Start Date]]))</f>
        <v>WK_2</v>
      </c>
      <c r="J1116" s="12">
        <v>45667.444247685184</v>
      </c>
      <c r="K1116" s="10">
        <v>33</v>
      </c>
      <c r="L1116" s="10" t="s">
        <v>25</v>
      </c>
      <c r="M1116" s="10" t="s">
        <v>26</v>
      </c>
      <c r="N1116" s="13">
        <f t="shared" si="17"/>
        <v>1.6666666666666666E-2</v>
      </c>
      <c r="O1116" s="14" t="s">
        <v>92</v>
      </c>
      <c r="P1116" s="14" t="s">
        <v>92</v>
      </c>
      <c r="Q1116" s="14" t="s">
        <v>750</v>
      </c>
      <c r="R1116" s="14" t="s">
        <v>750</v>
      </c>
      <c r="S1116" s="14" t="s">
        <v>2642</v>
      </c>
      <c r="T1116" s="14" t="s">
        <v>2643</v>
      </c>
      <c r="U1116" s="15">
        <v>0</v>
      </c>
      <c r="V1116" s="10">
        <v>1</v>
      </c>
    </row>
    <row r="1117" spans="1:22" ht="18" customHeight="1" x14ac:dyDescent="0.35">
      <c r="A1117" s="10" t="s">
        <v>86</v>
      </c>
      <c r="B1117" s="10" t="s">
        <v>3220</v>
      </c>
      <c r="C1117" s="11" t="s">
        <v>2988</v>
      </c>
      <c r="D1117" s="11" t="s">
        <v>35</v>
      </c>
      <c r="E1117" s="12">
        <v>45666.958344907405</v>
      </c>
      <c r="F1117" s="10" t="str">
        <f>TEXT(events[[#This Row],[Start Date]],"DDD")</f>
        <v>Thu</v>
      </c>
      <c r="G1117" s="10">
        <f>YEAR(events[[#This Row],[Start Date]])</f>
        <v>2025</v>
      </c>
      <c r="H1117" s="10" t="str">
        <f>TEXT(events[[#This Row],[Start Date]],"mmm")</f>
        <v>Jan</v>
      </c>
      <c r="I1117" s="10" t="str">
        <f>CONCATENATE("WK_",WEEKNUM(events[[#This Row],[Start Date]]))</f>
        <v>WK_2</v>
      </c>
      <c r="J1117" s="12">
        <v>45666.983622685184</v>
      </c>
      <c r="K1117" s="10">
        <v>119.3</v>
      </c>
      <c r="L1117" s="10" t="s">
        <v>36</v>
      </c>
      <c r="M1117" s="10" t="s">
        <v>2686</v>
      </c>
      <c r="N1117" s="13">
        <f t="shared" si="17"/>
        <v>36.4</v>
      </c>
      <c r="O1117" s="14" t="s">
        <v>341</v>
      </c>
      <c r="P1117" s="14" t="s">
        <v>341</v>
      </c>
      <c r="Q1117" s="14" t="s">
        <v>2687</v>
      </c>
      <c r="R1117" s="14" t="s">
        <v>2688</v>
      </c>
      <c r="S1117" s="14" t="s">
        <v>2689</v>
      </c>
      <c r="T1117" s="14" t="s">
        <v>2690</v>
      </c>
      <c r="U1117" s="15">
        <v>5.6879999999999997</v>
      </c>
      <c r="V1117" s="10">
        <v>1</v>
      </c>
    </row>
    <row r="1118" spans="1:22" ht="18" customHeight="1" x14ac:dyDescent="0.35">
      <c r="A1118" s="10" t="s">
        <v>47</v>
      </c>
      <c r="B1118" s="10" t="s">
        <v>3252</v>
      </c>
      <c r="C1118" s="11" t="s">
        <v>3022</v>
      </c>
      <c r="D1118" s="11" t="s">
        <v>35</v>
      </c>
      <c r="E1118" s="12">
        <v>45666.958333333336</v>
      </c>
      <c r="F1118" s="10" t="str">
        <f>TEXT(events[[#This Row],[Start Date]],"DDD")</f>
        <v>Thu</v>
      </c>
      <c r="G1118" s="10">
        <f>YEAR(events[[#This Row],[Start Date]])</f>
        <v>2025</v>
      </c>
      <c r="H1118" s="10" t="str">
        <f>TEXT(events[[#This Row],[Start Date]],"mmm")</f>
        <v>Jan</v>
      </c>
      <c r="I1118" s="10" t="str">
        <f>CONCATENATE("WK_",WEEKNUM(events[[#This Row],[Start Date]]))</f>
        <v>WK_2</v>
      </c>
      <c r="J1118" s="12">
        <v>45666.970208333332</v>
      </c>
      <c r="K1118" s="10">
        <v>123.7</v>
      </c>
      <c r="L1118" s="10" t="s">
        <v>36</v>
      </c>
      <c r="M1118" s="10" t="s">
        <v>2655</v>
      </c>
      <c r="N1118" s="13">
        <f t="shared" si="17"/>
        <v>17.100000000000001</v>
      </c>
      <c r="O1118" s="14" t="s">
        <v>341</v>
      </c>
      <c r="P1118" s="14" t="s">
        <v>341</v>
      </c>
      <c r="Q1118" s="14" t="s">
        <v>2656</v>
      </c>
      <c r="R1118" s="14" t="s">
        <v>2657</v>
      </c>
      <c r="S1118" s="14" t="s">
        <v>2658</v>
      </c>
      <c r="T1118" s="14" t="s">
        <v>2659</v>
      </c>
      <c r="U1118" s="15">
        <v>7.2969999999999997</v>
      </c>
      <c r="V1118" s="10">
        <v>1</v>
      </c>
    </row>
    <row r="1119" spans="1:22" ht="18" customHeight="1" x14ac:dyDescent="0.35">
      <c r="A1119" s="10" t="s">
        <v>123</v>
      </c>
      <c r="B1119" s="10" t="s">
        <v>3305</v>
      </c>
      <c r="C1119" s="11" t="s">
        <v>3091</v>
      </c>
      <c r="D1119" s="11" t="s">
        <v>74</v>
      </c>
      <c r="E1119" s="12">
        <v>45666.837893518517</v>
      </c>
      <c r="F1119" s="10" t="str">
        <f>TEXT(events[[#This Row],[Start Date]],"DDD")</f>
        <v>Thu</v>
      </c>
      <c r="G1119" s="10">
        <f>YEAR(events[[#This Row],[Start Date]])</f>
        <v>2025</v>
      </c>
      <c r="H1119" s="10" t="str">
        <f>TEXT(events[[#This Row],[Start Date]],"mmm")</f>
        <v>Jan</v>
      </c>
      <c r="I1119" s="10" t="str">
        <f>CONCATENATE("WK_",WEEKNUM(events[[#This Row],[Start Date]]))</f>
        <v>WK_2</v>
      </c>
      <c r="J1119" s="12">
        <v>45666.838159722225</v>
      </c>
      <c r="K1119" s="10">
        <v>92</v>
      </c>
      <c r="L1119" s="10" t="s">
        <v>25</v>
      </c>
      <c r="M1119" s="10" t="s">
        <v>583</v>
      </c>
      <c r="N1119" s="13">
        <f t="shared" si="17"/>
        <v>0.38333333333333336</v>
      </c>
      <c r="O1119" s="14"/>
      <c r="P1119" s="14"/>
      <c r="Q1119" s="14" t="s">
        <v>366</v>
      </c>
      <c r="R1119" s="14" t="s">
        <v>366</v>
      </c>
      <c r="S1119" s="14" t="s">
        <v>2742</v>
      </c>
      <c r="T1119" s="14" t="s">
        <v>2743</v>
      </c>
      <c r="U1119" s="15">
        <v>0.7</v>
      </c>
      <c r="V1119" s="10">
        <v>1</v>
      </c>
    </row>
    <row r="1120" spans="1:22" ht="18" customHeight="1" x14ac:dyDescent="0.35">
      <c r="A1120" s="10" t="s">
        <v>123</v>
      </c>
      <c r="B1120" s="10" t="s">
        <v>3179</v>
      </c>
      <c r="C1120" s="11" t="s">
        <v>2946</v>
      </c>
      <c r="D1120" s="11" t="s">
        <v>74</v>
      </c>
      <c r="E1120" s="12">
        <v>45666.74863425926</v>
      </c>
      <c r="F1120" s="10" t="str">
        <f>TEXT(events[[#This Row],[Start Date]],"DDD")</f>
        <v>Thu</v>
      </c>
      <c r="G1120" s="10">
        <f>YEAR(events[[#This Row],[Start Date]])</f>
        <v>2025</v>
      </c>
      <c r="H1120" s="10" t="str">
        <f>TEXT(events[[#This Row],[Start Date]],"mmm")</f>
        <v>Jan</v>
      </c>
      <c r="I1120" s="10" t="str">
        <f>CONCATENATE("WK_",WEEKNUM(events[[#This Row],[Start Date]]))</f>
        <v>WK_2</v>
      </c>
      <c r="J1120" s="12">
        <v>45666.749675925923</v>
      </c>
      <c r="K1120" s="10">
        <v>92</v>
      </c>
      <c r="L1120" s="10" t="s">
        <v>25</v>
      </c>
      <c r="M1120" s="10" t="s">
        <v>365</v>
      </c>
      <c r="N1120" s="13">
        <f t="shared" si="17"/>
        <v>1.5</v>
      </c>
      <c r="O1120" s="14"/>
      <c r="P1120" s="14"/>
      <c r="Q1120" s="14" t="s">
        <v>304</v>
      </c>
      <c r="R1120" s="14" t="s">
        <v>304</v>
      </c>
      <c r="S1120" s="14" t="s">
        <v>2744</v>
      </c>
      <c r="T1120" s="14" t="s">
        <v>2745</v>
      </c>
      <c r="U1120" s="15">
        <v>2.2000000000000002</v>
      </c>
      <c r="V1120" s="10">
        <v>1</v>
      </c>
    </row>
    <row r="1121" spans="1:22" ht="18" customHeight="1" x14ac:dyDescent="0.35">
      <c r="A1121" s="10" t="s">
        <v>86</v>
      </c>
      <c r="B1121" s="10" t="s">
        <v>3348</v>
      </c>
      <c r="C1121" s="11" t="s">
        <v>3427</v>
      </c>
      <c r="D1121" s="11" t="s">
        <v>74</v>
      </c>
      <c r="E1121" s="12">
        <v>45666.421493055554</v>
      </c>
      <c r="F1121" s="10" t="str">
        <f>TEXT(events[[#This Row],[Start Date]],"DDD")</f>
        <v>Thu</v>
      </c>
      <c r="G1121" s="10">
        <f>YEAR(events[[#This Row],[Start Date]])</f>
        <v>2025</v>
      </c>
      <c r="H1121" s="10" t="str">
        <f>TEXT(events[[#This Row],[Start Date]],"mmm")</f>
        <v>Jan</v>
      </c>
      <c r="I1121" s="10" t="str">
        <f>CONCATENATE("WK_",WEEKNUM(events[[#This Row],[Start Date]]))</f>
        <v>WK_2</v>
      </c>
      <c r="J1121" s="12">
        <v>45666.421527777777</v>
      </c>
      <c r="K1121" s="10">
        <v>83</v>
      </c>
      <c r="L1121" s="10" t="s">
        <v>25</v>
      </c>
      <c r="M1121" s="10" t="s">
        <v>75</v>
      </c>
      <c r="N1121" s="13">
        <f t="shared" si="17"/>
        <v>0.05</v>
      </c>
      <c r="O1121" s="14" t="s">
        <v>50</v>
      </c>
      <c r="P1121" s="14" t="s">
        <v>50</v>
      </c>
      <c r="Q1121" s="14" t="s">
        <v>434</v>
      </c>
      <c r="R1121" s="14" t="s">
        <v>434</v>
      </c>
      <c r="S1121" s="14" t="s">
        <v>2717</v>
      </c>
      <c r="T1121" s="14" t="s">
        <v>2718</v>
      </c>
      <c r="U1121" s="15">
        <v>6.2E-2</v>
      </c>
      <c r="V1121" s="10">
        <v>1</v>
      </c>
    </row>
    <row r="1122" spans="1:22" ht="18" customHeight="1" x14ac:dyDescent="0.35">
      <c r="A1122" s="10" t="s">
        <v>86</v>
      </c>
      <c r="B1122" s="10" t="s">
        <v>3344</v>
      </c>
      <c r="C1122" s="11" t="s">
        <v>3139</v>
      </c>
      <c r="D1122" s="11" t="s">
        <v>74</v>
      </c>
      <c r="E1122" s="12">
        <v>45666.353159722225</v>
      </c>
      <c r="F1122" s="10" t="str">
        <f>TEXT(events[[#This Row],[Start Date]],"DDD")</f>
        <v>Thu</v>
      </c>
      <c r="G1122" s="10">
        <f>YEAR(events[[#This Row],[Start Date]])</f>
        <v>2025</v>
      </c>
      <c r="H1122" s="10" t="str">
        <f>TEXT(events[[#This Row],[Start Date]],"mmm")</f>
        <v>Jan</v>
      </c>
      <c r="I1122" s="10" t="str">
        <f>CONCATENATE("WK_",WEEKNUM(events[[#This Row],[Start Date]]))</f>
        <v>WK_2</v>
      </c>
      <c r="J1122" s="12">
        <v>45666.353182870371</v>
      </c>
      <c r="K1122" s="10">
        <v>82</v>
      </c>
      <c r="L1122" s="10" t="s">
        <v>25</v>
      </c>
      <c r="M1122" s="10" t="s">
        <v>31</v>
      </c>
      <c r="N1122" s="13">
        <f t="shared" si="17"/>
        <v>3.3333333333333333E-2</v>
      </c>
      <c r="O1122" s="14" t="s">
        <v>92</v>
      </c>
      <c r="P1122" s="14" t="s">
        <v>92</v>
      </c>
      <c r="Q1122" s="14" t="s">
        <v>419</v>
      </c>
      <c r="R1122" s="14" t="s">
        <v>419</v>
      </c>
      <c r="S1122" s="14" t="s">
        <v>2721</v>
      </c>
      <c r="T1122" s="14" t="s">
        <v>2722</v>
      </c>
      <c r="U1122" s="15">
        <v>0.125</v>
      </c>
      <c r="V1122" s="10">
        <v>1</v>
      </c>
    </row>
    <row r="1123" spans="1:22" ht="18" customHeight="1" x14ac:dyDescent="0.35">
      <c r="A1123" s="10" t="s">
        <v>86</v>
      </c>
      <c r="B1123" s="10" t="s">
        <v>3344</v>
      </c>
      <c r="C1123" s="11" t="s">
        <v>3139</v>
      </c>
      <c r="D1123" s="11" t="s">
        <v>74</v>
      </c>
      <c r="E1123" s="12">
        <v>45666.352488425924</v>
      </c>
      <c r="F1123" s="10" t="str">
        <f>TEXT(events[[#This Row],[Start Date]],"DDD")</f>
        <v>Thu</v>
      </c>
      <c r="G1123" s="10">
        <f>YEAR(events[[#This Row],[Start Date]])</f>
        <v>2025</v>
      </c>
      <c r="H1123" s="10" t="str">
        <f>TEXT(events[[#This Row],[Start Date]],"mmm")</f>
        <v>Jan</v>
      </c>
      <c r="I1123" s="10" t="str">
        <f>CONCATENATE("WK_",WEEKNUM(events[[#This Row],[Start Date]]))</f>
        <v>WK_2</v>
      </c>
      <c r="J1123" s="12">
        <v>45666.352835648147</v>
      </c>
      <c r="K1123" s="10">
        <v>97</v>
      </c>
      <c r="L1123" s="10" t="s">
        <v>25</v>
      </c>
      <c r="M1123" s="10" t="s">
        <v>999</v>
      </c>
      <c r="N1123" s="13">
        <f t="shared" si="17"/>
        <v>0.5</v>
      </c>
      <c r="O1123" s="14" t="s">
        <v>92</v>
      </c>
      <c r="P1123" s="14" t="s">
        <v>92</v>
      </c>
      <c r="Q1123" s="14" t="s">
        <v>1089</v>
      </c>
      <c r="R1123" s="14" t="s">
        <v>419</v>
      </c>
      <c r="S1123" s="14" t="s">
        <v>2719</v>
      </c>
      <c r="T1123" s="14" t="s">
        <v>2720</v>
      </c>
      <c r="U1123" s="15">
        <v>0.625</v>
      </c>
      <c r="V1123" s="10">
        <v>1</v>
      </c>
    </row>
    <row r="1124" spans="1:22" ht="18" customHeight="1" x14ac:dyDescent="0.35">
      <c r="A1124" s="10" t="s">
        <v>47</v>
      </c>
      <c r="B1124" s="10" t="s">
        <v>3252</v>
      </c>
      <c r="C1124" s="11" t="s">
        <v>3022</v>
      </c>
      <c r="D1124" s="11" t="s">
        <v>35</v>
      </c>
      <c r="E1124" s="12">
        <v>45665.958333333336</v>
      </c>
      <c r="F1124" s="10" t="str">
        <f>TEXT(events[[#This Row],[Start Date]],"DDD")</f>
        <v>Wed</v>
      </c>
      <c r="G1124" s="10">
        <f>YEAR(events[[#This Row],[Start Date]])</f>
        <v>2025</v>
      </c>
      <c r="H1124" s="10" t="str">
        <f>TEXT(events[[#This Row],[Start Date]],"mmm")</f>
        <v>Jan</v>
      </c>
      <c r="I1124" s="10" t="str">
        <f>CONCATENATE("WK_",WEEKNUM(events[[#This Row],[Start Date]]))</f>
        <v>WK_2</v>
      </c>
      <c r="J1124" s="12">
        <v>45665.986458333333</v>
      </c>
      <c r="K1124" s="10">
        <v>54.7</v>
      </c>
      <c r="L1124" s="10" t="s">
        <v>36</v>
      </c>
      <c r="M1124" s="10" t="s">
        <v>2652</v>
      </c>
      <c r="N1124" s="13">
        <f t="shared" si="17"/>
        <v>40.5</v>
      </c>
      <c r="O1124" s="14" t="s">
        <v>50</v>
      </c>
      <c r="P1124" s="14" t="s">
        <v>965</v>
      </c>
      <c r="Q1124" s="14" t="s">
        <v>112</v>
      </c>
      <c r="R1124" s="14" t="s">
        <v>966</v>
      </c>
      <c r="S1124" s="14" t="s">
        <v>2653</v>
      </c>
      <c r="T1124" s="14" t="s">
        <v>2654</v>
      </c>
      <c r="U1124" s="15">
        <v>25.5</v>
      </c>
      <c r="V1124" s="10">
        <v>1</v>
      </c>
    </row>
    <row r="1125" spans="1:22" ht="18" customHeight="1" x14ac:dyDescent="0.35">
      <c r="A1125" s="10" t="s">
        <v>47</v>
      </c>
      <c r="B1125" s="10" t="s">
        <v>3292</v>
      </c>
      <c r="C1125" s="11" t="s">
        <v>3078</v>
      </c>
      <c r="D1125" s="11" t="s">
        <v>24</v>
      </c>
      <c r="E1125" s="12">
        <v>45665.737291666665</v>
      </c>
      <c r="F1125" s="10" t="str">
        <f>TEXT(events[[#This Row],[Start Date]],"DDD")</f>
        <v>Wed</v>
      </c>
      <c r="G1125" s="10">
        <f>YEAR(events[[#This Row],[Start Date]])</f>
        <v>2025</v>
      </c>
      <c r="H1125" s="10" t="str">
        <f>TEXT(events[[#This Row],[Start Date]],"mmm")</f>
        <v>Jan</v>
      </c>
      <c r="I1125" s="10" t="str">
        <f>CONCATENATE("WK_",WEEKNUM(events[[#This Row],[Start Date]]))</f>
        <v>WK_2</v>
      </c>
      <c r="J1125" s="12">
        <v>45665.737384259257</v>
      </c>
      <c r="K1125" s="10">
        <v>37</v>
      </c>
      <c r="L1125" s="10" t="s">
        <v>25</v>
      </c>
      <c r="M1125" s="10" t="s">
        <v>357</v>
      </c>
      <c r="N1125" s="13">
        <f t="shared" si="17"/>
        <v>0.13333333333333333</v>
      </c>
      <c r="O1125" s="14" t="s">
        <v>92</v>
      </c>
      <c r="P1125" s="14" t="s">
        <v>92</v>
      </c>
      <c r="Q1125" s="14" t="s">
        <v>881</v>
      </c>
      <c r="R1125" s="14" t="s">
        <v>881</v>
      </c>
      <c r="S1125" s="14" t="s">
        <v>2640</v>
      </c>
      <c r="T1125" s="14" t="s">
        <v>2641</v>
      </c>
      <c r="U1125" s="15">
        <v>9.4E-2</v>
      </c>
      <c r="V1125" s="10">
        <v>1</v>
      </c>
    </row>
    <row r="1126" spans="1:22" ht="18" customHeight="1" x14ac:dyDescent="0.35">
      <c r="A1126" s="10" t="s">
        <v>47</v>
      </c>
      <c r="B1126" s="10" t="s">
        <v>3292</v>
      </c>
      <c r="C1126" s="11" t="s">
        <v>3078</v>
      </c>
      <c r="D1126" s="11" t="s">
        <v>24</v>
      </c>
      <c r="E1126" s="12">
        <v>45665.736041666663</v>
      </c>
      <c r="F1126" s="10" t="str">
        <f>TEXT(events[[#This Row],[Start Date]],"DDD")</f>
        <v>Wed</v>
      </c>
      <c r="G1126" s="10">
        <f>YEAR(events[[#This Row],[Start Date]])</f>
        <v>2025</v>
      </c>
      <c r="H1126" s="10" t="str">
        <f>TEXT(events[[#This Row],[Start Date]],"mmm")</f>
        <v>Jan</v>
      </c>
      <c r="I1126" s="10" t="str">
        <f>CONCATENATE("WK_",WEEKNUM(events[[#This Row],[Start Date]]))</f>
        <v>WK_2</v>
      </c>
      <c r="J1126" s="12">
        <v>45665.736076388886</v>
      </c>
      <c r="K1126" s="10">
        <v>33</v>
      </c>
      <c r="L1126" s="10" t="s">
        <v>25</v>
      </c>
      <c r="M1126" s="10" t="s">
        <v>75</v>
      </c>
      <c r="N1126" s="13">
        <f t="shared" si="17"/>
        <v>0.05</v>
      </c>
      <c r="O1126" s="14" t="s">
        <v>92</v>
      </c>
      <c r="P1126" s="14" t="s">
        <v>92</v>
      </c>
      <c r="Q1126" s="14" t="s">
        <v>2637</v>
      </c>
      <c r="R1126" s="14" t="s">
        <v>2637</v>
      </c>
      <c r="S1126" s="14" t="s">
        <v>2638</v>
      </c>
      <c r="T1126" s="14" t="s">
        <v>2639</v>
      </c>
      <c r="U1126" s="15">
        <v>0</v>
      </c>
      <c r="V1126" s="10">
        <v>1</v>
      </c>
    </row>
    <row r="1127" spans="1:22" ht="18" customHeight="1" x14ac:dyDescent="0.35">
      <c r="A1127" s="10" t="s">
        <v>47</v>
      </c>
      <c r="B1127" s="10" t="s">
        <v>3268</v>
      </c>
      <c r="C1127" s="11" t="s">
        <v>3044</v>
      </c>
      <c r="D1127" s="11" t="s">
        <v>82</v>
      </c>
      <c r="E1127" s="12">
        <v>45665.498240740744</v>
      </c>
      <c r="F1127" s="10" t="str">
        <f>TEXT(events[[#This Row],[Start Date]],"DDD")</f>
        <v>Wed</v>
      </c>
      <c r="G1127" s="10">
        <f>YEAR(events[[#This Row],[Start Date]])</f>
        <v>2025</v>
      </c>
      <c r="H1127" s="10" t="str">
        <f>TEXT(events[[#This Row],[Start Date]],"mmm")</f>
        <v>Jan</v>
      </c>
      <c r="I1127" s="10" t="str">
        <f>CONCATENATE("WK_",WEEKNUM(events[[#This Row],[Start Date]]))</f>
        <v>WK_2</v>
      </c>
      <c r="J1127" s="12">
        <v>45665.498252314814</v>
      </c>
      <c r="K1127" s="10">
        <v>19</v>
      </c>
      <c r="L1127" s="10" t="s">
        <v>83</v>
      </c>
      <c r="M1127" s="10" t="s">
        <v>26</v>
      </c>
      <c r="N1127" s="13">
        <f t="shared" si="17"/>
        <v>1.6666666666666666E-2</v>
      </c>
      <c r="O1127" s="14" t="s">
        <v>681</v>
      </c>
      <c r="P1127" s="14"/>
      <c r="Q1127" s="14" t="s">
        <v>2650</v>
      </c>
      <c r="R1127" s="14"/>
      <c r="S1127" s="14" t="s">
        <v>2651</v>
      </c>
      <c r="T1127" s="14"/>
      <c r="U1127" s="15">
        <v>0</v>
      </c>
      <c r="V1127" s="10">
        <v>1</v>
      </c>
    </row>
    <row r="1128" spans="1:22" ht="18" customHeight="1" x14ac:dyDescent="0.35">
      <c r="A1128" s="10" t="s">
        <v>123</v>
      </c>
      <c r="B1128" s="10" t="s">
        <v>3369</v>
      </c>
      <c r="C1128" s="11" t="s">
        <v>3403</v>
      </c>
      <c r="D1128" s="11" t="s">
        <v>74</v>
      </c>
      <c r="E1128" s="12">
        <v>45665.355925925927</v>
      </c>
      <c r="F1128" s="10" t="str">
        <f>TEXT(events[[#This Row],[Start Date]],"DDD")</f>
        <v>Wed</v>
      </c>
      <c r="G1128" s="10">
        <f>YEAR(events[[#This Row],[Start Date]])</f>
        <v>2025</v>
      </c>
      <c r="H1128" s="10" t="str">
        <f>TEXT(events[[#This Row],[Start Date]],"mmm")</f>
        <v>Jan</v>
      </c>
      <c r="I1128" s="10" t="str">
        <f>CONCATENATE("WK_",WEEKNUM(events[[#This Row],[Start Date]]))</f>
        <v>WK_2</v>
      </c>
      <c r="J1128" s="12">
        <v>45665.356504629628</v>
      </c>
      <c r="K1128" s="10">
        <v>95</v>
      </c>
      <c r="L1128" s="10" t="s">
        <v>25</v>
      </c>
      <c r="M1128" s="10" t="s">
        <v>489</v>
      </c>
      <c r="N1128" s="13">
        <f t="shared" si="17"/>
        <v>0.81666666666666665</v>
      </c>
      <c r="O1128" s="14"/>
      <c r="P1128" s="14"/>
      <c r="Q1128" s="14" t="s">
        <v>125</v>
      </c>
      <c r="R1128" s="14" t="s">
        <v>125</v>
      </c>
      <c r="S1128" s="14" t="s">
        <v>2737</v>
      </c>
      <c r="T1128" s="14" t="s">
        <v>2738</v>
      </c>
      <c r="U1128" s="15">
        <v>1.2</v>
      </c>
      <c r="V1128" s="10">
        <v>1</v>
      </c>
    </row>
    <row r="1129" spans="1:22" ht="18" customHeight="1" x14ac:dyDescent="0.35">
      <c r="A1129" s="10" t="s">
        <v>86</v>
      </c>
      <c r="B1129" s="10" t="s">
        <v>3348</v>
      </c>
      <c r="C1129" s="11" t="s">
        <v>3427</v>
      </c>
      <c r="D1129" s="11" t="s">
        <v>74</v>
      </c>
      <c r="E1129" s="12">
        <v>45665.310254629629</v>
      </c>
      <c r="F1129" s="10" t="str">
        <f>TEXT(events[[#This Row],[Start Date]],"DDD")</f>
        <v>Wed</v>
      </c>
      <c r="G1129" s="10">
        <f>YEAR(events[[#This Row],[Start Date]])</f>
        <v>2025</v>
      </c>
      <c r="H1129" s="10" t="str">
        <f>TEXT(events[[#This Row],[Start Date]],"mmm")</f>
        <v>Jan</v>
      </c>
      <c r="I1129" s="10" t="str">
        <f>CONCATENATE("WK_",WEEKNUM(events[[#This Row],[Start Date]]))</f>
        <v>WK_2</v>
      </c>
      <c r="J1129" s="12">
        <v>45665.31050925926</v>
      </c>
      <c r="K1129" s="10">
        <v>88</v>
      </c>
      <c r="L1129" s="10" t="s">
        <v>25</v>
      </c>
      <c r="M1129" s="10" t="s">
        <v>1079</v>
      </c>
      <c r="N1129" s="13">
        <f t="shared" si="17"/>
        <v>0.36666666666666664</v>
      </c>
      <c r="O1129" s="14" t="s">
        <v>205</v>
      </c>
      <c r="P1129" s="14" t="s">
        <v>205</v>
      </c>
      <c r="Q1129" s="14" t="s">
        <v>2713</v>
      </c>
      <c r="R1129" s="14" t="s">
        <v>2714</v>
      </c>
      <c r="S1129" s="14" t="s">
        <v>2715</v>
      </c>
      <c r="T1129" s="14" t="s">
        <v>2716</v>
      </c>
      <c r="U1129" s="15">
        <v>0.5</v>
      </c>
      <c r="V1129" s="10">
        <v>1</v>
      </c>
    </row>
    <row r="1130" spans="1:22" ht="18" customHeight="1" x14ac:dyDescent="0.35">
      <c r="A1130" s="10" t="s">
        <v>86</v>
      </c>
      <c r="B1130" s="10" t="s">
        <v>3181</v>
      </c>
      <c r="C1130" s="11" t="s">
        <v>3112</v>
      </c>
      <c r="D1130" s="11" t="s">
        <v>678</v>
      </c>
      <c r="E1130" s="12">
        <v>45665.306423611109</v>
      </c>
      <c r="F1130" s="10" t="str">
        <f>TEXT(events[[#This Row],[Start Date]],"DDD")</f>
        <v>Wed</v>
      </c>
      <c r="G1130" s="10">
        <f>YEAR(events[[#This Row],[Start Date]])</f>
        <v>2025</v>
      </c>
      <c r="H1130" s="10" t="str">
        <f>TEXT(events[[#This Row],[Start Date]],"mmm")</f>
        <v>Jan</v>
      </c>
      <c r="I1130" s="10" t="str">
        <f>CONCATENATE("WK_",WEEKNUM(events[[#This Row],[Start Date]]))</f>
        <v>WK_2</v>
      </c>
      <c r="J1130" s="12">
        <v>45665.306423611109</v>
      </c>
      <c r="K1130" s="10">
        <v>11</v>
      </c>
      <c r="L1130" s="10" t="s">
        <v>83</v>
      </c>
      <c r="M1130" s="10" t="s">
        <v>87</v>
      </c>
      <c r="N1130" s="13">
        <f t="shared" si="17"/>
        <v>0</v>
      </c>
      <c r="O1130" s="14" t="s">
        <v>861</v>
      </c>
      <c r="P1130" s="14" t="s">
        <v>861</v>
      </c>
      <c r="Q1130" s="14" t="s">
        <v>2684</v>
      </c>
      <c r="R1130" s="14" t="s">
        <v>2684</v>
      </c>
      <c r="S1130" s="14" t="s">
        <v>2685</v>
      </c>
      <c r="T1130" s="14" t="s">
        <v>2685</v>
      </c>
      <c r="U1130" s="15">
        <v>0</v>
      </c>
      <c r="V1130" s="10">
        <v>1</v>
      </c>
    </row>
    <row r="1131" spans="1:22" ht="18" customHeight="1" x14ac:dyDescent="0.35">
      <c r="A1131" s="10" t="s">
        <v>123</v>
      </c>
      <c r="B1131" s="10" t="s">
        <v>3241</v>
      </c>
      <c r="C1131" s="11" t="s">
        <v>3009</v>
      </c>
      <c r="D1131" s="11" t="s">
        <v>74</v>
      </c>
      <c r="E1131" s="12">
        <v>45665.252627314818</v>
      </c>
      <c r="F1131" s="10" t="str">
        <f>TEXT(events[[#This Row],[Start Date]],"DDD")</f>
        <v>Wed</v>
      </c>
      <c r="G1131" s="10">
        <f>YEAR(events[[#This Row],[Start Date]])</f>
        <v>2025</v>
      </c>
      <c r="H1131" s="10" t="str">
        <f>TEXT(events[[#This Row],[Start Date]],"mmm")</f>
        <v>Jan</v>
      </c>
      <c r="I1131" s="10" t="str">
        <f>CONCATENATE("WK_",WEEKNUM(events[[#This Row],[Start Date]]))</f>
        <v>WK_2</v>
      </c>
      <c r="J1131" s="12">
        <v>45665.253206018519</v>
      </c>
      <c r="K1131" s="10">
        <v>96</v>
      </c>
      <c r="L1131" s="10" t="s">
        <v>25</v>
      </c>
      <c r="M1131" s="10" t="s">
        <v>489</v>
      </c>
      <c r="N1131" s="13">
        <f t="shared" si="17"/>
        <v>0.81666666666666665</v>
      </c>
      <c r="O1131" s="14"/>
      <c r="P1131" s="14"/>
      <c r="Q1131" s="14" t="s">
        <v>280</v>
      </c>
      <c r="R1131" s="14" t="s">
        <v>280</v>
      </c>
      <c r="S1131" s="14" t="s">
        <v>2735</v>
      </c>
      <c r="T1131" s="14" t="s">
        <v>2736</v>
      </c>
      <c r="U1131" s="15">
        <v>1.2</v>
      </c>
      <c r="V1131" s="10">
        <v>1</v>
      </c>
    </row>
    <row r="1132" spans="1:22" ht="18" customHeight="1" x14ac:dyDescent="0.35">
      <c r="A1132" s="10" t="s">
        <v>86</v>
      </c>
      <c r="B1132" s="10" t="s">
        <v>3372</v>
      </c>
      <c r="C1132" s="11" t="s">
        <v>3414</v>
      </c>
      <c r="D1132" s="11" t="s">
        <v>74</v>
      </c>
      <c r="E1132" s="12">
        <v>45665.007951388892</v>
      </c>
      <c r="F1132" s="10" t="str">
        <f>TEXT(events[[#This Row],[Start Date]],"DDD")</f>
        <v>Wed</v>
      </c>
      <c r="G1132" s="10">
        <f>YEAR(events[[#This Row],[Start Date]])</f>
        <v>2025</v>
      </c>
      <c r="H1132" s="10" t="str">
        <f>TEXT(events[[#This Row],[Start Date]],"mmm")</f>
        <v>Jan</v>
      </c>
      <c r="I1132" s="10" t="str">
        <f>CONCATENATE("WK_",WEEKNUM(events[[#This Row],[Start Date]]))</f>
        <v>WK_2</v>
      </c>
      <c r="J1132" s="12">
        <v>45665.008136574077</v>
      </c>
      <c r="K1132" s="10">
        <v>95</v>
      </c>
      <c r="L1132" s="10" t="s">
        <v>25</v>
      </c>
      <c r="M1132" s="10" t="s">
        <v>353</v>
      </c>
      <c r="N1132" s="13">
        <f t="shared" si="17"/>
        <v>0.26666666666666666</v>
      </c>
      <c r="O1132" s="14" t="s">
        <v>27</v>
      </c>
      <c r="P1132" s="14" t="s">
        <v>27</v>
      </c>
      <c r="Q1132" s="14" t="s">
        <v>288</v>
      </c>
      <c r="R1132" s="14" t="s">
        <v>288</v>
      </c>
      <c r="S1132" s="14" t="s">
        <v>2695</v>
      </c>
      <c r="T1132" s="14" t="s">
        <v>2696</v>
      </c>
      <c r="U1132" s="15">
        <v>0.375</v>
      </c>
      <c r="V1132" s="10">
        <v>1</v>
      </c>
    </row>
    <row r="1133" spans="1:22" ht="18" customHeight="1" x14ac:dyDescent="0.35">
      <c r="A1133" s="10" t="s">
        <v>86</v>
      </c>
      <c r="B1133" s="10" t="s">
        <v>3372</v>
      </c>
      <c r="C1133" s="11" t="s">
        <v>3414</v>
      </c>
      <c r="D1133" s="11" t="s">
        <v>74</v>
      </c>
      <c r="E1133" s="12">
        <v>45665.002210648148</v>
      </c>
      <c r="F1133" s="10" t="str">
        <f>TEXT(events[[#This Row],[Start Date]],"DDD")</f>
        <v>Wed</v>
      </c>
      <c r="G1133" s="10">
        <f>YEAR(events[[#This Row],[Start Date]])</f>
        <v>2025</v>
      </c>
      <c r="H1133" s="10" t="str">
        <f>TEXT(events[[#This Row],[Start Date]],"mmm")</f>
        <v>Jan</v>
      </c>
      <c r="I1133" s="10" t="str">
        <f>CONCATENATE("WK_",WEEKNUM(events[[#This Row],[Start Date]]))</f>
        <v>WK_2</v>
      </c>
      <c r="J1133" s="12">
        <v>45665.002256944441</v>
      </c>
      <c r="K1133" s="10">
        <v>84</v>
      </c>
      <c r="L1133" s="10" t="s">
        <v>25</v>
      </c>
      <c r="M1133" s="10" t="s">
        <v>275</v>
      </c>
      <c r="N1133" s="13">
        <f t="shared" si="17"/>
        <v>6.6666666666666666E-2</v>
      </c>
      <c r="O1133" s="14" t="s">
        <v>27</v>
      </c>
      <c r="P1133" s="14" t="s">
        <v>27</v>
      </c>
      <c r="Q1133" s="14" t="s">
        <v>288</v>
      </c>
      <c r="R1133" s="14" t="s">
        <v>288</v>
      </c>
      <c r="S1133" s="14" t="s">
        <v>2693</v>
      </c>
      <c r="T1133" s="14" t="s">
        <v>2694</v>
      </c>
      <c r="U1133" s="15">
        <v>6.2E-2</v>
      </c>
      <c r="V1133" s="10">
        <v>1</v>
      </c>
    </row>
    <row r="1134" spans="1:22" ht="18" customHeight="1" x14ac:dyDescent="0.35">
      <c r="A1134" s="10" t="s">
        <v>123</v>
      </c>
      <c r="B1134" s="10" t="s">
        <v>3269</v>
      </c>
      <c r="C1134" s="11" t="s">
        <v>3045</v>
      </c>
      <c r="D1134" s="11" t="s">
        <v>74</v>
      </c>
      <c r="E1134" s="12">
        <v>45664.971030092594</v>
      </c>
      <c r="F1134" s="10" t="str">
        <f>TEXT(events[[#This Row],[Start Date]],"DDD")</f>
        <v>Tue</v>
      </c>
      <c r="G1134" s="10">
        <f>YEAR(events[[#This Row],[Start Date]])</f>
        <v>2025</v>
      </c>
      <c r="H1134" s="10" t="str">
        <f>TEXT(events[[#This Row],[Start Date]],"mmm")</f>
        <v>Jan</v>
      </c>
      <c r="I1134" s="10" t="str">
        <f>CONCATENATE("WK_",WEEKNUM(events[[#This Row],[Start Date]]))</f>
        <v>WK_2</v>
      </c>
      <c r="J1134" s="12">
        <v>45664.972025462965</v>
      </c>
      <c r="K1134" s="10">
        <v>106</v>
      </c>
      <c r="L1134" s="10" t="s">
        <v>25</v>
      </c>
      <c r="M1134" s="10" t="s">
        <v>2823</v>
      </c>
      <c r="N1134" s="13">
        <f t="shared" si="17"/>
        <v>1.4166666666666667</v>
      </c>
      <c r="O1134" s="14"/>
      <c r="P1134" s="14"/>
      <c r="Q1134" s="14" t="s">
        <v>2445</v>
      </c>
      <c r="R1134" s="14" t="s">
        <v>2824</v>
      </c>
      <c r="S1134" s="14" t="s">
        <v>2825</v>
      </c>
      <c r="T1134" s="14" t="s">
        <v>2826</v>
      </c>
      <c r="U1134" s="15">
        <v>2.1</v>
      </c>
      <c r="V1134" s="10">
        <v>1</v>
      </c>
    </row>
    <row r="1135" spans="1:22" ht="18" customHeight="1" x14ac:dyDescent="0.35">
      <c r="A1135" s="10" t="s">
        <v>86</v>
      </c>
      <c r="B1135" s="10" t="s">
        <v>3372</v>
      </c>
      <c r="C1135" s="11" t="s">
        <v>3414</v>
      </c>
      <c r="D1135" s="11" t="s">
        <v>74</v>
      </c>
      <c r="E1135" s="12">
        <v>45664.961747685185</v>
      </c>
      <c r="F1135" s="10" t="str">
        <f>TEXT(events[[#This Row],[Start Date]],"DDD")</f>
        <v>Tue</v>
      </c>
      <c r="G1135" s="10">
        <f>YEAR(events[[#This Row],[Start Date]])</f>
        <v>2025</v>
      </c>
      <c r="H1135" s="10" t="str">
        <f>TEXT(events[[#This Row],[Start Date]],"mmm")</f>
        <v>Jan</v>
      </c>
      <c r="I1135" s="10" t="str">
        <f>CONCATENATE("WK_",WEEKNUM(events[[#This Row],[Start Date]]))</f>
        <v>WK_2</v>
      </c>
      <c r="J1135" s="12">
        <v>45664.961759259262</v>
      </c>
      <c r="K1135" s="10">
        <v>81</v>
      </c>
      <c r="L1135" s="10" t="s">
        <v>25</v>
      </c>
      <c r="M1135" s="10" t="s">
        <v>26</v>
      </c>
      <c r="N1135" s="13">
        <f t="shared" si="17"/>
        <v>1.6666666666666666E-2</v>
      </c>
      <c r="O1135" s="14" t="s">
        <v>38</v>
      </c>
      <c r="P1135" s="14" t="s">
        <v>38</v>
      </c>
      <c r="Q1135" s="14" t="s">
        <v>2781</v>
      </c>
      <c r="R1135" s="14" t="s">
        <v>2781</v>
      </c>
      <c r="S1135" s="14" t="s">
        <v>2811</v>
      </c>
      <c r="T1135" s="14" t="s">
        <v>2812</v>
      </c>
      <c r="U1135" s="15">
        <v>0</v>
      </c>
      <c r="V1135" s="10">
        <v>1</v>
      </c>
    </row>
    <row r="1136" spans="1:22" ht="18" customHeight="1" x14ac:dyDescent="0.35">
      <c r="A1136" s="10" t="s">
        <v>86</v>
      </c>
      <c r="B1136" s="10" t="s">
        <v>3372</v>
      </c>
      <c r="C1136" s="11" t="s">
        <v>3414</v>
      </c>
      <c r="D1136" s="11" t="s">
        <v>35</v>
      </c>
      <c r="E1136" s="12">
        <v>45664.958333333336</v>
      </c>
      <c r="F1136" s="10" t="str">
        <f>TEXT(events[[#This Row],[Start Date]],"DDD")</f>
        <v>Tue</v>
      </c>
      <c r="G1136" s="10">
        <f>YEAR(events[[#This Row],[Start Date]])</f>
        <v>2025</v>
      </c>
      <c r="H1136" s="10" t="str">
        <f>TEXT(events[[#This Row],[Start Date]],"mmm")</f>
        <v>Jan</v>
      </c>
      <c r="I1136" s="10" t="str">
        <f>CONCATENATE("WK_",WEEKNUM(events[[#This Row],[Start Date]]))</f>
        <v>WK_2</v>
      </c>
      <c r="J1136" s="12">
        <v>45665.036874999998</v>
      </c>
      <c r="K1136" s="10">
        <v>331</v>
      </c>
      <c r="L1136" s="10" t="s">
        <v>36</v>
      </c>
      <c r="M1136" s="10" t="s">
        <v>2780</v>
      </c>
      <c r="N1136" s="13">
        <f t="shared" si="17"/>
        <v>113.1</v>
      </c>
      <c r="O1136" s="14" t="s">
        <v>38</v>
      </c>
      <c r="P1136" s="14" t="s">
        <v>92</v>
      </c>
      <c r="Q1136" s="14" t="s">
        <v>2781</v>
      </c>
      <c r="R1136" s="14" t="s">
        <v>750</v>
      </c>
      <c r="S1136" s="14" t="s">
        <v>2782</v>
      </c>
      <c r="T1136" s="14" t="s">
        <v>2783</v>
      </c>
      <c r="U1136" s="15">
        <v>60</v>
      </c>
      <c r="V1136" s="10">
        <v>1</v>
      </c>
    </row>
    <row r="1137" spans="1:22" ht="18" customHeight="1" x14ac:dyDescent="0.35">
      <c r="A1137" s="10" t="s">
        <v>86</v>
      </c>
      <c r="B1137" s="10" t="s">
        <v>3372</v>
      </c>
      <c r="C1137" s="11" t="s">
        <v>3414</v>
      </c>
      <c r="D1137" s="11" t="s">
        <v>74</v>
      </c>
      <c r="E1137" s="12">
        <v>45664.957615740743</v>
      </c>
      <c r="F1137" s="10" t="str">
        <f>TEXT(events[[#This Row],[Start Date]],"DDD")</f>
        <v>Tue</v>
      </c>
      <c r="G1137" s="10">
        <f>YEAR(events[[#This Row],[Start Date]])</f>
        <v>2025</v>
      </c>
      <c r="H1137" s="10" t="str">
        <f>TEXT(events[[#This Row],[Start Date]],"mmm")</f>
        <v>Jan</v>
      </c>
      <c r="I1137" s="10" t="str">
        <f>CONCATENATE("WK_",WEEKNUM(events[[#This Row],[Start Date]]))</f>
        <v>WK_2</v>
      </c>
      <c r="J1137" s="12">
        <v>45664.957754629628</v>
      </c>
      <c r="K1137" s="10">
        <v>86</v>
      </c>
      <c r="L1137" s="10" t="s">
        <v>25</v>
      </c>
      <c r="M1137" s="10" t="s">
        <v>1111</v>
      </c>
      <c r="N1137" s="13">
        <f t="shared" si="17"/>
        <v>0.2</v>
      </c>
      <c r="O1137" s="14" t="s">
        <v>38</v>
      </c>
      <c r="P1137" s="14" t="s">
        <v>38</v>
      </c>
      <c r="Q1137" s="14" t="s">
        <v>294</v>
      </c>
      <c r="R1137" s="14" t="s">
        <v>2781</v>
      </c>
      <c r="S1137" s="14" t="s">
        <v>2809</v>
      </c>
      <c r="T1137" s="14" t="s">
        <v>2810</v>
      </c>
      <c r="U1137" s="15">
        <v>0.312</v>
      </c>
      <c r="V1137" s="10">
        <v>1</v>
      </c>
    </row>
    <row r="1138" spans="1:22" ht="18" customHeight="1" x14ac:dyDescent="0.35">
      <c r="A1138" s="10" t="s">
        <v>86</v>
      </c>
      <c r="B1138" s="10" t="s">
        <v>3372</v>
      </c>
      <c r="C1138" s="11" t="s">
        <v>3414</v>
      </c>
      <c r="D1138" s="11" t="s">
        <v>74</v>
      </c>
      <c r="E1138" s="12">
        <v>45664.957453703704</v>
      </c>
      <c r="F1138" s="10" t="str">
        <f>TEXT(events[[#This Row],[Start Date]],"DDD")</f>
        <v>Tue</v>
      </c>
      <c r="G1138" s="10">
        <f>YEAR(events[[#This Row],[Start Date]])</f>
        <v>2025</v>
      </c>
      <c r="H1138" s="10" t="str">
        <f>TEXT(events[[#This Row],[Start Date]],"mmm")</f>
        <v>Jan</v>
      </c>
      <c r="I1138" s="10" t="str">
        <f>CONCATENATE("WK_",WEEKNUM(events[[#This Row],[Start Date]]))</f>
        <v>WK_2</v>
      </c>
      <c r="J1138" s="12">
        <v>45664.957488425927</v>
      </c>
      <c r="K1138" s="10">
        <v>83</v>
      </c>
      <c r="L1138" s="10" t="s">
        <v>25</v>
      </c>
      <c r="M1138" s="10" t="s">
        <v>75</v>
      </c>
      <c r="N1138" s="13">
        <f t="shared" si="17"/>
        <v>0.05</v>
      </c>
      <c r="O1138" s="14" t="s">
        <v>38</v>
      </c>
      <c r="P1138" s="14" t="s">
        <v>38</v>
      </c>
      <c r="Q1138" s="14" t="s">
        <v>294</v>
      </c>
      <c r="R1138" s="14" t="s">
        <v>294</v>
      </c>
      <c r="S1138" s="14" t="s">
        <v>2807</v>
      </c>
      <c r="T1138" s="14" t="s">
        <v>2808</v>
      </c>
      <c r="U1138" s="15">
        <v>6.2E-2</v>
      </c>
      <c r="V1138" s="10">
        <v>1</v>
      </c>
    </row>
    <row r="1139" spans="1:22" ht="18" customHeight="1" x14ac:dyDescent="0.35">
      <c r="A1139" s="10" t="s">
        <v>86</v>
      </c>
      <c r="B1139" s="10" t="s">
        <v>3372</v>
      </c>
      <c r="C1139" s="11" t="s">
        <v>3414</v>
      </c>
      <c r="D1139" s="11" t="s">
        <v>74</v>
      </c>
      <c r="E1139" s="12">
        <v>45664.957256944443</v>
      </c>
      <c r="F1139" s="10" t="str">
        <f>TEXT(events[[#This Row],[Start Date]],"DDD")</f>
        <v>Tue</v>
      </c>
      <c r="G1139" s="10">
        <f>YEAR(events[[#This Row],[Start Date]])</f>
        <v>2025</v>
      </c>
      <c r="H1139" s="10" t="str">
        <f>TEXT(events[[#This Row],[Start Date]],"mmm")</f>
        <v>Jan</v>
      </c>
      <c r="I1139" s="10" t="str">
        <f>CONCATENATE("WK_",WEEKNUM(events[[#This Row],[Start Date]]))</f>
        <v>WK_2</v>
      </c>
      <c r="J1139" s="12">
        <v>45664.957280092596</v>
      </c>
      <c r="K1139" s="10">
        <v>82</v>
      </c>
      <c r="L1139" s="10" t="s">
        <v>25</v>
      </c>
      <c r="M1139" s="10" t="s">
        <v>31</v>
      </c>
      <c r="N1139" s="13">
        <f t="shared" si="17"/>
        <v>3.3333333333333333E-2</v>
      </c>
      <c r="O1139" s="14" t="s">
        <v>38</v>
      </c>
      <c r="P1139" s="14" t="s">
        <v>38</v>
      </c>
      <c r="Q1139" s="14" t="s">
        <v>294</v>
      </c>
      <c r="R1139" s="14" t="s">
        <v>294</v>
      </c>
      <c r="S1139" s="14" t="s">
        <v>2805</v>
      </c>
      <c r="T1139" s="14" t="s">
        <v>2806</v>
      </c>
      <c r="U1139" s="15">
        <v>0</v>
      </c>
      <c r="V1139" s="10">
        <v>1</v>
      </c>
    </row>
    <row r="1140" spans="1:22" ht="18" customHeight="1" x14ac:dyDescent="0.35">
      <c r="A1140" s="10" t="s">
        <v>86</v>
      </c>
      <c r="B1140" s="10" t="s">
        <v>3372</v>
      </c>
      <c r="C1140" s="11" t="s">
        <v>3414</v>
      </c>
      <c r="D1140" s="11" t="s">
        <v>74</v>
      </c>
      <c r="E1140" s="12">
        <v>45664.957013888888</v>
      </c>
      <c r="F1140" s="10" t="str">
        <f>TEXT(events[[#This Row],[Start Date]],"DDD")</f>
        <v>Tue</v>
      </c>
      <c r="G1140" s="10">
        <f>YEAR(events[[#This Row],[Start Date]])</f>
        <v>2025</v>
      </c>
      <c r="H1140" s="10" t="str">
        <f>TEXT(events[[#This Row],[Start Date]],"mmm")</f>
        <v>Jan</v>
      </c>
      <c r="I1140" s="10" t="str">
        <f>CONCATENATE("WK_",WEEKNUM(events[[#This Row],[Start Date]]))</f>
        <v>WK_2</v>
      </c>
      <c r="J1140" s="12">
        <v>45664.957129629627</v>
      </c>
      <c r="K1140" s="10">
        <v>86</v>
      </c>
      <c r="L1140" s="10" t="s">
        <v>25</v>
      </c>
      <c r="M1140" s="10" t="s">
        <v>250</v>
      </c>
      <c r="N1140" s="13">
        <f t="shared" si="17"/>
        <v>0.16666666666666666</v>
      </c>
      <c r="O1140" s="14" t="s">
        <v>38</v>
      </c>
      <c r="P1140" s="14" t="s">
        <v>38</v>
      </c>
      <c r="Q1140" s="14" t="s">
        <v>294</v>
      </c>
      <c r="R1140" s="14" t="s">
        <v>294</v>
      </c>
      <c r="S1140" s="14" t="s">
        <v>2803</v>
      </c>
      <c r="T1140" s="14" t="s">
        <v>2804</v>
      </c>
      <c r="U1140" s="15">
        <v>0.312</v>
      </c>
      <c r="V1140" s="10">
        <v>1</v>
      </c>
    </row>
    <row r="1141" spans="1:22" ht="18" customHeight="1" x14ac:dyDescent="0.35">
      <c r="A1141" s="10" t="s">
        <v>86</v>
      </c>
      <c r="B1141" s="10" t="s">
        <v>3372</v>
      </c>
      <c r="C1141" s="11" t="s">
        <v>3414</v>
      </c>
      <c r="D1141" s="11" t="s">
        <v>74</v>
      </c>
      <c r="E1141" s="12">
        <v>45664.956134259257</v>
      </c>
      <c r="F1141" s="10" t="str">
        <f>TEXT(events[[#This Row],[Start Date]],"DDD")</f>
        <v>Tue</v>
      </c>
      <c r="G1141" s="10">
        <f>YEAR(events[[#This Row],[Start Date]])</f>
        <v>2025</v>
      </c>
      <c r="H1141" s="10" t="str">
        <f>TEXT(events[[#This Row],[Start Date]],"mmm")</f>
        <v>Jan</v>
      </c>
      <c r="I1141" s="10" t="str">
        <f>CONCATENATE("WK_",WEEKNUM(events[[#This Row],[Start Date]]))</f>
        <v>WK_2</v>
      </c>
      <c r="J1141" s="12">
        <v>45664.956284722219</v>
      </c>
      <c r="K1141" s="10">
        <v>84</v>
      </c>
      <c r="L1141" s="10" t="s">
        <v>25</v>
      </c>
      <c r="M1141" s="10" t="s">
        <v>167</v>
      </c>
      <c r="N1141" s="13">
        <f t="shared" si="17"/>
        <v>0.21666666666666667</v>
      </c>
      <c r="O1141" s="14" t="s">
        <v>38</v>
      </c>
      <c r="P1141" s="14" t="s">
        <v>38</v>
      </c>
      <c r="Q1141" s="14" t="s">
        <v>294</v>
      </c>
      <c r="R1141" s="14" t="s">
        <v>294</v>
      </c>
      <c r="S1141" s="14" t="s">
        <v>2801</v>
      </c>
      <c r="T1141" s="14" t="s">
        <v>2802</v>
      </c>
      <c r="U1141" s="15">
        <v>0.312</v>
      </c>
      <c r="V1141" s="10">
        <v>1</v>
      </c>
    </row>
    <row r="1142" spans="1:22" ht="18" customHeight="1" x14ac:dyDescent="0.35">
      <c r="A1142" s="10" t="s">
        <v>86</v>
      </c>
      <c r="B1142" s="10" t="s">
        <v>3372</v>
      </c>
      <c r="C1142" s="11" t="s">
        <v>3414</v>
      </c>
      <c r="D1142" s="11" t="s">
        <v>74</v>
      </c>
      <c r="E1142" s="12">
        <v>45664.800543981481</v>
      </c>
      <c r="F1142" s="10" t="str">
        <f>TEXT(events[[#This Row],[Start Date]],"DDD")</f>
        <v>Tue</v>
      </c>
      <c r="G1142" s="10">
        <f>YEAR(events[[#This Row],[Start Date]])</f>
        <v>2025</v>
      </c>
      <c r="H1142" s="10" t="str">
        <f>TEXT(events[[#This Row],[Start Date]],"mmm")</f>
        <v>Jan</v>
      </c>
      <c r="I1142" s="10" t="str">
        <f>CONCATENATE("WK_",WEEKNUM(events[[#This Row],[Start Date]]))</f>
        <v>WK_2</v>
      </c>
      <c r="J1142" s="12">
        <v>45664.80059027778</v>
      </c>
      <c r="K1142" s="10">
        <v>86</v>
      </c>
      <c r="L1142" s="10" t="s">
        <v>25</v>
      </c>
      <c r="M1142" s="10" t="s">
        <v>275</v>
      </c>
      <c r="N1142" s="13">
        <f t="shared" si="17"/>
        <v>6.6666666666666666E-2</v>
      </c>
      <c r="O1142" s="14" t="s">
        <v>38</v>
      </c>
      <c r="P1142" s="14" t="s">
        <v>38</v>
      </c>
      <c r="Q1142" s="14" t="s">
        <v>2794</v>
      </c>
      <c r="R1142" s="14" t="s">
        <v>2794</v>
      </c>
      <c r="S1142" s="14" t="s">
        <v>2915</v>
      </c>
      <c r="T1142" s="14" t="s">
        <v>2800</v>
      </c>
      <c r="U1142" s="15">
        <v>6.2E-2</v>
      </c>
      <c r="V1142" s="10">
        <v>1</v>
      </c>
    </row>
    <row r="1143" spans="1:22" ht="18" customHeight="1" x14ac:dyDescent="0.35">
      <c r="A1143" s="10" t="s">
        <v>86</v>
      </c>
      <c r="B1143" s="10" t="s">
        <v>3372</v>
      </c>
      <c r="C1143" s="11" t="s">
        <v>3414</v>
      </c>
      <c r="D1143" s="11" t="s">
        <v>74</v>
      </c>
      <c r="E1143" s="12">
        <v>45664.800034722219</v>
      </c>
      <c r="F1143" s="10" t="str">
        <f>TEXT(events[[#This Row],[Start Date]],"DDD")</f>
        <v>Tue</v>
      </c>
      <c r="G1143" s="10">
        <f>YEAR(events[[#This Row],[Start Date]])</f>
        <v>2025</v>
      </c>
      <c r="H1143" s="10" t="str">
        <f>TEXT(events[[#This Row],[Start Date]],"mmm")</f>
        <v>Jan</v>
      </c>
      <c r="I1143" s="10" t="str">
        <f>CONCATENATE("WK_",WEEKNUM(events[[#This Row],[Start Date]]))</f>
        <v>WK_2</v>
      </c>
      <c r="J1143" s="12">
        <v>45664.800092592595</v>
      </c>
      <c r="K1143" s="10">
        <v>84</v>
      </c>
      <c r="L1143" s="10" t="s">
        <v>25</v>
      </c>
      <c r="M1143" s="10" t="s">
        <v>431</v>
      </c>
      <c r="N1143" s="13">
        <f t="shared" si="17"/>
        <v>8.3333333333333329E-2</v>
      </c>
      <c r="O1143" s="14" t="s">
        <v>38</v>
      </c>
      <c r="P1143" s="14" t="s">
        <v>38</v>
      </c>
      <c r="Q1143" s="14" t="s">
        <v>2797</v>
      </c>
      <c r="R1143" s="14" t="s">
        <v>2797</v>
      </c>
      <c r="S1143" s="14" t="s">
        <v>2798</v>
      </c>
      <c r="T1143" s="14" t="s">
        <v>2799</v>
      </c>
      <c r="U1143" s="15">
        <v>0.188</v>
      </c>
      <c r="V1143" s="10">
        <v>1</v>
      </c>
    </row>
    <row r="1144" spans="1:22" ht="18" customHeight="1" x14ac:dyDescent="0.35">
      <c r="A1144" s="10" t="s">
        <v>86</v>
      </c>
      <c r="B1144" s="10" t="s">
        <v>3372</v>
      </c>
      <c r="C1144" s="11" t="s">
        <v>3414</v>
      </c>
      <c r="D1144" s="11" t="s">
        <v>74</v>
      </c>
      <c r="E1144" s="12">
        <v>45664.799189814818</v>
      </c>
      <c r="F1144" s="10" t="str">
        <f>TEXT(events[[#This Row],[Start Date]],"DDD")</f>
        <v>Tue</v>
      </c>
      <c r="G1144" s="10">
        <f>YEAR(events[[#This Row],[Start Date]])</f>
        <v>2025</v>
      </c>
      <c r="H1144" s="10" t="str">
        <f>TEXT(events[[#This Row],[Start Date]],"mmm")</f>
        <v>Jan</v>
      </c>
      <c r="I1144" s="10" t="str">
        <f>CONCATENATE("WK_",WEEKNUM(events[[#This Row],[Start Date]]))</f>
        <v>WK_2</v>
      </c>
      <c r="J1144" s="12">
        <v>45664.799317129633</v>
      </c>
      <c r="K1144" s="10">
        <v>89</v>
      </c>
      <c r="L1144" s="10" t="s">
        <v>25</v>
      </c>
      <c r="M1144" s="10" t="s">
        <v>212</v>
      </c>
      <c r="N1144" s="13">
        <f t="shared" si="17"/>
        <v>0.18333333333333332</v>
      </c>
      <c r="O1144" s="14" t="s">
        <v>38</v>
      </c>
      <c r="P1144" s="14" t="s">
        <v>38</v>
      </c>
      <c r="Q1144" s="14" t="s">
        <v>2794</v>
      </c>
      <c r="R1144" s="14" t="s">
        <v>2794</v>
      </c>
      <c r="S1144" s="14" t="s">
        <v>2795</v>
      </c>
      <c r="T1144" s="14" t="s">
        <v>2796</v>
      </c>
      <c r="U1144" s="15">
        <v>0.312</v>
      </c>
      <c r="V1144" s="10">
        <v>1</v>
      </c>
    </row>
    <row r="1145" spans="1:22" ht="18" customHeight="1" x14ac:dyDescent="0.35">
      <c r="A1145" s="10" t="s">
        <v>86</v>
      </c>
      <c r="B1145" s="10" t="s">
        <v>3372</v>
      </c>
      <c r="C1145" s="11" t="s">
        <v>3414</v>
      </c>
      <c r="D1145" s="11" t="s">
        <v>74</v>
      </c>
      <c r="E1145" s="12">
        <v>45664.767638888887</v>
      </c>
      <c r="F1145" s="10" t="str">
        <f>TEXT(events[[#This Row],[Start Date]],"DDD")</f>
        <v>Tue</v>
      </c>
      <c r="G1145" s="10">
        <f>YEAR(events[[#This Row],[Start Date]])</f>
        <v>2025</v>
      </c>
      <c r="H1145" s="10" t="str">
        <f>TEXT(events[[#This Row],[Start Date]],"mmm")</f>
        <v>Jan</v>
      </c>
      <c r="I1145" s="10" t="str">
        <f>CONCATENATE("WK_",WEEKNUM(events[[#This Row],[Start Date]]))</f>
        <v>WK_2</v>
      </c>
      <c r="J1145" s="12">
        <v>45664.767870370371</v>
      </c>
      <c r="K1145" s="10">
        <v>86</v>
      </c>
      <c r="L1145" s="10" t="s">
        <v>25</v>
      </c>
      <c r="M1145" s="10" t="s">
        <v>301</v>
      </c>
      <c r="N1145" s="13">
        <f t="shared" si="17"/>
        <v>0.33333333333333331</v>
      </c>
      <c r="O1145" s="14" t="s">
        <v>142</v>
      </c>
      <c r="P1145" s="14" t="s">
        <v>142</v>
      </c>
      <c r="Q1145" s="14" t="s">
        <v>2413</v>
      </c>
      <c r="R1145" s="14" t="s">
        <v>2413</v>
      </c>
      <c r="S1145" s="14" t="s">
        <v>2792</v>
      </c>
      <c r="T1145" s="14" t="s">
        <v>2793</v>
      </c>
      <c r="U1145" s="15">
        <v>0.5</v>
      </c>
      <c r="V1145" s="10">
        <v>1</v>
      </c>
    </row>
    <row r="1146" spans="1:22" ht="18" customHeight="1" x14ac:dyDescent="0.35">
      <c r="A1146" s="10" t="s">
        <v>86</v>
      </c>
      <c r="B1146" s="10" t="s">
        <v>3372</v>
      </c>
      <c r="C1146" s="11" t="s">
        <v>3414</v>
      </c>
      <c r="D1146" s="11" t="s">
        <v>74</v>
      </c>
      <c r="E1146" s="12">
        <v>45664.767164351855</v>
      </c>
      <c r="F1146" s="10" t="str">
        <f>TEXT(events[[#This Row],[Start Date]],"DDD")</f>
        <v>Tue</v>
      </c>
      <c r="G1146" s="10">
        <f>YEAR(events[[#This Row],[Start Date]])</f>
        <v>2025</v>
      </c>
      <c r="H1146" s="10" t="str">
        <f>TEXT(events[[#This Row],[Start Date]],"mmm")</f>
        <v>Jan</v>
      </c>
      <c r="I1146" s="10" t="str">
        <f>CONCATENATE("WK_",WEEKNUM(events[[#This Row],[Start Date]]))</f>
        <v>WK_2</v>
      </c>
      <c r="J1146" s="12">
        <v>45664.767187500001</v>
      </c>
      <c r="K1146" s="10">
        <v>82</v>
      </c>
      <c r="L1146" s="10" t="s">
        <v>25</v>
      </c>
      <c r="M1146" s="10" t="s">
        <v>31</v>
      </c>
      <c r="N1146" s="13">
        <f t="shared" si="17"/>
        <v>3.3333333333333333E-2</v>
      </c>
      <c r="O1146" s="14" t="s">
        <v>142</v>
      </c>
      <c r="P1146" s="14" t="s">
        <v>142</v>
      </c>
      <c r="Q1146" s="14" t="s">
        <v>2413</v>
      </c>
      <c r="R1146" s="14" t="s">
        <v>2413</v>
      </c>
      <c r="S1146" s="14" t="s">
        <v>2790</v>
      </c>
      <c r="T1146" s="14" t="s">
        <v>2791</v>
      </c>
      <c r="U1146" s="15">
        <v>0</v>
      </c>
      <c r="V1146" s="10">
        <v>1</v>
      </c>
    </row>
    <row r="1147" spans="1:22" ht="18" customHeight="1" x14ac:dyDescent="0.35">
      <c r="A1147" s="10" t="s">
        <v>86</v>
      </c>
      <c r="B1147" s="10" t="s">
        <v>3372</v>
      </c>
      <c r="C1147" s="11" t="s">
        <v>3414</v>
      </c>
      <c r="D1147" s="11" t="s">
        <v>74</v>
      </c>
      <c r="E1147" s="12">
        <v>45664.766643518517</v>
      </c>
      <c r="F1147" s="10" t="str">
        <f>TEXT(events[[#This Row],[Start Date]],"DDD")</f>
        <v>Tue</v>
      </c>
      <c r="G1147" s="10">
        <f>YEAR(events[[#This Row],[Start Date]])</f>
        <v>2025</v>
      </c>
      <c r="H1147" s="10" t="str">
        <f>TEXT(events[[#This Row],[Start Date]],"mmm")</f>
        <v>Jan</v>
      </c>
      <c r="I1147" s="10" t="str">
        <f>CONCATENATE("WK_",WEEKNUM(events[[#This Row],[Start Date]]))</f>
        <v>WK_2</v>
      </c>
      <c r="J1147" s="12">
        <v>45664.766689814816</v>
      </c>
      <c r="K1147" s="10">
        <v>85</v>
      </c>
      <c r="L1147" s="10" t="s">
        <v>25</v>
      </c>
      <c r="M1147" s="10" t="s">
        <v>275</v>
      </c>
      <c r="N1147" s="13">
        <f t="shared" si="17"/>
        <v>6.6666666666666666E-2</v>
      </c>
      <c r="O1147" s="14" t="s">
        <v>142</v>
      </c>
      <c r="P1147" s="14" t="s">
        <v>142</v>
      </c>
      <c r="Q1147" s="14" t="s">
        <v>2413</v>
      </c>
      <c r="R1147" s="14" t="s">
        <v>2413</v>
      </c>
      <c r="S1147" s="14" t="s">
        <v>2788</v>
      </c>
      <c r="T1147" s="14" t="s">
        <v>2789</v>
      </c>
      <c r="U1147" s="15">
        <v>0.125</v>
      </c>
      <c r="V1147" s="10">
        <v>1</v>
      </c>
    </row>
    <row r="1148" spans="1:22" ht="18" customHeight="1" x14ac:dyDescent="0.35">
      <c r="A1148" s="10" t="s">
        <v>86</v>
      </c>
      <c r="B1148" s="10" t="s">
        <v>3372</v>
      </c>
      <c r="C1148" s="11" t="s">
        <v>3414</v>
      </c>
      <c r="D1148" s="11" t="s">
        <v>74</v>
      </c>
      <c r="E1148" s="12">
        <v>45664.766111111108</v>
      </c>
      <c r="F1148" s="10" t="str">
        <f>TEXT(events[[#This Row],[Start Date]],"DDD")</f>
        <v>Tue</v>
      </c>
      <c r="G1148" s="10">
        <f>YEAR(events[[#This Row],[Start Date]])</f>
        <v>2025</v>
      </c>
      <c r="H1148" s="10" t="str">
        <f>TEXT(events[[#This Row],[Start Date]],"mmm")</f>
        <v>Jan</v>
      </c>
      <c r="I1148" s="10" t="str">
        <f>CONCATENATE("WK_",WEEKNUM(events[[#This Row],[Start Date]]))</f>
        <v>WK_2</v>
      </c>
      <c r="J1148" s="12">
        <v>45664.766331018516</v>
      </c>
      <c r="K1148" s="10">
        <v>88</v>
      </c>
      <c r="L1148" s="10" t="s">
        <v>25</v>
      </c>
      <c r="M1148" s="10" t="s">
        <v>445</v>
      </c>
      <c r="N1148" s="13">
        <f t="shared" si="17"/>
        <v>0.31666666666666665</v>
      </c>
      <c r="O1148" s="14" t="s">
        <v>142</v>
      </c>
      <c r="P1148" s="14" t="s">
        <v>142</v>
      </c>
      <c r="Q1148" s="14" t="s">
        <v>2413</v>
      </c>
      <c r="R1148" s="14" t="s">
        <v>2413</v>
      </c>
      <c r="S1148" s="14" t="s">
        <v>2786</v>
      </c>
      <c r="T1148" s="14" t="s">
        <v>2787</v>
      </c>
      <c r="U1148" s="15">
        <v>0.5</v>
      </c>
      <c r="V1148" s="10">
        <v>1</v>
      </c>
    </row>
    <row r="1149" spans="1:22" ht="18" customHeight="1" x14ac:dyDescent="0.35">
      <c r="A1149" s="10" t="s">
        <v>86</v>
      </c>
      <c r="B1149" s="10" t="s">
        <v>3372</v>
      </c>
      <c r="C1149" s="11" t="s">
        <v>3414</v>
      </c>
      <c r="D1149" s="11" t="s">
        <v>74</v>
      </c>
      <c r="E1149" s="12">
        <v>45664.749282407407</v>
      </c>
      <c r="F1149" s="10" t="str">
        <f>TEXT(events[[#This Row],[Start Date]],"DDD")</f>
        <v>Tue</v>
      </c>
      <c r="G1149" s="10">
        <f>YEAR(events[[#This Row],[Start Date]])</f>
        <v>2025</v>
      </c>
      <c r="H1149" s="10" t="str">
        <f>TEXT(events[[#This Row],[Start Date]],"mmm")</f>
        <v>Jan</v>
      </c>
      <c r="I1149" s="10" t="str">
        <f>CONCATENATE("WK_",WEEKNUM(events[[#This Row],[Start Date]]))</f>
        <v>WK_2</v>
      </c>
      <c r="J1149" s="12">
        <v>45664.749374999999</v>
      </c>
      <c r="K1149" s="10">
        <v>87</v>
      </c>
      <c r="L1149" s="10" t="s">
        <v>25</v>
      </c>
      <c r="M1149" s="10" t="s">
        <v>357</v>
      </c>
      <c r="N1149" s="13">
        <f t="shared" si="17"/>
        <v>0.13333333333333333</v>
      </c>
      <c r="O1149" s="14" t="s">
        <v>142</v>
      </c>
      <c r="P1149" s="14" t="s">
        <v>142</v>
      </c>
      <c r="Q1149" s="14" t="s">
        <v>1048</v>
      </c>
      <c r="R1149" s="14" t="s">
        <v>1048</v>
      </c>
      <c r="S1149" s="14" t="s">
        <v>2784</v>
      </c>
      <c r="T1149" s="14" t="s">
        <v>2785</v>
      </c>
      <c r="U1149" s="15">
        <v>0.188</v>
      </c>
      <c r="V1149" s="10">
        <v>1</v>
      </c>
    </row>
    <row r="1150" spans="1:22" ht="18" customHeight="1" x14ac:dyDescent="0.35">
      <c r="A1150" s="10" t="s">
        <v>123</v>
      </c>
      <c r="B1150" s="10" t="s">
        <v>3307</v>
      </c>
      <c r="C1150" s="11" t="s">
        <v>3094</v>
      </c>
      <c r="D1150" s="11" t="s">
        <v>74</v>
      </c>
      <c r="E1150" s="12">
        <v>45664.654421296298</v>
      </c>
      <c r="F1150" s="10" t="str">
        <f>TEXT(events[[#This Row],[Start Date]],"DDD")</f>
        <v>Tue</v>
      </c>
      <c r="G1150" s="10">
        <f>YEAR(events[[#This Row],[Start Date]])</f>
        <v>2025</v>
      </c>
      <c r="H1150" s="10" t="str">
        <f>TEXT(events[[#This Row],[Start Date]],"mmm")</f>
        <v>Jan</v>
      </c>
      <c r="I1150" s="10" t="str">
        <f>CONCATENATE("WK_",WEEKNUM(events[[#This Row],[Start Date]]))</f>
        <v>WK_2</v>
      </c>
      <c r="J1150" s="12">
        <v>45664.656157407408</v>
      </c>
      <c r="K1150" s="10">
        <v>97</v>
      </c>
      <c r="L1150" s="10" t="s">
        <v>25</v>
      </c>
      <c r="M1150" s="10" t="s">
        <v>892</v>
      </c>
      <c r="N1150" s="13">
        <f t="shared" si="17"/>
        <v>2.5</v>
      </c>
      <c r="O1150" s="14"/>
      <c r="P1150" s="14"/>
      <c r="Q1150" s="14" t="s">
        <v>1291</v>
      </c>
      <c r="R1150" s="14" t="s">
        <v>2827</v>
      </c>
      <c r="S1150" s="14" t="s">
        <v>2828</v>
      </c>
      <c r="T1150" s="14" t="s">
        <v>2829</v>
      </c>
      <c r="U1150" s="15">
        <v>3.8</v>
      </c>
      <c r="V1150" s="10">
        <v>1</v>
      </c>
    </row>
    <row r="1151" spans="1:22" ht="18" customHeight="1" x14ac:dyDescent="0.35">
      <c r="A1151" s="10" t="s">
        <v>23</v>
      </c>
      <c r="B1151" s="10" t="s">
        <v>3226</v>
      </c>
      <c r="C1151" s="11" t="s">
        <v>3081</v>
      </c>
      <c r="D1151" s="11" t="s">
        <v>24</v>
      </c>
      <c r="E1151" s="12">
        <v>45664.564155092594</v>
      </c>
      <c r="F1151" s="10" t="str">
        <f>TEXT(events[[#This Row],[Start Date]],"DDD")</f>
        <v>Tue</v>
      </c>
      <c r="G1151" s="10">
        <f>YEAR(events[[#This Row],[Start Date]])</f>
        <v>2025</v>
      </c>
      <c r="H1151" s="10" t="str">
        <f>TEXT(events[[#This Row],[Start Date]],"mmm")</f>
        <v>Jan</v>
      </c>
      <c r="I1151" s="10" t="str">
        <f>CONCATENATE("WK_",WEEKNUM(events[[#This Row],[Start Date]]))</f>
        <v>WK_2</v>
      </c>
      <c r="J1151" s="12">
        <v>45664.564166666663</v>
      </c>
      <c r="K1151" s="10">
        <v>32</v>
      </c>
      <c r="L1151" s="10" t="s">
        <v>25</v>
      </c>
      <c r="M1151" s="10" t="s">
        <v>26</v>
      </c>
      <c r="N1151" s="13">
        <f t="shared" si="17"/>
        <v>1.6666666666666666E-2</v>
      </c>
      <c r="O1151" s="14" t="s">
        <v>157</v>
      </c>
      <c r="P1151" s="14" t="s">
        <v>157</v>
      </c>
      <c r="Q1151" s="14" t="s">
        <v>2748</v>
      </c>
      <c r="R1151" s="14" t="s">
        <v>2748</v>
      </c>
      <c r="S1151" s="14" t="s">
        <v>2749</v>
      </c>
      <c r="T1151" s="14" t="s">
        <v>2750</v>
      </c>
      <c r="U1151" s="15">
        <v>0</v>
      </c>
      <c r="V1151" s="10">
        <v>1</v>
      </c>
    </row>
    <row r="1152" spans="1:22" ht="18" customHeight="1" x14ac:dyDescent="0.35">
      <c r="A1152" s="10" t="s">
        <v>86</v>
      </c>
      <c r="B1152" s="10" t="s">
        <v>3183</v>
      </c>
      <c r="C1152" s="11" t="s">
        <v>3020</v>
      </c>
      <c r="D1152" s="11" t="s">
        <v>24</v>
      </c>
      <c r="E1152" s="12">
        <v>45664.515405092592</v>
      </c>
      <c r="F1152" s="10" t="str">
        <f>TEXT(events[[#This Row],[Start Date]],"DDD")</f>
        <v>Tue</v>
      </c>
      <c r="G1152" s="10">
        <f>YEAR(events[[#This Row],[Start Date]])</f>
        <v>2025</v>
      </c>
      <c r="H1152" s="10" t="str">
        <f>TEXT(events[[#This Row],[Start Date]],"mmm")</f>
        <v>Jan</v>
      </c>
      <c r="I1152" s="10" t="str">
        <f>CONCATENATE("WK_",WEEKNUM(events[[#This Row],[Start Date]]))</f>
        <v>WK_2</v>
      </c>
      <c r="J1152" s="12">
        <v>45664.515486111108</v>
      </c>
      <c r="K1152" s="10">
        <v>39</v>
      </c>
      <c r="L1152" s="10" t="s">
        <v>25</v>
      </c>
      <c r="M1152" s="10" t="s">
        <v>115</v>
      </c>
      <c r="N1152" s="13">
        <f t="shared" si="17"/>
        <v>0.11666666666666667</v>
      </c>
      <c r="O1152" s="14" t="s">
        <v>27</v>
      </c>
      <c r="P1152" s="14" t="s">
        <v>27</v>
      </c>
      <c r="Q1152" s="14" t="s">
        <v>32</v>
      </c>
      <c r="R1152" s="14" t="s">
        <v>32</v>
      </c>
      <c r="S1152" s="14" t="s">
        <v>2776</v>
      </c>
      <c r="T1152" s="14" t="s">
        <v>2777</v>
      </c>
      <c r="U1152" s="15">
        <v>0</v>
      </c>
      <c r="V1152" s="10">
        <v>1</v>
      </c>
    </row>
    <row r="1153" spans="1:22" ht="18" customHeight="1" x14ac:dyDescent="0.35">
      <c r="A1153" s="10" t="s">
        <v>86</v>
      </c>
      <c r="B1153" s="10" t="s">
        <v>3205</v>
      </c>
      <c r="C1153" s="11" t="s">
        <v>2973</v>
      </c>
      <c r="D1153" s="11" t="s">
        <v>82</v>
      </c>
      <c r="E1153" s="12">
        <v>45664.424953703703</v>
      </c>
      <c r="F1153" s="10" t="str">
        <f>TEXT(events[[#This Row],[Start Date]],"DDD")</f>
        <v>Tue</v>
      </c>
      <c r="G1153" s="10">
        <f>YEAR(events[[#This Row],[Start Date]])</f>
        <v>2025</v>
      </c>
      <c r="H1153" s="10" t="str">
        <f>TEXT(events[[#This Row],[Start Date]],"mmm")</f>
        <v>Jan</v>
      </c>
      <c r="I1153" s="10" t="str">
        <f>CONCATENATE("WK_",WEEKNUM(events[[#This Row],[Start Date]]))</f>
        <v>WK_2</v>
      </c>
      <c r="J1153" s="12">
        <v>45664.424953703703</v>
      </c>
      <c r="K1153" s="10">
        <v>17</v>
      </c>
      <c r="L1153" s="10" t="s">
        <v>83</v>
      </c>
      <c r="M1153" s="10" t="s">
        <v>87</v>
      </c>
      <c r="N1153" s="13">
        <f t="shared" si="17"/>
        <v>0</v>
      </c>
      <c r="O1153" s="14" t="s">
        <v>27</v>
      </c>
      <c r="P1153" s="14" t="s">
        <v>27</v>
      </c>
      <c r="Q1153" s="14" t="s">
        <v>2778</v>
      </c>
      <c r="R1153" s="14" t="s">
        <v>2778</v>
      </c>
      <c r="S1153" s="14" t="s">
        <v>2779</v>
      </c>
      <c r="T1153" s="14" t="s">
        <v>2779</v>
      </c>
      <c r="U1153" s="15">
        <v>0</v>
      </c>
      <c r="V1153" s="10">
        <v>1</v>
      </c>
    </row>
    <row r="1154" spans="1:22" ht="18" customHeight="1" x14ac:dyDescent="0.35">
      <c r="A1154" s="10" t="s">
        <v>86</v>
      </c>
      <c r="B1154" s="10" t="s">
        <v>3246</v>
      </c>
      <c r="C1154" s="11" t="s">
        <v>3428</v>
      </c>
      <c r="D1154" s="11" t="s">
        <v>24</v>
      </c>
      <c r="E1154" s="12">
        <v>45664.412488425929</v>
      </c>
      <c r="F1154" s="10" t="str">
        <f>TEXT(events[[#This Row],[Start Date]],"DDD")</f>
        <v>Tue</v>
      </c>
      <c r="G1154" s="10">
        <f>YEAR(events[[#This Row],[Start Date]])</f>
        <v>2025</v>
      </c>
      <c r="H1154" s="10" t="str">
        <f>TEXT(events[[#This Row],[Start Date]],"mmm")</f>
        <v>Jan</v>
      </c>
      <c r="I1154" s="10" t="str">
        <f>CONCATENATE("WK_",WEEKNUM(events[[#This Row],[Start Date]]))</f>
        <v>WK_2</v>
      </c>
      <c r="J1154" s="12">
        <v>45664.413645833331</v>
      </c>
      <c r="K1154" s="10">
        <v>39</v>
      </c>
      <c r="L1154" s="10" t="s">
        <v>25</v>
      </c>
      <c r="M1154" s="10" t="s">
        <v>905</v>
      </c>
      <c r="N1154" s="13">
        <f t="shared" ref="N1154:N1176" si="18">HOUR(M1154)*60+MINUTE(M1154)+SECOND(M1154)/60</f>
        <v>1.6666666666666665</v>
      </c>
      <c r="O1154" s="14" t="s">
        <v>50</v>
      </c>
      <c r="P1154" s="14" t="s">
        <v>50</v>
      </c>
      <c r="Q1154" s="14" t="s">
        <v>52</v>
      </c>
      <c r="R1154" s="14" t="s">
        <v>52</v>
      </c>
      <c r="S1154" s="14" t="s">
        <v>2774</v>
      </c>
      <c r="T1154" s="14" t="s">
        <v>2775</v>
      </c>
      <c r="U1154" s="15">
        <v>1</v>
      </c>
      <c r="V1154" s="10">
        <v>1</v>
      </c>
    </row>
    <row r="1155" spans="1:22" ht="18" customHeight="1" x14ac:dyDescent="0.35">
      <c r="A1155" s="10" t="s">
        <v>123</v>
      </c>
      <c r="B1155" s="10" t="s">
        <v>3160</v>
      </c>
      <c r="C1155" s="11" t="s">
        <v>2926</v>
      </c>
      <c r="D1155" s="11" t="s">
        <v>74</v>
      </c>
      <c r="E1155" s="12">
        <v>45663.858113425929</v>
      </c>
      <c r="F1155" s="10" t="str">
        <f>TEXT(events[[#This Row],[Start Date]],"DDD")</f>
        <v>Mon</v>
      </c>
      <c r="G1155" s="10">
        <f>YEAR(events[[#This Row],[Start Date]])</f>
        <v>2025</v>
      </c>
      <c r="H1155" s="10" t="str">
        <f>TEXT(events[[#This Row],[Start Date]],"mmm")</f>
        <v>Jan</v>
      </c>
      <c r="I1155" s="10" t="str">
        <f>CONCATENATE("WK_",WEEKNUM(events[[#This Row],[Start Date]]))</f>
        <v>WK_2</v>
      </c>
      <c r="J1155" s="12">
        <v>45663.858807870369</v>
      </c>
      <c r="K1155" s="10">
        <v>106</v>
      </c>
      <c r="L1155" s="10" t="s">
        <v>25</v>
      </c>
      <c r="M1155" s="10" t="s">
        <v>177</v>
      </c>
      <c r="N1155" s="13">
        <f t="shared" si="18"/>
        <v>1</v>
      </c>
      <c r="O1155" s="14"/>
      <c r="P1155" s="14"/>
      <c r="Q1155" s="14" t="s">
        <v>801</v>
      </c>
      <c r="R1155" s="14" t="s">
        <v>801</v>
      </c>
      <c r="S1155" s="14" t="s">
        <v>2821</v>
      </c>
      <c r="T1155" s="14" t="s">
        <v>2822</v>
      </c>
      <c r="U1155" s="15">
        <v>1.5</v>
      </c>
      <c r="V1155" s="10">
        <v>1</v>
      </c>
    </row>
    <row r="1156" spans="1:22" ht="18" customHeight="1" x14ac:dyDescent="0.35">
      <c r="A1156" s="10" t="s">
        <v>47</v>
      </c>
      <c r="B1156" s="10" t="s">
        <v>3159</v>
      </c>
      <c r="C1156" s="11" t="s">
        <v>2925</v>
      </c>
      <c r="D1156" s="11" t="s">
        <v>24</v>
      </c>
      <c r="E1156" s="12">
        <v>45663.581747685188</v>
      </c>
      <c r="F1156" s="10" t="str">
        <f>TEXT(events[[#This Row],[Start Date]],"DDD")</f>
        <v>Mon</v>
      </c>
      <c r="G1156" s="10">
        <f>YEAR(events[[#This Row],[Start Date]])</f>
        <v>2025</v>
      </c>
      <c r="H1156" s="10" t="str">
        <f>TEXT(events[[#This Row],[Start Date]],"mmm")</f>
        <v>Jan</v>
      </c>
      <c r="I1156" s="10" t="str">
        <f>CONCATENATE("WK_",WEEKNUM(events[[#This Row],[Start Date]]))</f>
        <v>WK_2</v>
      </c>
      <c r="J1156" s="12">
        <v>45663.581759259258</v>
      </c>
      <c r="K1156" s="10">
        <v>45</v>
      </c>
      <c r="L1156" s="10" t="s">
        <v>25</v>
      </c>
      <c r="M1156" s="10" t="s">
        <v>26</v>
      </c>
      <c r="N1156" s="13">
        <f t="shared" si="18"/>
        <v>1.6666666666666666E-2</v>
      </c>
      <c r="O1156" s="14" t="s">
        <v>27</v>
      </c>
      <c r="P1156" s="14" t="s">
        <v>27</v>
      </c>
      <c r="Q1156" s="14" t="s">
        <v>291</v>
      </c>
      <c r="R1156" s="14" t="s">
        <v>291</v>
      </c>
      <c r="S1156" s="14" t="s">
        <v>2761</v>
      </c>
      <c r="T1156" s="14" t="s">
        <v>2762</v>
      </c>
      <c r="U1156" s="15">
        <v>0</v>
      </c>
      <c r="V1156" s="10">
        <v>1</v>
      </c>
    </row>
    <row r="1157" spans="1:22" ht="18" customHeight="1" x14ac:dyDescent="0.35">
      <c r="A1157" s="10" t="s">
        <v>47</v>
      </c>
      <c r="B1157" s="10" t="s">
        <v>3222</v>
      </c>
      <c r="C1157" s="11" t="s">
        <v>2991</v>
      </c>
      <c r="D1157" s="11" t="s">
        <v>24</v>
      </c>
      <c r="E1157" s="12">
        <v>45663.405243055553</v>
      </c>
      <c r="F1157" s="10" t="str">
        <f>TEXT(events[[#This Row],[Start Date]],"DDD")</f>
        <v>Mon</v>
      </c>
      <c r="G1157" s="10">
        <f>YEAR(events[[#This Row],[Start Date]])</f>
        <v>2025</v>
      </c>
      <c r="H1157" s="10" t="str">
        <f>TEXT(events[[#This Row],[Start Date]],"mmm")</f>
        <v>Jan</v>
      </c>
      <c r="I1157" s="10" t="str">
        <f>CONCATENATE("WK_",WEEKNUM(events[[#This Row],[Start Date]]))</f>
        <v>WK_2</v>
      </c>
      <c r="J1157" s="12">
        <v>45663.405370370368</v>
      </c>
      <c r="K1157" s="10">
        <v>39</v>
      </c>
      <c r="L1157" s="10" t="s">
        <v>25</v>
      </c>
      <c r="M1157" s="10" t="s">
        <v>212</v>
      </c>
      <c r="N1157" s="13">
        <f t="shared" si="18"/>
        <v>0.18333333333333332</v>
      </c>
      <c r="O1157" s="14" t="s">
        <v>27</v>
      </c>
      <c r="P1157" s="14" t="s">
        <v>27</v>
      </c>
      <c r="Q1157" s="14" t="s">
        <v>288</v>
      </c>
      <c r="R1157" s="14" t="s">
        <v>288</v>
      </c>
      <c r="S1157" s="14" t="s">
        <v>2754</v>
      </c>
      <c r="T1157" s="14" t="s">
        <v>2755</v>
      </c>
      <c r="U1157" s="15">
        <v>0.10199999999999999</v>
      </c>
      <c r="V1157" s="10">
        <v>1</v>
      </c>
    </row>
    <row r="1158" spans="1:22" ht="18" customHeight="1" x14ac:dyDescent="0.35">
      <c r="A1158" s="10" t="s">
        <v>47</v>
      </c>
      <c r="B1158" s="10" t="s">
        <v>3222</v>
      </c>
      <c r="C1158" s="11" t="s">
        <v>2991</v>
      </c>
      <c r="D1158" s="11" t="s">
        <v>24</v>
      </c>
      <c r="E1158" s="12">
        <v>45662.45758101852</v>
      </c>
      <c r="F1158" s="10" t="str">
        <f>TEXT(events[[#This Row],[Start Date]],"DDD")</f>
        <v>Sun</v>
      </c>
      <c r="G1158" s="10">
        <f>YEAR(events[[#This Row],[Start Date]])</f>
        <v>2025</v>
      </c>
      <c r="H1158" s="10" t="str">
        <f>TEXT(events[[#This Row],[Start Date]],"mmm")</f>
        <v>Jan</v>
      </c>
      <c r="I1158" s="10" t="str">
        <f>CONCATENATE("WK_",WEEKNUM(events[[#This Row],[Start Date]]))</f>
        <v>WK_2</v>
      </c>
      <c r="J1158" s="12">
        <v>45662.457604166666</v>
      </c>
      <c r="K1158" s="10">
        <v>38</v>
      </c>
      <c r="L1158" s="10" t="s">
        <v>25</v>
      </c>
      <c r="M1158" s="10" t="s">
        <v>31</v>
      </c>
      <c r="N1158" s="13">
        <f t="shared" si="18"/>
        <v>3.3333333333333333E-2</v>
      </c>
      <c r="O1158" s="14" t="s">
        <v>861</v>
      </c>
      <c r="P1158" s="14" t="s">
        <v>861</v>
      </c>
      <c r="Q1158" s="14" t="s">
        <v>2751</v>
      </c>
      <c r="R1158" s="14" t="s">
        <v>2751</v>
      </c>
      <c r="S1158" s="14" t="s">
        <v>2752</v>
      </c>
      <c r="T1158" s="14" t="s">
        <v>2753</v>
      </c>
      <c r="U1158" s="15">
        <v>0</v>
      </c>
      <c r="V1158" s="10">
        <v>1</v>
      </c>
    </row>
    <row r="1159" spans="1:22" ht="18" customHeight="1" x14ac:dyDescent="0.35">
      <c r="A1159" s="10" t="s">
        <v>123</v>
      </c>
      <c r="B1159" s="10" t="s">
        <v>3387</v>
      </c>
      <c r="C1159" s="11" t="s">
        <v>3429</v>
      </c>
      <c r="D1159" s="11" t="s">
        <v>74</v>
      </c>
      <c r="E1159" s="12">
        <v>45662.312210648146</v>
      </c>
      <c r="F1159" s="10" t="str">
        <f>TEXT(events[[#This Row],[Start Date]],"DDD")</f>
        <v>Sun</v>
      </c>
      <c r="G1159" s="10">
        <f>YEAR(events[[#This Row],[Start Date]])</f>
        <v>2025</v>
      </c>
      <c r="H1159" s="10" t="str">
        <f>TEXT(events[[#This Row],[Start Date]],"mmm")</f>
        <v>Jan</v>
      </c>
      <c r="I1159" s="10" t="str">
        <f>CONCATENATE("WK_",WEEKNUM(events[[#This Row],[Start Date]]))</f>
        <v>WK_2</v>
      </c>
      <c r="J1159" s="12">
        <v>45662.313020833331</v>
      </c>
      <c r="K1159" s="10">
        <v>98</v>
      </c>
      <c r="L1159" s="10" t="s">
        <v>25</v>
      </c>
      <c r="M1159" s="10" t="s">
        <v>712</v>
      </c>
      <c r="N1159" s="13">
        <f t="shared" si="18"/>
        <v>1.1499999999999999</v>
      </c>
      <c r="O1159" s="14"/>
      <c r="P1159" s="14"/>
      <c r="Q1159" s="14" t="s">
        <v>304</v>
      </c>
      <c r="R1159" s="14" t="s">
        <v>304</v>
      </c>
      <c r="S1159" s="14" t="s">
        <v>2833</v>
      </c>
      <c r="T1159" s="14" t="s">
        <v>2834</v>
      </c>
      <c r="U1159" s="15">
        <v>1.8</v>
      </c>
      <c r="V1159" s="10">
        <v>1</v>
      </c>
    </row>
    <row r="1160" spans="1:22" ht="18" customHeight="1" x14ac:dyDescent="0.35">
      <c r="A1160" s="10" t="s">
        <v>123</v>
      </c>
      <c r="B1160" s="10" t="s">
        <v>3308</v>
      </c>
      <c r="C1160" s="11" t="s">
        <v>3095</v>
      </c>
      <c r="D1160" s="11" t="s">
        <v>74</v>
      </c>
      <c r="E1160" s="12">
        <v>45662.296805555554</v>
      </c>
      <c r="F1160" s="10" t="str">
        <f>TEXT(events[[#This Row],[Start Date]],"DDD")</f>
        <v>Sun</v>
      </c>
      <c r="G1160" s="10">
        <f>YEAR(events[[#This Row],[Start Date]])</f>
        <v>2025</v>
      </c>
      <c r="H1160" s="10" t="str">
        <f>TEXT(events[[#This Row],[Start Date]],"mmm")</f>
        <v>Jan</v>
      </c>
      <c r="I1160" s="10" t="str">
        <f>CONCATENATE("WK_",WEEKNUM(events[[#This Row],[Start Date]]))</f>
        <v>WK_2</v>
      </c>
      <c r="J1160" s="12">
        <v>45662.300162037034</v>
      </c>
      <c r="K1160" s="10">
        <v>83</v>
      </c>
      <c r="L1160" s="10" t="s">
        <v>25</v>
      </c>
      <c r="M1160" s="10" t="s">
        <v>2830</v>
      </c>
      <c r="N1160" s="13">
        <f t="shared" si="18"/>
        <v>4.833333333333333</v>
      </c>
      <c r="O1160" s="14"/>
      <c r="P1160" s="14"/>
      <c r="Q1160" s="14" t="s">
        <v>455</v>
      </c>
      <c r="R1160" s="14" t="s">
        <v>455</v>
      </c>
      <c r="S1160" s="14" t="s">
        <v>2831</v>
      </c>
      <c r="T1160" s="14" t="s">
        <v>2832</v>
      </c>
      <c r="U1160" s="15">
        <v>6.6</v>
      </c>
      <c r="V1160" s="10">
        <v>1</v>
      </c>
    </row>
    <row r="1161" spans="1:22" ht="18" customHeight="1" x14ac:dyDescent="0.35">
      <c r="A1161" s="10" t="s">
        <v>123</v>
      </c>
      <c r="B1161" s="10" t="s">
        <v>3179</v>
      </c>
      <c r="C1161" s="11" t="s">
        <v>2946</v>
      </c>
      <c r="D1161" s="11" t="s">
        <v>74</v>
      </c>
      <c r="E1161" s="12">
        <v>45661.766168981485</v>
      </c>
      <c r="F1161" s="10" t="str">
        <f>TEXT(events[[#This Row],[Start Date]],"DDD")</f>
        <v>Sat</v>
      </c>
      <c r="G1161" s="10">
        <f>YEAR(events[[#This Row],[Start Date]])</f>
        <v>2025</v>
      </c>
      <c r="H1161" s="10" t="str">
        <f>TEXT(events[[#This Row],[Start Date]],"mmm")</f>
        <v>Jan</v>
      </c>
      <c r="I1161" s="10" t="str">
        <f>CONCATENATE("WK_",WEEKNUM(events[[#This Row],[Start Date]]))</f>
        <v>WK_1</v>
      </c>
      <c r="J1161" s="12">
        <v>45661.767094907409</v>
      </c>
      <c r="K1161" s="10">
        <v>92</v>
      </c>
      <c r="L1161" s="10" t="s">
        <v>25</v>
      </c>
      <c r="M1161" s="10" t="s">
        <v>173</v>
      </c>
      <c r="N1161" s="13">
        <f t="shared" si="18"/>
        <v>1.3333333333333333</v>
      </c>
      <c r="O1161" s="14"/>
      <c r="P1161" s="14"/>
      <c r="Q1161" s="14" t="s">
        <v>805</v>
      </c>
      <c r="R1161" s="14" t="s">
        <v>805</v>
      </c>
      <c r="S1161" s="14" t="s">
        <v>2848</v>
      </c>
      <c r="T1161" s="14" t="s">
        <v>2849</v>
      </c>
      <c r="U1161" s="15">
        <v>1.9</v>
      </c>
      <c r="V1161" s="10">
        <v>1</v>
      </c>
    </row>
    <row r="1162" spans="1:22" ht="18" customHeight="1" x14ac:dyDescent="0.35">
      <c r="A1162" s="10" t="s">
        <v>123</v>
      </c>
      <c r="B1162" s="10" t="s">
        <v>3388</v>
      </c>
      <c r="C1162" s="11" t="s">
        <v>3430</v>
      </c>
      <c r="D1162" s="11" t="s">
        <v>74</v>
      </c>
      <c r="E1162" s="12">
        <v>45661.75277777778</v>
      </c>
      <c r="F1162" s="10" t="str">
        <f>TEXT(events[[#This Row],[Start Date]],"DDD")</f>
        <v>Sat</v>
      </c>
      <c r="G1162" s="10">
        <f>YEAR(events[[#This Row],[Start Date]])</f>
        <v>2025</v>
      </c>
      <c r="H1162" s="10" t="str">
        <f>TEXT(events[[#This Row],[Start Date]],"mmm")</f>
        <v>Jan</v>
      </c>
      <c r="I1162" s="10" t="str">
        <f>CONCATENATE("WK_",WEEKNUM(events[[#This Row],[Start Date]]))</f>
        <v>WK_1</v>
      </c>
      <c r="J1162" s="12">
        <v>45661.753472222219</v>
      </c>
      <c r="K1162" s="10">
        <v>96</v>
      </c>
      <c r="L1162" s="10" t="s">
        <v>25</v>
      </c>
      <c r="M1162" s="10" t="s">
        <v>177</v>
      </c>
      <c r="N1162" s="13">
        <f t="shared" si="18"/>
        <v>1</v>
      </c>
      <c r="O1162" s="14"/>
      <c r="P1162" s="14"/>
      <c r="Q1162" s="14" t="s">
        <v>2837</v>
      </c>
      <c r="R1162" s="14" t="s">
        <v>2837</v>
      </c>
      <c r="S1162" s="14" t="s">
        <v>2838</v>
      </c>
      <c r="T1162" s="14" t="s">
        <v>2839</v>
      </c>
      <c r="U1162" s="15">
        <v>1.5</v>
      </c>
      <c r="V1162" s="10">
        <v>1</v>
      </c>
    </row>
    <row r="1163" spans="1:22" ht="18" customHeight="1" x14ac:dyDescent="0.35">
      <c r="A1163" s="10" t="s">
        <v>123</v>
      </c>
      <c r="B1163" s="10" t="s">
        <v>3389</v>
      </c>
      <c r="C1163" s="11" t="s">
        <v>3431</v>
      </c>
      <c r="D1163" s="11" t="s">
        <v>74</v>
      </c>
      <c r="E1163" s="12">
        <v>45661.726134259261</v>
      </c>
      <c r="F1163" s="10" t="str">
        <f>TEXT(events[[#This Row],[Start Date]],"DDD")</f>
        <v>Sat</v>
      </c>
      <c r="G1163" s="10">
        <f>YEAR(events[[#This Row],[Start Date]])</f>
        <v>2025</v>
      </c>
      <c r="H1163" s="10" t="str">
        <f>TEXT(events[[#This Row],[Start Date]],"mmm")</f>
        <v>Jan</v>
      </c>
      <c r="I1163" s="10" t="str">
        <f>CONCATENATE("WK_",WEEKNUM(events[[#This Row],[Start Date]]))</f>
        <v>WK_1</v>
      </c>
      <c r="J1163" s="12">
        <v>45661.726307870369</v>
      </c>
      <c r="K1163" s="10">
        <v>86</v>
      </c>
      <c r="L1163" s="10" t="s">
        <v>25</v>
      </c>
      <c r="M1163" s="10" t="s">
        <v>394</v>
      </c>
      <c r="N1163" s="13">
        <f t="shared" si="18"/>
        <v>0.25</v>
      </c>
      <c r="O1163" s="14"/>
      <c r="P1163" s="14"/>
      <c r="Q1163" s="14" t="s">
        <v>2843</v>
      </c>
      <c r="R1163" s="14" t="s">
        <v>2445</v>
      </c>
      <c r="S1163" s="14" t="s">
        <v>2844</v>
      </c>
      <c r="T1163" s="14" t="s">
        <v>2845</v>
      </c>
      <c r="U1163" s="15">
        <v>0.5</v>
      </c>
      <c r="V1163" s="10">
        <v>1</v>
      </c>
    </row>
    <row r="1164" spans="1:22" ht="18" customHeight="1" x14ac:dyDescent="0.35">
      <c r="A1164" s="10" t="s">
        <v>123</v>
      </c>
      <c r="B1164" s="10" t="s">
        <v>3346</v>
      </c>
      <c r="C1164" s="11" t="s">
        <v>3142</v>
      </c>
      <c r="D1164" s="11" t="s">
        <v>74</v>
      </c>
      <c r="E1164" s="12">
        <v>45661.705462962964</v>
      </c>
      <c r="F1164" s="10" t="str">
        <f>TEXT(events[[#This Row],[Start Date]],"DDD")</f>
        <v>Sat</v>
      </c>
      <c r="G1164" s="10">
        <f>YEAR(events[[#This Row],[Start Date]])</f>
        <v>2025</v>
      </c>
      <c r="H1164" s="10" t="str">
        <f>TEXT(events[[#This Row],[Start Date]],"mmm")</f>
        <v>Jan</v>
      </c>
      <c r="I1164" s="10" t="str">
        <f>CONCATENATE("WK_",WEEKNUM(events[[#This Row],[Start Date]]))</f>
        <v>WK_1</v>
      </c>
      <c r="J1164" s="12">
        <v>45661.706041666665</v>
      </c>
      <c r="K1164" s="10">
        <v>108</v>
      </c>
      <c r="L1164" s="10" t="s">
        <v>25</v>
      </c>
      <c r="M1164" s="10" t="s">
        <v>580</v>
      </c>
      <c r="N1164" s="13">
        <f t="shared" si="18"/>
        <v>0.83333333333333337</v>
      </c>
      <c r="O1164" s="14"/>
      <c r="P1164" s="14"/>
      <c r="Q1164" s="14" t="s">
        <v>801</v>
      </c>
      <c r="R1164" s="14" t="s">
        <v>801</v>
      </c>
      <c r="S1164" s="14" t="s">
        <v>2846</v>
      </c>
      <c r="T1164" s="14" t="s">
        <v>2847</v>
      </c>
      <c r="U1164" s="15">
        <v>1.3</v>
      </c>
      <c r="V1164" s="10">
        <v>1</v>
      </c>
    </row>
    <row r="1165" spans="1:22" ht="18" customHeight="1" x14ac:dyDescent="0.35">
      <c r="A1165" s="10" t="s">
        <v>47</v>
      </c>
      <c r="B1165" s="10" t="s">
        <v>3222</v>
      </c>
      <c r="C1165" s="11" t="s">
        <v>2991</v>
      </c>
      <c r="D1165" s="11" t="s">
        <v>74</v>
      </c>
      <c r="E1165" s="12">
        <v>45661.690312500003</v>
      </c>
      <c r="F1165" s="10" t="str">
        <f>TEXT(events[[#This Row],[Start Date]],"DDD")</f>
        <v>Sat</v>
      </c>
      <c r="G1165" s="10">
        <f>YEAR(events[[#This Row],[Start Date]])</f>
        <v>2025</v>
      </c>
      <c r="H1165" s="10" t="str">
        <f>TEXT(events[[#This Row],[Start Date]],"mmm")</f>
        <v>Jan</v>
      </c>
      <c r="I1165" s="10" t="str">
        <f>CONCATENATE("WK_",WEEKNUM(events[[#This Row],[Start Date]]))</f>
        <v>WK_1</v>
      </c>
      <c r="J1165" s="12">
        <v>45661.690474537034</v>
      </c>
      <c r="K1165" s="10">
        <v>82</v>
      </c>
      <c r="L1165" s="10" t="s">
        <v>25</v>
      </c>
      <c r="M1165" s="10" t="s">
        <v>418</v>
      </c>
      <c r="N1165" s="13">
        <f t="shared" si="18"/>
        <v>0.23333333333333334</v>
      </c>
      <c r="O1165" s="14" t="s">
        <v>861</v>
      </c>
      <c r="P1165" s="14" t="s">
        <v>861</v>
      </c>
      <c r="Q1165" s="14" t="s">
        <v>2758</v>
      </c>
      <c r="R1165" s="14" t="s">
        <v>2758</v>
      </c>
      <c r="S1165" s="14" t="s">
        <v>2759</v>
      </c>
      <c r="T1165" s="14" t="s">
        <v>2760</v>
      </c>
      <c r="U1165" s="15">
        <v>0.39800000000000002</v>
      </c>
      <c r="V1165" s="10">
        <v>1</v>
      </c>
    </row>
    <row r="1166" spans="1:22" ht="18" customHeight="1" x14ac:dyDescent="0.35">
      <c r="A1166" s="10" t="s">
        <v>47</v>
      </c>
      <c r="B1166" s="10" t="s">
        <v>3159</v>
      </c>
      <c r="C1166" s="11" t="s">
        <v>2925</v>
      </c>
      <c r="D1166" s="11" t="s">
        <v>74</v>
      </c>
      <c r="E1166" s="12">
        <v>45661.6090625</v>
      </c>
      <c r="F1166" s="10" t="str">
        <f>TEXT(events[[#This Row],[Start Date]],"DDD")</f>
        <v>Sat</v>
      </c>
      <c r="G1166" s="10">
        <f>YEAR(events[[#This Row],[Start Date]])</f>
        <v>2025</v>
      </c>
      <c r="H1166" s="10" t="str">
        <f>TEXT(events[[#This Row],[Start Date]],"mmm")</f>
        <v>Jan</v>
      </c>
      <c r="I1166" s="10" t="str">
        <f>CONCATENATE("WK_",WEEKNUM(events[[#This Row],[Start Date]]))</f>
        <v>WK_1</v>
      </c>
      <c r="J1166" s="12">
        <v>45661.609155092592</v>
      </c>
      <c r="K1166" s="10">
        <v>89</v>
      </c>
      <c r="L1166" s="10" t="s">
        <v>25</v>
      </c>
      <c r="M1166" s="10" t="s">
        <v>357</v>
      </c>
      <c r="N1166" s="13">
        <f t="shared" si="18"/>
        <v>0.13333333333333333</v>
      </c>
      <c r="O1166" s="14" t="s">
        <v>108</v>
      </c>
      <c r="P1166" s="14" t="s">
        <v>108</v>
      </c>
      <c r="Q1166" s="14" t="s">
        <v>109</v>
      </c>
      <c r="R1166" s="14" t="s">
        <v>109</v>
      </c>
      <c r="S1166" s="14" t="s">
        <v>2765</v>
      </c>
      <c r="T1166" s="14" t="s">
        <v>2766</v>
      </c>
      <c r="U1166" s="15">
        <v>0.219</v>
      </c>
      <c r="V1166" s="10">
        <v>1</v>
      </c>
    </row>
    <row r="1167" spans="1:22" ht="18" customHeight="1" x14ac:dyDescent="0.35">
      <c r="A1167" s="10" t="s">
        <v>47</v>
      </c>
      <c r="B1167" s="10" t="s">
        <v>3159</v>
      </c>
      <c r="C1167" s="11" t="s">
        <v>2925</v>
      </c>
      <c r="D1167" s="11" t="s">
        <v>74</v>
      </c>
      <c r="E1167" s="12">
        <v>45661.55363425926</v>
      </c>
      <c r="F1167" s="10" t="str">
        <f>TEXT(events[[#This Row],[Start Date]],"DDD")</f>
        <v>Sat</v>
      </c>
      <c r="G1167" s="10">
        <f>YEAR(events[[#This Row],[Start Date]])</f>
        <v>2025</v>
      </c>
      <c r="H1167" s="10" t="str">
        <f>TEXT(events[[#This Row],[Start Date]],"mmm")</f>
        <v>Jan</v>
      </c>
      <c r="I1167" s="10" t="str">
        <f>CONCATENATE("WK_",WEEKNUM(events[[#This Row],[Start Date]]))</f>
        <v>WK_1</v>
      </c>
      <c r="J1167" s="12">
        <v>45661.553726851853</v>
      </c>
      <c r="K1167" s="10">
        <v>90</v>
      </c>
      <c r="L1167" s="10" t="s">
        <v>25</v>
      </c>
      <c r="M1167" s="10" t="s">
        <v>357</v>
      </c>
      <c r="N1167" s="13">
        <f t="shared" si="18"/>
        <v>0.13333333333333333</v>
      </c>
      <c r="O1167" s="14" t="s">
        <v>38</v>
      </c>
      <c r="P1167" s="14" t="s">
        <v>38</v>
      </c>
      <c r="Q1167" s="14" t="s">
        <v>510</v>
      </c>
      <c r="R1167" s="14" t="s">
        <v>511</v>
      </c>
      <c r="S1167" s="14" t="s">
        <v>2763</v>
      </c>
      <c r="T1167" s="14" t="s">
        <v>2764</v>
      </c>
      <c r="U1167" s="15">
        <v>0.219</v>
      </c>
      <c r="V1167" s="10">
        <v>1</v>
      </c>
    </row>
    <row r="1168" spans="1:22" ht="18" customHeight="1" x14ac:dyDescent="0.35">
      <c r="A1168" s="10" t="s">
        <v>123</v>
      </c>
      <c r="B1168" s="10" t="s">
        <v>3390</v>
      </c>
      <c r="C1168" s="11" t="s">
        <v>3432</v>
      </c>
      <c r="D1168" s="11" t="s">
        <v>74</v>
      </c>
      <c r="E1168" s="12">
        <v>45661.477314814816</v>
      </c>
      <c r="F1168" s="10" t="str">
        <f>TEXT(events[[#This Row],[Start Date]],"DDD")</f>
        <v>Sat</v>
      </c>
      <c r="G1168" s="10">
        <f>YEAR(events[[#This Row],[Start Date]])</f>
        <v>2025</v>
      </c>
      <c r="H1168" s="10" t="str">
        <f>TEXT(events[[#This Row],[Start Date]],"mmm")</f>
        <v>Jan</v>
      </c>
      <c r="I1168" s="10" t="str">
        <f>CONCATENATE("WK_",WEEKNUM(events[[#This Row],[Start Date]]))</f>
        <v>WK_1</v>
      </c>
      <c r="J1168" s="12">
        <v>45661.478009259263</v>
      </c>
      <c r="K1168" s="10">
        <v>98</v>
      </c>
      <c r="L1168" s="10" t="s">
        <v>25</v>
      </c>
      <c r="M1168" s="10" t="s">
        <v>538</v>
      </c>
      <c r="N1168" s="13">
        <f t="shared" si="18"/>
        <v>0.98333333333333328</v>
      </c>
      <c r="O1168" s="14"/>
      <c r="P1168" s="14"/>
      <c r="Q1168" s="14" t="s">
        <v>2840</v>
      </c>
      <c r="R1168" s="14" t="s">
        <v>2840</v>
      </c>
      <c r="S1168" s="14" t="s">
        <v>2841</v>
      </c>
      <c r="T1168" s="14" t="s">
        <v>2842</v>
      </c>
      <c r="U1168" s="15">
        <v>1.5</v>
      </c>
      <c r="V1168" s="10">
        <v>1</v>
      </c>
    </row>
    <row r="1169" spans="1:22" ht="18" customHeight="1" x14ac:dyDescent="0.35">
      <c r="A1169" s="10" t="s">
        <v>47</v>
      </c>
      <c r="B1169" s="10" t="s">
        <v>3222</v>
      </c>
      <c r="C1169" s="11" t="s">
        <v>2991</v>
      </c>
      <c r="D1169" s="11" t="s">
        <v>74</v>
      </c>
      <c r="E1169" s="12">
        <v>45660.638495370367</v>
      </c>
      <c r="F1169" s="10" t="str">
        <f>TEXT(events[[#This Row],[Start Date]],"DDD")</f>
        <v>Fri</v>
      </c>
      <c r="G1169" s="10">
        <f>YEAR(events[[#This Row],[Start Date]])</f>
        <v>2025</v>
      </c>
      <c r="H1169" s="10" t="str">
        <f>TEXT(events[[#This Row],[Start Date]],"mmm")</f>
        <v>Jan</v>
      </c>
      <c r="I1169" s="10" t="str">
        <f>CONCATENATE("WK_",WEEKNUM(events[[#This Row],[Start Date]]))</f>
        <v>WK_1</v>
      </c>
      <c r="J1169" s="12">
        <v>45660.638680555552</v>
      </c>
      <c r="K1169" s="10">
        <v>98</v>
      </c>
      <c r="L1169" s="10" t="s">
        <v>25</v>
      </c>
      <c r="M1169" s="10" t="s">
        <v>353</v>
      </c>
      <c r="N1169" s="13">
        <f t="shared" si="18"/>
        <v>0.26666666666666666</v>
      </c>
      <c r="O1169" s="14" t="s">
        <v>108</v>
      </c>
      <c r="P1169" s="14" t="s">
        <v>108</v>
      </c>
      <c r="Q1169" s="14" t="s">
        <v>109</v>
      </c>
      <c r="R1169" s="14" t="s">
        <v>109</v>
      </c>
      <c r="S1169" s="14" t="s">
        <v>2756</v>
      </c>
      <c r="T1169" s="14" t="s">
        <v>2757</v>
      </c>
      <c r="U1169" s="15">
        <v>0.39800000000000002</v>
      </c>
      <c r="V1169" s="10">
        <v>1</v>
      </c>
    </row>
    <row r="1170" spans="1:22" ht="18" customHeight="1" x14ac:dyDescent="0.35">
      <c r="A1170" s="10" t="s">
        <v>47</v>
      </c>
      <c r="B1170" s="10" t="s">
        <v>3216</v>
      </c>
      <c r="C1170" s="11" t="s">
        <v>3140</v>
      </c>
      <c r="D1170" s="11" t="s">
        <v>24</v>
      </c>
      <c r="E1170" s="12">
        <v>45660.262141203704</v>
      </c>
      <c r="F1170" s="10" t="str">
        <f>TEXT(events[[#This Row],[Start Date]],"DDD")</f>
        <v>Fri</v>
      </c>
      <c r="G1170" s="10">
        <f>YEAR(events[[#This Row],[Start Date]])</f>
        <v>2025</v>
      </c>
      <c r="H1170" s="10" t="str">
        <f>TEXT(events[[#This Row],[Start Date]],"mmm")</f>
        <v>Jan</v>
      </c>
      <c r="I1170" s="10" t="str">
        <f>CONCATENATE("WK_",WEEKNUM(events[[#This Row],[Start Date]]))</f>
        <v>WK_1</v>
      </c>
      <c r="J1170" s="12">
        <v>45660.262164351851</v>
      </c>
      <c r="K1170" s="10">
        <v>34</v>
      </c>
      <c r="L1170" s="10" t="s">
        <v>25</v>
      </c>
      <c r="M1170" s="10" t="s">
        <v>31</v>
      </c>
      <c r="N1170" s="13">
        <f t="shared" si="18"/>
        <v>3.3333333333333333E-2</v>
      </c>
      <c r="O1170" s="14" t="s">
        <v>27</v>
      </c>
      <c r="P1170" s="14" t="s">
        <v>27</v>
      </c>
      <c r="Q1170" s="14" t="s">
        <v>1011</v>
      </c>
      <c r="R1170" s="14" t="s">
        <v>1011</v>
      </c>
      <c r="S1170" s="14" t="s">
        <v>2767</v>
      </c>
      <c r="T1170" s="14" t="s">
        <v>2768</v>
      </c>
      <c r="U1170" s="15">
        <v>0</v>
      </c>
      <c r="V1170" s="10">
        <v>1</v>
      </c>
    </row>
    <row r="1171" spans="1:22" ht="18" customHeight="1" x14ac:dyDescent="0.35">
      <c r="A1171" s="10" t="s">
        <v>86</v>
      </c>
      <c r="B1171" s="10" t="s">
        <v>3356</v>
      </c>
      <c r="C1171" s="11" t="s">
        <v>3391</v>
      </c>
      <c r="D1171" s="11" t="s">
        <v>74</v>
      </c>
      <c r="E1171" s="12">
        <v>45659.254386574074</v>
      </c>
      <c r="F1171" s="10" t="str">
        <f>TEXT(events[[#This Row],[Start Date]],"DDD")</f>
        <v>Thu</v>
      </c>
      <c r="G1171" s="10">
        <f>YEAR(events[[#This Row],[Start Date]])</f>
        <v>2025</v>
      </c>
      <c r="H1171" s="10" t="str">
        <f>TEXT(events[[#This Row],[Start Date]],"mmm")</f>
        <v>Jan</v>
      </c>
      <c r="I1171" s="10" t="str">
        <f>CONCATENATE("WK_",WEEKNUM(events[[#This Row],[Start Date]]))</f>
        <v>WK_1</v>
      </c>
      <c r="J1171" s="12">
        <v>45659.25445601852</v>
      </c>
      <c r="K1171" s="10">
        <v>86</v>
      </c>
      <c r="L1171" s="10" t="s">
        <v>25</v>
      </c>
      <c r="M1171" s="10" t="s">
        <v>328</v>
      </c>
      <c r="N1171" s="13">
        <f t="shared" si="18"/>
        <v>0.1</v>
      </c>
      <c r="O1171" s="14" t="s">
        <v>27</v>
      </c>
      <c r="P1171" s="14" t="s">
        <v>27</v>
      </c>
      <c r="Q1171" s="14" t="s">
        <v>100</v>
      </c>
      <c r="R1171" s="14" t="s">
        <v>100</v>
      </c>
      <c r="S1171" s="14" t="s">
        <v>2819</v>
      </c>
      <c r="T1171" s="14" t="s">
        <v>2820</v>
      </c>
      <c r="U1171" s="15">
        <v>0.125</v>
      </c>
      <c r="V1171" s="10">
        <v>1</v>
      </c>
    </row>
    <row r="1172" spans="1:22" ht="18" customHeight="1" x14ac:dyDescent="0.35">
      <c r="A1172" s="10" t="s">
        <v>86</v>
      </c>
      <c r="B1172" s="10" t="s">
        <v>3356</v>
      </c>
      <c r="C1172" s="11" t="s">
        <v>3391</v>
      </c>
      <c r="D1172" s="11" t="s">
        <v>74</v>
      </c>
      <c r="E1172" s="12">
        <v>45658.480555555558</v>
      </c>
      <c r="F1172" s="10" t="str">
        <f>TEXT(events[[#This Row],[Start Date]],"DDD")</f>
        <v>Wed</v>
      </c>
      <c r="G1172" s="10">
        <f>YEAR(events[[#This Row],[Start Date]])</f>
        <v>2025</v>
      </c>
      <c r="H1172" s="10" t="str">
        <f>TEXT(events[[#This Row],[Start Date]],"mmm")</f>
        <v>Jan</v>
      </c>
      <c r="I1172" s="10" t="str">
        <f>CONCATENATE("WK_",WEEKNUM(events[[#This Row],[Start Date]]))</f>
        <v>WK_1</v>
      </c>
      <c r="J1172" s="12">
        <v>45658.480636574073</v>
      </c>
      <c r="K1172" s="10">
        <v>83</v>
      </c>
      <c r="L1172" s="10" t="s">
        <v>25</v>
      </c>
      <c r="M1172" s="10" t="s">
        <v>115</v>
      </c>
      <c r="N1172" s="13">
        <f t="shared" si="18"/>
        <v>0.11666666666666667</v>
      </c>
      <c r="O1172" s="14" t="s">
        <v>138</v>
      </c>
      <c r="P1172" s="14" t="s">
        <v>138</v>
      </c>
      <c r="Q1172" s="14" t="s">
        <v>245</v>
      </c>
      <c r="R1172" s="14" t="s">
        <v>1058</v>
      </c>
      <c r="S1172" s="14" t="s">
        <v>2817</v>
      </c>
      <c r="T1172" s="14" t="s">
        <v>2818</v>
      </c>
      <c r="U1172" s="15">
        <v>0.125</v>
      </c>
      <c r="V1172" s="10">
        <v>1</v>
      </c>
    </row>
    <row r="1173" spans="1:22" ht="18" customHeight="1" x14ac:dyDescent="0.35">
      <c r="A1173" s="10" t="s">
        <v>86</v>
      </c>
      <c r="B1173" s="10" t="s">
        <v>3356</v>
      </c>
      <c r="C1173" s="11" t="s">
        <v>3391</v>
      </c>
      <c r="D1173" s="11" t="s">
        <v>74</v>
      </c>
      <c r="E1173" s="12">
        <v>45658.469918981478</v>
      </c>
      <c r="F1173" s="10" t="str">
        <f>TEXT(events[[#This Row],[Start Date]],"DDD")</f>
        <v>Wed</v>
      </c>
      <c r="G1173" s="10">
        <f>YEAR(events[[#This Row],[Start Date]])</f>
        <v>2025</v>
      </c>
      <c r="H1173" s="10" t="str">
        <f>TEXT(events[[#This Row],[Start Date]],"mmm")</f>
        <v>Jan</v>
      </c>
      <c r="I1173" s="10" t="str">
        <f>CONCATENATE("WK_",WEEKNUM(events[[#This Row],[Start Date]]))</f>
        <v>WK_1</v>
      </c>
      <c r="J1173" s="12">
        <v>45658.470011574071</v>
      </c>
      <c r="K1173" s="10">
        <v>83</v>
      </c>
      <c r="L1173" s="10" t="s">
        <v>25</v>
      </c>
      <c r="M1173" s="10" t="s">
        <v>357</v>
      </c>
      <c r="N1173" s="13">
        <f t="shared" si="18"/>
        <v>0.13333333333333333</v>
      </c>
      <c r="O1173" s="14" t="s">
        <v>65</v>
      </c>
      <c r="P1173" s="14" t="s">
        <v>65</v>
      </c>
      <c r="Q1173" s="14" t="s">
        <v>66</v>
      </c>
      <c r="R1173" s="14" t="s">
        <v>66</v>
      </c>
      <c r="S1173" s="14" t="s">
        <v>2815</v>
      </c>
      <c r="T1173" s="14" t="s">
        <v>2816</v>
      </c>
      <c r="U1173" s="15">
        <v>0.188</v>
      </c>
      <c r="V1173" s="10">
        <v>1</v>
      </c>
    </row>
    <row r="1174" spans="1:22" ht="18" customHeight="1" x14ac:dyDescent="0.35">
      <c r="A1174" s="10" t="s">
        <v>86</v>
      </c>
      <c r="B1174" s="10" t="s">
        <v>3356</v>
      </c>
      <c r="C1174" s="11" t="s">
        <v>3391</v>
      </c>
      <c r="D1174" s="11" t="s">
        <v>74</v>
      </c>
      <c r="E1174" s="12">
        <v>45658.457881944443</v>
      </c>
      <c r="F1174" s="10" t="str">
        <f>TEXT(events[[#This Row],[Start Date]],"DDD")</f>
        <v>Wed</v>
      </c>
      <c r="G1174" s="10">
        <f>YEAR(events[[#This Row],[Start Date]])</f>
        <v>2025</v>
      </c>
      <c r="H1174" s="10" t="str">
        <f>TEXT(events[[#This Row],[Start Date]],"mmm")</f>
        <v>Jan</v>
      </c>
      <c r="I1174" s="10" t="str">
        <f>CONCATENATE("WK_",WEEKNUM(events[[#This Row],[Start Date]]))</f>
        <v>WK_1</v>
      </c>
      <c r="J1174" s="12">
        <v>45658.45789351852</v>
      </c>
      <c r="K1174" s="10">
        <v>81</v>
      </c>
      <c r="L1174" s="10" t="s">
        <v>25</v>
      </c>
      <c r="M1174" s="10" t="s">
        <v>26</v>
      </c>
      <c r="N1174" s="13">
        <f t="shared" si="18"/>
        <v>1.6666666666666666E-2</v>
      </c>
      <c r="O1174" s="14" t="s">
        <v>65</v>
      </c>
      <c r="P1174" s="14" t="s">
        <v>65</v>
      </c>
      <c r="Q1174" s="14" t="s">
        <v>948</v>
      </c>
      <c r="R1174" s="14" t="s">
        <v>948</v>
      </c>
      <c r="S1174" s="14" t="s">
        <v>2813</v>
      </c>
      <c r="T1174" s="14" t="s">
        <v>2814</v>
      </c>
      <c r="U1174" s="15">
        <v>0</v>
      </c>
      <c r="V1174" s="10">
        <v>1</v>
      </c>
    </row>
    <row r="1175" spans="1:22" ht="18" customHeight="1" x14ac:dyDescent="0.35">
      <c r="A1175" s="10" t="s">
        <v>123</v>
      </c>
      <c r="B1175" s="10" t="s">
        <v>3170</v>
      </c>
      <c r="C1175" s="11" t="s">
        <v>2936</v>
      </c>
      <c r="D1175" s="11" t="s">
        <v>74</v>
      </c>
      <c r="E1175" s="12">
        <v>45658.353668981479</v>
      </c>
      <c r="F1175" s="10" t="str">
        <f>TEXT(events[[#This Row],[Start Date]],"DDD")</f>
        <v>Wed</v>
      </c>
      <c r="G1175" s="10">
        <f>YEAR(events[[#This Row],[Start Date]])</f>
        <v>2025</v>
      </c>
      <c r="H1175" s="10" t="str">
        <f>TEXT(events[[#This Row],[Start Date]],"mmm")</f>
        <v>Jan</v>
      </c>
      <c r="I1175" s="10" t="str">
        <f>CONCATENATE("WK_",WEEKNUM(events[[#This Row],[Start Date]]))</f>
        <v>WK_1</v>
      </c>
      <c r="J1175" s="12">
        <v>45658.354594907411</v>
      </c>
      <c r="K1175" s="10">
        <v>96</v>
      </c>
      <c r="L1175" s="10" t="s">
        <v>25</v>
      </c>
      <c r="M1175" s="10" t="s">
        <v>173</v>
      </c>
      <c r="N1175" s="13">
        <f t="shared" si="18"/>
        <v>1.3333333333333333</v>
      </c>
      <c r="O1175" s="14"/>
      <c r="P1175" s="14"/>
      <c r="Q1175" s="14" t="s">
        <v>801</v>
      </c>
      <c r="R1175" s="14" t="s">
        <v>801</v>
      </c>
      <c r="S1175" s="14" t="s">
        <v>2835</v>
      </c>
      <c r="T1175" s="14" t="s">
        <v>2836</v>
      </c>
      <c r="U1175" s="15">
        <v>2</v>
      </c>
      <c r="V1175" s="10">
        <v>1</v>
      </c>
    </row>
    <row r="1176" spans="1:22" ht="18" customHeight="1" x14ac:dyDescent="0.35">
      <c r="A1176" s="10" t="s">
        <v>47</v>
      </c>
      <c r="B1176" s="10" t="s">
        <v>3157</v>
      </c>
      <c r="C1176" s="11" t="s">
        <v>2923</v>
      </c>
      <c r="D1176" s="11" t="s">
        <v>35</v>
      </c>
      <c r="E1176" s="12">
        <v>45658.07708333333</v>
      </c>
      <c r="F1176" s="10" t="str">
        <f>TEXT(events[[#This Row],[Start Date]],"DDD")</f>
        <v>Wed</v>
      </c>
      <c r="G1176" s="10">
        <f>YEAR(events[[#This Row],[Start Date]])</f>
        <v>2025</v>
      </c>
      <c r="H1176" s="10" t="str">
        <f>TEXT(events[[#This Row],[Start Date]],"mmm")</f>
        <v>Jan</v>
      </c>
      <c r="I1176" s="10" t="str">
        <f>CONCATENATE("WK_",WEEKNUM(events[[#This Row],[Start Date]]))</f>
        <v>WK_1</v>
      </c>
      <c r="J1176" s="12">
        <v>45658.081203703703</v>
      </c>
      <c r="K1176" s="10">
        <v>3.3</v>
      </c>
      <c r="L1176" s="10" t="s">
        <v>36</v>
      </c>
      <c r="M1176" s="10" t="s">
        <v>2769</v>
      </c>
      <c r="N1176" s="13">
        <f t="shared" si="18"/>
        <v>5.9333333333333336</v>
      </c>
      <c r="O1176" s="14" t="s">
        <v>27</v>
      </c>
      <c r="P1176" s="14" t="s">
        <v>92</v>
      </c>
      <c r="Q1176" s="14" t="s">
        <v>2770</v>
      </c>
      <c r="R1176" s="14" t="s">
        <v>2771</v>
      </c>
      <c r="S1176" s="14" t="s">
        <v>2772</v>
      </c>
      <c r="T1176" s="14" t="s">
        <v>2773</v>
      </c>
      <c r="U1176" s="15">
        <v>3.0619999999999998</v>
      </c>
      <c r="V1176" s="10">
        <v>1</v>
      </c>
    </row>
  </sheetData>
  <phoneticPr fontId="3" type="noConversion"/>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Raw_Data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Paul Kimanzi</cp:lastModifiedBy>
  <cp:revision/>
  <dcterms:created xsi:type="dcterms:W3CDTF">2023-08-14T09:21:23Z</dcterms:created>
  <dcterms:modified xsi:type="dcterms:W3CDTF">2026-06-25T10:32:44Z</dcterms:modified>
  <cp:category/>
  <cp:contentStatus/>
</cp:coreProperties>
</file>